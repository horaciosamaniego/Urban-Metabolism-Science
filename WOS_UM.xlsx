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vedrec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<sst xmlns="http://schemas.openxmlformats.org/spreadsheetml/2006/main" uniqueCount="5525">
  <si>
    <t>Publication Type</t>
  </si>
  <si>
    <t>Authors</t>
  </si>
  <si>
    <t>Book Authors</t>
  </si>
  <si>
    <t>Book Editors</t>
  </si>
  <si>
    <t>Book Group Authors</t>
  </si>
  <si>
    <t>Author Full Names</t>
  </si>
  <si>
    <t>Book Author Full Names</t>
  </si>
  <si>
    <t>Group Authors</t>
  </si>
  <si>
    <t>Article Title</t>
  </si>
  <si>
    <t>Source Title</t>
  </si>
  <si>
    <t>Book Series Title</t>
  </si>
  <si>
    <t>Book Series Subtitle</t>
  </si>
  <si>
    <t>Language</t>
  </si>
  <si>
    <t>Document Type</t>
  </si>
  <si>
    <t>Conference Title</t>
  </si>
  <si>
    <t>Conference Date</t>
  </si>
  <si>
    <t>Conference Location</t>
  </si>
  <si>
    <t>Conference Sponsor</t>
  </si>
  <si>
    <t>Conference Host</t>
  </si>
  <si>
    <t>Author Keywords</t>
  </si>
  <si>
    <t>Keywords Plus</t>
  </si>
  <si>
    <t>Abstract</t>
  </si>
  <si>
    <t>Addresses</t>
  </si>
  <si>
    <t>Affiliations</t>
  </si>
  <si>
    <t>Reprint Addresses</t>
  </si>
  <si>
    <t>Email Addresses</t>
  </si>
  <si>
    <t>Researcher Ids</t>
  </si>
  <si>
    <t>ORCIDs</t>
  </si>
  <si>
    <t>Funding Orgs</t>
  </si>
  <si>
    <t>Funding Name Preferred</t>
  </si>
  <si>
    <t>Funding Text</t>
  </si>
  <si>
    <t>Cited References</t>
  </si>
  <si>
    <t>Cited Reference Count</t>
  </si>
  <si>
    <t>Times Cited, WoS Core</t>
  </si>
  <si>
    <t>Times Cited, All Databases</t>
  </si>
  <si>
    <t>180 Day Usage Count</t>
  </si>
  <si>
    <t>Since 2013 Usage Count</t>
  </si>
  <si>
    <t>Publisher</t>
  </si>
  <si>
    <t>Publisher City</t>
  </si>
  <si>
    <t>Publisher Address</t>
  </si>
  <si>
    <t>ISSN</t>
  </si>
  <si>
    <t>eISSN</t>
  </si>
  <si>
    <t>ISBN</t>
  </si>
  <si>
    <t>Journal Abbreviation</t>
  </si>
  <si>
    <t>Journal ISO Abbreviation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</si>
  <si>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</si>
  <si>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</si>
  <si>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</si>
  <si>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</si>
  <si>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</si>
  <si>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</si>
  <si>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</si>
  <si>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Meeting Abstract</t>
  </si>
  <si>
    <t>Start Page</t>
  </si>
  <si>
    <t>End Page</t>
  </si>
  <si>
    <t>Article Number</t>
  </si>
  <si>
    <t>DOI</t>
  </si>
  <si>
    <t>DOI Link</t>
  </si>
  <si>
    <t>Book DOI</t>
  </si>
  <si>
    <t>Early Access Date</t>
  </si>
  <si>
    <t>Number of Pages</t>
  </si>
  <si>
    <t>WoS Categories</t>
  </si>
  <si>
    <t>Web of Science Index</t>
  </si>
  <si>
    <t>Research Areas</t>
  </si>
  <si>
    <t>IDS Number</t>
  </si>
  <si>
    <t>Pubmed Id</t>
  </si>
  <si>
    <t>Open Access Designations</t>
  </si>
  <si>
    <t>Highly Cited Status</t>
  </si>
  <si>
    <t>Hot Paper Status</t>
  </si>
  <si>
    <t>Date of Export</t>
  </si>
  <si>
    <t>UT (Unique WOS ID)</t>
  </si>
  <si>
    <t>Web of Science Record</t>
  </si>
  <si>
    <t>J</t>
  </si>
  <si>
    <t>Song, Y; van Timmeren, A; Wandl, A</t>
  </si>
  <si>
    <t>Song, Yan; van Timmeren, Arjan; Wandl, Alexander</t>
  </si>
  <si>
    <t>A literature review and categorisation of sustainability-aimed urban metabolism indicators: a context, indicator, mechanism, outcome analysis</t>
  </si>
  <si>
    <t>REGIONAL STATISTICS</t>
  </si>
  <si>
    <t>Review</t>
  </si>
  <si>
    <t>urban metabolism; urban metabolism indicator; sustainability; CIMO approach</t>
  </si>
  <si>
    <t>EMERGY EVALUATION; MATERIAL FLOWS; CITY; ENERGY; SYSTEM; CHINA; ECOLOGY; INDEXES</t>
  </si>
  <si>
    <t>2063-9538</t>
  </si>
  <si>
    <t>2064-8243</t>
  </si>
  <si>
    <t>10.15196/RS090103</t>
  </si>
  <si>
    <t>Geography</t>
  </si>
  <si>
    <t>D'Amico, G; Taddeo, R; Shi, L; Yigitcanlar, T; Ioppolo, G</t>
  </si>
  <si>
    <t>D'Amico, Gaspare; Taddeo, Raffaella; Shi, Lei; Yigitcanlar, Tan; Ioppolo, Giuseppe</t>
  </si>
  <si>
    <t>Ecological indicators of smart urban metabolism: A review of the literature on international standards</t>
  </si>
  <si>
    <t>ECOLOGICAL INDICATORS</t>
  </si>
  <si>
    <t>Smart urban metabolism; Urban indicators; Urban metabolism; Smart urbanism; Urban smartness; Urban informatics; International standardization</t>
  </si>
  <si>
    <t>SUSTAINABLE DEVELOPMENT; CURRENT TRENDS; BIG DATA; CITY; CITIES; FUTURE; ENERGY; URBANIZATION; CHALLENGES; SYSTEMS</t>
  </si>
  <si>
    <t>1470-160X</t>
  </si>
  <si>
    <t>1872-7034</t>
  </si>
  <si>
    <t>NOV</t>
  </si>
  <si>
    <t>10.1016/j.ecolind.2020.106808</t>
  </si>
  <si>
    <t>Biodiversity Conservation; Environmental Sciences</t>
  </si>
  <si>
    <t>Bahers, JB; Athanassiadis, A; Perrotti, D; Kampelmann, S</t>
  </si>
  <si>
    <t>Bahers, Jean-Baptiste; Athanassiadis, Aristide; Perrotti, Daniela; Kampelmann, Stephan</t>
  </si>
  <si>
    <t>The place of space in urban metabolism research: Towards a spatial turn? A review and future agenda</t>
  </si>
  <si>
    <t>LANDSCAPE AND URBAN PLANNING</t>
  </si>
  <si>
    <t>Review; Early Access</t>
  </si>
  <si>
    <t>Urban metabolism; Space; Urban planning; City-hinterland relations; Interterritoriality</t>
  </si>
  <si>
    <t>POLITICAL ECOLOGY; ENERGY; CITY; CITIES; INTERDISCIPLINARY; SUSTAINABILITY; FRAMEWORK; MODEL; STOCK; AGRICULTURE</t>
  </si>
  <si>
    <t>0169-2046</t>
  </si>
  <si>
    <t>1872-6062</t>
  </si>
  <si>
    <t>2022 MAY</t>
  </si>
  <si>
    <t>10.1016/j.landurbplan.2022.104376</t>
  </si>
  <si>
    <t>FEB 2022</t>
  </si>
  <si>
    <t>Ecology; Environmental Studies; Geography; Geography, Physical; Regional &amp; Urban Planning; Urban Studies</t>
  </si>
  <si>
    <t>Dijst, M; Geertman, S; Helbich, M; Kwan, MP; Worrell, E; Harmsen, R; Ribeiro, AP; Carreón, JR; Böcker, L; Brunner, P; Davoudi, S; Holtslag, AAM; Lenz, B; Lyons, G; Mokhtarian, PL; Newman, P; Thomson, G; Perrels, A; Urge-Vorsatz, D; Zeyringer, M</t>
  </si>
  <si>
    <t>Dijst, Martin; Geertman, Stan; Helbich, Marco; Kwan, Mei-Po; Worrell, Ernst; Harmsen, Robert; Ribeiro, Ana Pocas; Carreon, Jesus Rosales; Bocker, Lars; Brunner, Paul; Davoudi, Simin; Holtslag, Albert A. M.; Lenz, Barbara; Lyons, Glenn; Mokhtarian, Patricia L.; Newman, Peter; Thomson, Giles; Perrels, Adriaan; Urge-Vorsatz, Diana; Zeyringer, Marianne</t>
  </si>
  <si>
    <t>Exploring urban metabolism-Towards an interdisciplinary perspective</t>
  </si>
  <si>
    <t>RESOURCES CONSERVATION AND RECYCLING</t>
  </si>
  <si>
    <t>Article</t>
  </si>
  <si>
    <t>Urban metabolism; Interdisciplinary approach; Research agenda; White paper</t>
  </si>
  <si>
    <t>ECOSYSTEM SERVICES; MATERIAL FLOWS; COMPACT CITY; ENERGY; SUSTAINABILITY; CONSUMPTION; CHALLENGES; MANAGEMENT; CITIES; TRAVEL</t>
  </si>
  <si>
    <t>0921-3449</t>
  </si>
  <si>
    <t>1879-0658</t>
  </si>
  <si>
    <t>MAY</t>
  </si>
  <si>
    <t>10.1016/j.resconrec.2017.09.014</t>
  </si>
  <si>
    <t>Engineering, Environmental; Environmental Sciences</t>
  </si>
  <si>
    <t>Newell, JP; Cousins, JJ</t>
  </si>
  <si>
    <t>Newell, Joshua P.; Cousins, Joshua J.</t>
  </si>
  <si>
    <t>The boundaries of urban metabolism: Towards a political-industrial ecology</t>
  </si>
  <si>
    <t>PROGRESS IN HUMAN GEOGRAPHY</t>
  </si>
  <si>
    <t>boundary object; industrial ecology; interdisciplinary research; metaphor; political ecology; urban ecology; urban metabolism</t>
  </si>
  <si>
    <t>ENERGETIC METABOLISM; LAND-USE; WATER; CITY; FLOW; INTERDISCIPLINARY; SCIENCE; CITIES; SUSTAINABILITY; ECOSYSTEM</t>
  </si>
  <si>
    <t>0309-1325</t>
  </si>
  <si>
    <t>1477-0288</t>
  </si>
  <si>
    <t>DEC</t>
  </si>
  <si>
    <t>10.1177/0309132514558442</t>
  </si>
  <si>
    <t>Chini, CM; Stillwell, AS</t>
  </si>
  <si>
    <t>Chini, Christopher M.; Stillwell, Ashlynn S.</t>
  </si>
  <si>
    <t>The metabolism of US cities 2.0</t>
  </si>
  <si>
    <t>JOURNAL OF INDUSTRIAL ECOLOGY</t>
  </si>
  <si>
    <t>embedded energy; energy-water nexus; industrial ecology; sustainability; urban environment; urban metabolism</t>
  </si>
  <si>
    <t>URBAN METABOLISM; MASS-BALANCE; FOOD NEXUS; ENERGY; WATER; CITY</t>
  </si>
  <si>
    <t>1088-1980</t>
  </si>
  <si>
    <t>1530-9290</t>
  </si>
  <si>
    <t>10.1111/jiec.12923</t>
  </si>
  <si>
    <t>Green &amp; Sustainable Science &amp; Technology; Engineering, Environmental; Environmental Sciences</t>
  </si>
  <si>
    <t>Restrepo, JDC; Morales-Pinzón, T</t>
  </si>
  <si>
    <t>Cespedes Restrepo, Juan D.; Morales-Pinzon, Tito</t>
  </si>
  <si>
    <t>Urban metabolism and sustainability: Precedents, genesis and research perspectives</t>
  </si>
  <si>
    <t>Urban metabolism; Sustainability; Urban ecosystem; City</t>
  </si>
  <si>
    <t>FLOW-ANALYSIS; HONG-KONG; ECOSYSTEM; INDICATOR; BALANCE</t>
  </si>
  <si>
    <t>APR</t>
  </si>
  <si>
    <t>10.1016/j.resconrec.2017.12.023</t>
  </si>
  <si>
    <t>Rusca, M; Gulamussen, NJ; Weststrate, J; Nguluve, EI; Salvador, EM; Paron, P</t>
  </si>
  <si>
    <t>Rusca, Maria; Gulamussen, Noor Jehan; Weststrate, Johanna; Nguluve, Eugenia Inacio; Salvador, Elsa Maria; Paron, Paolo</t>
  </si>
  <si>
    <t>The Urban Metabolism of Waterborne Diseases: Variegated Citizenship, (Waste) Water Flows, and Climatic Variability in Maputo, Mozambique</t>
  </si>
  <si>
    <t>JOURNAL OF PLANNING LITERATURE</t>
  </si>
  <si>
    <t>Contamination; Contamination; Diseases; Urban metabolism; Water pollution</t>
  </si>
  <si>
    <t>0885-4122</t>
  </si>
  <si>
    <t>1552-6593</t>
  </si>
  <si>
    <t>AUG</t>
  </si>
  <si>
    <t>37-7252</t>
  </si>
  <si>
    <t>Regional &amp; Urban Planning; Urban Studies</t>
  </si>
  <si>
    <t>Li, H; Kwan, MP</t>
  </si>
  <si>
    <t>Li, Huan; Kwan, Mei-Po</t>
  </si>
  <si>
    <t>Advancing analytical methods for urban metabolism studies</t>
  </si>
  <si>
    <t>Urban metabolism; Material based; Energy based; Geovisualization; 3D</t>
  </si>
  <si>
    <t>SOCIOECONOMIC METABOLISM; SYSTEMS; ENERGY; PATTERNS; CITIES</t>
  </si>
  <si>
    <t>10.1016/j.resconrec.2017.07.005</t>
  </si>
  <si>
    <t>Ulgiati, S; Zucaro, A</t>
  </si>
  <si>
    <t>Ulgiati, Sergio; Zucaro, Amalia</t>
  </si>
  <si>
    <t>Challenges in Urban Metabolism: Sustainability and Well-Being in Cities</t>
  </si>
  <si>
    <t>FRONTIERS IN SUSTAINABLE CITIES</t>
  </si>
  <si>
    <t>Editorial Material</t>
  </si>
  <si>
    <t>urban ecosystem; energy; resources - gains and losses; urban metabolism; food supply and demand; life cycle analysis</t>
  </si>
  <si>
    <t>2624-9634</t>
  </si>
  <si>
    <t>10.3389/frsc.2019.00001</t>
  </si>
  <si>
    <t>Green &amp; Sustainable Science &amp; Technology; Environmental Sciences; Environmental Studies; Urban Studies</t>
  </si>
  <si>
    <t>Galychyn, O; Buonocore, E; Franzese, PP</t>
  </si>
  <si>
    <t>Galychyn, Oleksandr; Buonocore, Elvira; Franzese, Pier Paolo</t>
  </si>
  <si>
    <t>Exploring the global scientific literature on urban metabolism</t>
  </si>
  <si>
    <t>ECOLOGICAL QUESTIONS</t>
  </si>
  <si>
    <t>Urban metabolism; VOSviewer; bibliometrics; social network analysis</t>
  </si>
  <si>
    <t>ECOLOGICAL NETWORK ANALYSIS; CARBON EMISSIONS; ENVIRONMENTAL PERFORMANCE; ECOSYSTEM SERVICES; ENERGY; MODEL</t>
  </si>
  <si>
    <t>1644-7298</t>
  </si>
  <si>
    <t>2083-5469</t>
  </si>
  <si>
    <t>10.12775/EQ.2020.031</t>
  </si>
  <si>
    <t>Ecology</t>
  </si>
  <si>
    <t>John, B; Luederitz, C; Lang, DJ; von Wehrden, H</t>
  </si>
  <si>
    <t>John, Beatrice; Luederitz, Christopher; Lang, Daniel J.; von Wehrden, Henrik</t>
  </si>
  <si>
    <t>Toward Sustainable Urban Metabolisms. From System Understanding to System Transformation</t>
  </si>
  <si>
    <t>ECOLOGICAL ECONOMICS</t>
  </si>
  <si>
    <t>Sustainability; Transformation knowledge; Multivariate statistics; Urban metabolism; Transdisciplinarity; Justice</t>
  </si>
  <si>
    <t>INDUSTRIAL ECOLOGY; WASTE MANAGEMENT; SCIENCE; RESOURCE; PERSPECTIVES; ENERGY; TRANSITIONS; COMPLEXITY; SOCIETY; IMPACTS</t>
  </si>
  <si>
    <t>0921-8009</t>
  </si>
  <si>
    <t>1873-6106</t>
  </si>
  <si>
    <t>MAR</t>
  </si>
  <si>
    <t>10.1016/j.ecolecon.2018.12.007</t>
  </si>
  <si>
    <t>Ecology; Economics; Environmental Sciences; Environmental Studies</t>
  </si>
  <si>
    <t>Cui, XZ</t>
  </si>
  <si>
    <t>Cui, Xuezhu</t>
  </si>
  <si>
    <t>How can cities support sustainability: A bibliometric analysis of urban metabolism</t>
  </si>
  <si>
    <t>Urban metabolism; Bibliometric analysis; Indicators; Cities; Sustainability; Recycling</t>
  </si>
  <si>
    <t>FLOW-ANALYSIS; SOCIAL METABOLISM; ENERGY; URBANIZATION; ECOSYSTEM; NITROGEN; BALANCE; CITY; TRANSITION; CHALLENGES</t>
  </si>
  <si>
    <t>OCT</t>
  </si>
  <si>
    <t>10.1016/j.ecolind.2018.05.056</t>
  </si>
  <si>
    <t>Mostafavi, N; Farzinmoghadam, M; Hoque, S; Weil, B</t>
  </si>
  <si>
    <t>Mostafavi, Nariman; Farzinmoghadam, Mohamad; Hoque, Simi; Weil, Benjamin</t>
  </si>
  <si>
    <t>Integrated Urban Metabolism Analysis Tool (IUMAT)</t>
  </si>
  <si>
    <t>URBAN POLICY AND RESEARCH</t>
  </si>
  <si>
    <t>Integrated urban metabolism analysis tool; sustainable urban development; urban planning; urban metabolism simulation</t>
  </si>
  <si>
    <t>ENERGY-CONSUMPTION; LAND-USE; CITY; SUSTAINABILITY; CITIES; MODEL; FLOW; TRANSPORTATION; SIMULATION; ECOSYSTEM</t>
  </si>
  <si>
    <t>0811-1146</t>
  </si>
  <si>
    <t>1476-7244</t>
  </si>
  <si>
    <t>JAN 2</t>
  </si>
  <si>
    <t>10.1080/08111146.2013.826578</t>
  </si>
  <si>
    <t>Environmental Studies; Geography; Regional &amp; Urban Planning; Urban Studies</t>
  </si>
  <si>
    <t>Kennedy, C; Pincetl, S; Bunje, P</t>
  </si>
  <si>
    <t>Kennedy, C.; Pincetl, S.; Bunje, P.</t>
  </si>
  <si>
    <t>The study of urban metabolism and its applications to urban planning and design</t>
  </si>
  <si>
    <t>ENVIRONMENTAL POLLUTION</t>
  </si>
  <si>
    <t>Article; Proceedings Paper</t>
  </si>
  <si>
    <t>Cities; Energy; Materials; Waste; Urban planning; Urban design; Greenhouse gas emissions; Sustainability indicators</t>
  </si>
  <si>
    <t>NITROGEN-BALANCE; CITIES; CITY; FLOW; SUSTAINABILITY; ECOSYSTEM; TORONTO; ENERGY; MODEL</t>
  </si>
  <si>
    <t>0269-7491</t>
  </si>
  <si>
    <t>1873-6424</t>
  </si>
  <si>
    <t>AUG-SEP</t>
  </si>
  <si>
    <t>8-9</t>
  </si>
  <si>
    <t>SI</t>
  </si>
  <si>
    <t>10.1016/j.envpol.2010.10.022</t>
  </si>
  <si>
    <t>Environmental Sciences</t>
  </si>
  <si>
    <t>Marin, J; De Meulder, B</t>
  </si>
  <si>
    <t>Marin, Julie; De Meulder, Bruno</t>
  </si>
  <si>
    <t>Urban landscape design exercises in urban metabolism: reconnecting with Central Limburg's regenerative resource landscape</t>
  </si>
  <si>
    <t>JOURNAL OF LANDSCAPE ARCHITECTURE</t>
  </si>
  <si>
    <t>Urban Landscape design; urban metabolism; circular economy; systemic design; Belgium</t>
  </si>
  <si>
    <t>1862-6033</t>
  </si>
  <si>
    <t>2164-604X</t>
  </si>
  <si>
    <t>10.1080/18626033.2018.1476031</t>
  </si>
  <si>
    <t>Architecture</t>
  </si>
  <si>
    <t>Shahrokni, H; Lazarevic, D; Brandt, N</t>
  </si>
  <si>
    <t>Shahrokni, Hossein; Lazarevic, David; Brandt, Nils</t>
  </si>
  <si>
    <t>Smart Urban Metabolism: Towards a Real-Time Understanding of the Energy and Material Flows of a City and Its Citizens</t>
  </si>
  <si>
    <t>JOURNAL OF URBAN TECHNOLOGY</t>
  </si>
  <si>
    <t>real-time; smart cities; material flow analysis; ICT; urban metabolism</t>
  </si>
  <si>
    <t>GREENHOUSE-GAS EMISSIONS; CITIES; SYSTEMS</t>
  </si>
  <si>
    <t>1063-0732</t>
  </si>
  <si>
    <t>1466-1853</t>
  </si>
  <si>
    <t>10.1080/10630732.2014.954899</t>
  </si>
  <si>
    <t>Urban Studies</t>
  </si>
  <si>
    <t>Pincetl, S; Bunje, P; Holmes, T</t>
  </si>
  <si>
    <t>Pincetl, Stephanie; Bunje, Paul; Holmes, Tisha</t>
  </si>
  <si>
    <t>An expanded urban metabolism method: Toward a systems approach for assessing urban energy processes and causes</t>
  </si>
  <si>
    <t>Urban metabolism; Urban systems; Life cycle assessment; Environmental and social impacts</t>
  </si>
  <si>
    <t>SOCIOECONOMIC METABOLISM; CITIES; ECOSYSTEMS; LIFE</t>
  </si>
  <si>
    <t>SEP 15</t>
  </si>
  <si>
    <t>10.1016/j.landurbplan.2012.06.006</t>
  </si>
  <si>
    <t>Zengerling, C</t>
  </si>
  <si>
    <t>Zengerling, Cathrin</t>
  </si>
  <si>
    <t>Governing the City of Flows: How Urban Metabolism Approaches May Strengthen Accountability in Strategic Planning</t>
  </si>
  <si>
    <t>URBAN PLANNING</t>
  </si>
  <si>
    <t>accountability; carbon flows; material flows; strategic planning; sustainable cities; urban governance; urban metabolism</t>
  </si>
  <si>
    <t>CLIMATE-CHANGE; CITIES; SUSTAINABILITY; MITIGATION; GOVERNANCE; PERFORMANCE; ADAPTATION; MANAGEMENT; GOVERNMENT; PLANYC</t>
  </si>
  <si>
    <t>2183-7635</t>
  </si>
  <si>
    <t>10.17645/up.v4i1.1750</t>
  </si>
  <si>
    <t>Broto, VC; Allen, A; Rapoport, E</t>
  </si>
  <si>
    <t>Broto, Vanesa Castan; Allen, Adriana; Rapoport, Elizabeth</t>
  </si>
  <si>
    <t>Interdisciplinary Perspectives on Urban Metabolism</t>
  </si>
  <si>
    <t>industrial ecology; political economy; social ecology; urban ecology; urban metabolism; urban planning</t>
  </si>
  <si>
    <t>POLITICAL ECOLOGY; BUILT ENVIRONMENT; SUSTAINABILITY; WATER; CITY; ENERGY; INFRASTRUCTURES; PRIVATIZATION; URBANIZATION; ECOSYSTEM</t>
  </si>
  <si>
    <t>10.1111/j.1530-9290.2012.00556.x</t>
  </si>
  <si>
    <t>Perrotti, D</t>
  </si>
  <si>
    <t>Perrotti, Daniela</t>
  </si>
  <si>
    <t>Evaluating urban metabolism assessment methods and knowledge transfer between scientists and practitioners: A combined framework for supporting practice-relevant research</t>
  </si>
  <si>
    <t>ENVIRONMENT AND PLANNING B-URBAN ANALYTICS AND CITY SCIENCE</t>
  </si>
  <si>
    <t>Urban metabolism project design; Decision Support Systems; Community of Practice; sustainability knowledge exchange; science-practice communication and collaboration</t>
  </si>
  <si>
    <t>BIO-PHYSICAL SCIENCES; SYSTEM</t>
  </si>
  <si>
    <t>2399-8083</t>
  </si>
  <si>
    <t>2399-8091</t>
  </si>
  <si>
    <t>10.1177/2399808319832611</t>
  </si>
  <si>
    <t>Musango, JK; Currie, P; Smit, S; Kovacic, Z</t>
  </si>
  <si>
    <t>Musango, Josephine Kaviti; Currie, Paul; Smit, Suzanne; Kovacic, Zora</t>
  </si>
  <si>
    <t>Urban metabolism of the informal city: Probing and measuring the 'unmeasurable' to monitor Sustainable Development Goal 11 indicators</t>
  </si>
  <si>
    <t>Urban metabolism; Sustainable Development Goal indicators; Informal city metabolism; African urbanism; Systems perspective</t>
  </si>
  <si>
    <t>SOCIETAL METABOLISM; CO-DESIGN; ENERGY; URBANIZATION; ENVIRONMENT; CHALLENGES; AFRICA; CITIES</t>
  </si>
  <si>
    <t>10.1016/j.ecolind.2020.106746</t>
  </si>
  <si>
    <t>Guibrunet, L; Calvet, MS; Broto, VC</t>
  </si>
  <si>
    <t>Guibrunet, Louise; Calvet, Martin Sanzana; Broto, Vanesa Castan</t>
  </si>
  <si>
    <t>Flows, system boundaries and the politics of urban metabolism: Waste management in Mexico City and Santiago de Chile</t>
  </si>
  <si>
    <t>GEOFORUM</t>
  </si>
  <si>
    <t>Political-industrial ecology; Urban metabolism; Waste management; Mexico City; Santiago de Chile</t>
  </si>
  <si>
    <t>SOLID-WASTE; INFORMAL SECTOR; GARBAGE; GEOGRAPHIES; GOVERNANCE; DUMP; AREA</t>
  </si>
  <si>
    <t>0016-7185</t>
  </si>
  <si>
    <t>1872-9398</t>
  </si>
  <si>
    <t>10.1016/j.geoforum.2016.10.011</t>
  </si>
  <si>
    <t>Wang, XJ; Tan, X; Gao, MX; Zhang, Y</t>
  </si>
  <si>
    <t>Wang, Xinjing; Tan, Xuan; Gao, Minxuan; Zhang, Yan</t>
  </si>
  <si>
    <t>A review of a series of effective methods in urban metabolism: Material flow, ecological network and factor analysis</t>
  </si>
  <si>
    <t>SUSTAINABLE PRODUCTION AND CONSUMPTION</t>
  </si>
  <si>
    <t>Urban metabolism; Material flow analysis; Ecological network analysis; Factor analysis; Review</t>
  </si>
  <si>
    <t>BEIJING-TIANJIN-HEBEI; ENERGY-METABOLISM; WATER-RESOURCES; DRIVING FORCES; SUSTAINABILITY; PERSPECTIVE; SYSTEM; CITIES; CHINA; MODEL</t>
  </si>
  <si>
    <t>2352-5509</t>
  </si>
  <si>
    <t>2023 JUL</t>
  </si>
  <si>
    <t>10.1016/j.spc.2023.05.017</t>
  </si>
  <si>
    <t>MAY 2023</t>
  </si>
  <si>
    <t>Green &amp; Sustainable Science &amp; Technology; Environmental Studies</t>
  </si>
  <si>
    <t>Huang, Q; Zheng, XQ; Liu, F; Hu, YC; Zuo, YQ</t>
  </si>
  <si>
    <t>Huang, Qing; Zheng, Xinqi; Liu, Fei; Hu, Yecui; Zuo, Yuqiang</t>
  </si>
  <si>
    <t>Dynamic analysis method to open the black box of urban metabolism</t>
  </si>
  <si>
    <t>Urban metabolism; Emergy analysis; System dynamics; Drivers</t>
  </si>
  <si>
    <t>EMERGY SYNTHESIS; SYSTEM; ENERGY; CHINA; MODEL; SUSTAINABILITY; PERSPECTIVES; CONSUMPTION; IMPACT</t>
  </si>
  <si>
    <t>10.1016/j.resconrec.2018.09.010</t>
  </si>
  <si>
    <t>Kennedy, C; Stewart, ID; Ibrahim, N; Facchini, A; Mele, R</t>
  </si>
  <si>
    <t>Kennedy, Chris; Stewart, Iain D.; Ibrahim, Nadine; Facchini, Angelo; Mele, Renata</t>
  </si>
  <si>
    <t>Developing a multi-layered indicator set for urban metabolism studies in megacities</t>
  </si>
  <si>
    <t>Megacities; Urban metabolism; Energy and material flows; Standardized data collection; Urban sustainability</t>
  </si>
  <si>
    <t>GREENHOUSE-GAS EMISSIONS; PERSPECTIVES; ENERGY</t>
  </si>
  <si>
    <t>10.1016/j.ecolind.2014.07.039</t>
  </si>
  <si>
    <t>Mostafavi, N; Farzinmoghadam, M; Hogue, S</t>
  </si>
  <si>
    <t>Mostafavi, Nariman; Farzinmoghadam, Mohamad; Hogue, Simi</t>
  </si>
  <si>
    <t>A framework for integrated urban metabolism analysis tool (IUMAT)</t>
  </si>
  <si>
    <t>BUILDING AND ENVIRONMENT</t>
  </si>
  <si>
    <t>Integrated urban metabolism analysis tool; Sustainable urban development; Urban planning; Urban metabolism simulation</t>
  </si>
  <si>
    <t>ENERGY-CONSUMPTION; MODEL; ENVIRONMENT; MANAGEMENT; BEHAVIOR; DESIGN; SYSTEM; CITY</t>
  </si>
  <si>
    <t>0360-1323</t>
  </si>
  <si>
    <t>1873-684X</t>
  </si>
  <si>
    <t>10.1016/j.buildenv.2014.10.020</t>
  </si>
  <si>
    <t>Construction &amp; Building Technology; Engineering, Environmental; Engineering, Civil</t>
  </si>
  <si>
    <t>Papangelou, A; Bahers, JB; Aissani, L</t>
  </si>
  <si>
    <t>Papangelou, Anastasia; Bahers, Jean-Baptiste; Aissani, Lynda</t>
  </si>
  <si>
    <t>Drivers of urban metabolism: Toward a framework for urban transformations</t>
  </si>
  <si>
    <t>Article; Early Access</t>
  </si>
  <si>
    <t>cities; industrial ecology; leverage points; organic waste; transformation; urban metabolism</t>
  </si>
  <si>
    <t>DRIVING FORCES; MATERIAL FLOWS; ENERGY; SUSTAINABILITY; CONSUMPTION; CITIES</t>
  </si>
  <si>
    <t>2023 OCT</t>
  </si>
  <si>
    <t>10.1111/jiec.13435</t>
  </si>
  <si>
    <t>JUL 2023</t>
  </si>
  <si>
    <t>Bristow, DN; Kennedy, CA</t>
  </si>
  <si>
    <t>Bristow, David N.; Kennedy, Christopher A.</t>
  </si>
  <si>
    <t>Urban Metabolism and the Energy Stored in Cities Implications for Resilience</t>
  </si>
  <si>
    <t>energy cycling; energy stock; industrial ecology; residence time; urban metabolism; vulnerability</t>
  </si>
  <si>
    <t>HONG-KONG; AREA</t>
  </si>
  <si>
    <t>10.1111/jiec.12038</t>
  </si>
  <si>
    <t>Polio, R; Trane, M; Giovanardi, M</t>
  </si>
  <si>
    <t>Polio, Riccardo; Trane, Matteo; Giovanardi, Matteo</t>
  </si>
  <si>
    <t>Urban Metabolism, interdisciplinary models and design at micro-urban scale</t>
  </si>
  <si>
    <t>TECHNE-JOURNAL OF TECHNOLOGY FOR ARCHITECTURE AND ENVIRONMENT</t>
  </si>
  <si>
    <t>Urban Metabolism; Smart Urban Metabolism; Interdisclplinarlty; Trans-disciplinarity; Environmental Design</t>
  </si>
  <si>
    <t>SYSTEMS-APPROACH; ENERGY</t>
  </si>
  <si>
    <t>2239-0243</t>
  </si>
  <si>
    <t>10.36253/techne-9857</t>
  </si>
  <si>
    <t>Massey, J</t>
  </si>
  <si>
    <t>Massey, Jonathan</t>
  </si>
  <si>
    <t>Sustainable Urban Metabolism</t>
  </si>
  <si>
    <t>JOURNAL OF THE SOCIETY OF ARCHITECTURAL HISTORIANS</t>
  </si>
  <si>
    <t>Book Review</t>
  </si>
  <si>
    <t>0037-9808</t>
  </si>
  <si>
    <t>2150-5926</t>
  </si>
  <si>
    <t>SEP</t>
  </si>
  <si>
    <t>Hardman, M</t>
  </si>
  <si>
    <t>Hardman, Michael</t>
  </si>
  <si>
    <t>Sustainable urban metabolism</t>
  </si>
  <si>
    <t>ENVIRONMENT AND PLANNING B-PLANNING &amp; DESIGN</t>
  </si>
  <si>
    <t>0265-8135</t>
  </si>
  <si>
    <t>1472-3417</t>
  </si>
  <si>
    <t>Environmental Studies</t>
  </si>
  <si>
    <t>Barles, S</t>
  </si>
  <si>
    <t>Barles, Sabine</t>
  </si>
  <si>
    <t>JUN</t>
  </si>
  <si>
    <t>10.1111/jiec.12259</t>
  </si>
  <si>
    <t>Guibrunet, L; Allen, A</t>
  </si>
  <si>
    <t>Guibrunet, Louise; Allen, Adriana</t>
  </si>
  <si>
    <t>REGIONAL STUDIES</t>
  </si>
  <si>
    <t>0034-3404</t>
  </si>
  <si>
    <t>1360-0591</t>
  </si>
  <si>
    <t>NOV 2</t>
  </si>
  <si>
    <t>10.1080/00343404.2014.950885</t>
  </si>
  <si>
    <t>Economics; Environmental Studies; Geography; Regional &amp; Urban Planning</t>
  </si>
  <si>
    <t>Troy, A</t>
  </si>
  <si>
    <t>Troy, Austin</t>
  </si>
  <si>
    <t>JOURNAL OF PLANNING EDUCATION AND RESEARCH</t>
  </si>
  <si>
    <t>0739-456X</t>
  </si>
  <si>
    <t>1552-6577</t>
  </si>
  <si>
    <t>10.1177/0739456X15588462</t>
  </si>
  <si>
    <t>Brunner, PH</t>
  </si>
  <si>
    <t>Brunner, Paul H.</t>
  </si>
  <si>
    <t>Reshaping urban metabolism</t>
  </si>
  <si>
    <t>SPR</t>
  </si>
  <si>
    <t>10.1162/jie.2007.1293</t>
  </si>
  <si>
    <t>Beauregard, R</t>
  </si>
  <si>
    <t>Beauregard, Robert</t>
  </si>
  <si>
    <t>JUL</t>
  </si>
  <si>
    <t>Poruschi, L</t>
  </si>
  <si>
    <t>Poruschi, Lavinia</t>
  </si>
  <si>
    <t>10.1080/08111146.2014.967443</t>
  </si>
  <si>
    <t>Wu, Y; Que, W; Liu, YG; Li, J; Cao, L; Liu, SB; Zeng, GM; Zhang, J</t>
  </si>
  <si>
    <t>Wu, Yi; Que, Wei; Liu, Yun-guo; Li, Jiang; Cao, Li; Liu, Shao-bo; Zeng, Guang-ming; Zhang, Jing</t>
  </si>
  <si>
    <t>Efficiency estimation of urban metabolism via Emergy, DEA of time-series</t>
  </si>
  <si>
    <t>Efficiency of urban metabolism; Emergy; DEA of time series; Changsha</t>
  </si>
  <si>
    <t>PRINCIPAL COMPONENT ANALYSIS; CITIES; CHINA; SUSTAINABILITY; SYSTEMS; CONSUMPTION; MECHANISMS; REGION; FLOWS; CITY</t>
  </si>
  <si>
    <t>FEB</t>
  </si>
  <si>
    <t>10.1016/j.ecolind.2017.10.043</t>
  </si>
  <si>
    <t>Liang, S; Zhang, TZ</t>
  </si>
  <si>
    <t>Liang, Sai; Zhang, Tianzhu</t>
  </si>
  <si>
    <t>Comparing urban solid waste recycling from the viewpoint of urban metabolism based on physical input-output model: A case of Suzhou in China</t>
  </si>
  <si>
    <t>WASTE MANAGEMENT</t>
  </si>
  <si>
    <t>China; Cities; Industrial ecology; Material flows; Sustainable solid waste management; Urban metabolism</t>
  </si>
  <si>
    <t>ENERGY; TABLES</t>
  </si>
  <si>
    <t>0956-053X</t>
  </si>
  <si>
    <t>1879-2456</t>
  </si>
  <si>
    <t>JAN</t>
  </si>
  <si>
    <t>10.1016/j.wasman.2011.08.018</t>
  </si>
  <si>
    <t>Kennedy, C; Hoornweg, D</t>
  </si>
  <si>
    <t>Kennedy, Christopher; Hoornweg, Daniel</t>
  </si>
  <si>
    <t>Mainstreaming Urban Metabolism</t>
  </si>
  <si>
    <t>CITIES</t>
  </si>
  <si>
    <t>10.1111/j.1530-9290.2012.00548.x</t>
  </si>
  <si>
    <t>Oliveira, V; Vaz, R</t>
  </si>
  <si>
    <t>Oliveira, Vitor; Vaz, Rita</t>
  </si>
  <si>
    <t>Is the concept of urban metabolism useful for planning practice?</t>
  </si>
  <si>
    <t>EUROPEAN PLANNING STUDIES</t>
  </si>
  <si>
    <t>Urban metabolism; urban planning; research and practice; land as a resource; Portugal</t>
  </si>
  <si>
    <t>NITROGEN-BALANCE; CITIES; SUSTAINABILITY; CONSEQUENCES; ECOSYSTEM; TORONTO; MODEL; CITY</t>
  </si>
  <si>
    <t>0965-4313</t>
  </si>
  <si>
    <t>1469-5944</t>
  </si>
  <si>
    <t>2021 MAR 4</t>
  </si>
  <si>
    <t>10.1080/09654313.2020.1740173</t>
  </si>
  <si>
    <t>MAR 2020</t>
  </si>
  <si>
    <t>Lei, KP; Liu, L; Lou, IC</t>
  </si>
  <si>
    <t>Lei, Kampeng; Liu, Lu; Lou, Inchio</t>
  </si>
  <si>
    <t>An evaluation of the urban metabolism of Macao from 2003 to 2013</t>
  </si>
  <si>
    <t>Urban metabolism; Emergy; Dissipative system; Sustainability; Macao</t>
  </si>
  <si>
    <t>EMERGY ANALYSIS; SUSTAINABILITY ASSESSMENT; SELF-ORGANIZATION; ENERGY ANALYSIS; TRANSFORMITY</t>
  </si>
  <si>
    <t>10.1016/j.resconrec.2016.09.009</t>
  </si>
  <si>
    <t>González, A; Donnelly, A; Jones, M; Chrysoulakis, N; Lopes, M</t>
  </si>
  <si>
    <t>Gonzalez, Ainhoa; Donnelly, Alison; Jones, Mike; Chrysoulakis, Nektarios; Lopes, Myriam</t>
  </si>
  <si>
    <t>A decision-support system for sustainable urban metabolism in Europe</t>
  </si>
  <si>
    <t>ENVIRONMENTAL IMPACT ASSESSMENT REVIEW</t>
  </si>
  <si>
    <t>Urban metabolism; Impact assessment; Sustainable planning; European cities</t>
  </si>
  <si>
    <t>SELECTING ENVIRONMENTAL INDICATOR; AIR-QUALITY; SPATIAL DATA; FRAMEWORK; BALANCE; MODEL; SIMULATION; ENERGY; AREAS; TOOL</t>
  </si>
  <si>
    <t>0195-9255</t>
  </si>
  <si>
    <t>1873-6432</t>
  </si>
  <si>
    <t>10.1016/j.eiar.2012.06.007</t>
  </si>
  <si>
    <t>Guibrunet, L; Jiménez, AS</t>
  </si>
  <si>
    <t>Guibrunet, Louise; Sanchez Jimenez, Araceli</t>
  </si>
  <si>
    <t>The current and potential role of urban metabolism studies to analyze the role of food in urban sustainability</t>
  </si>
  <si>
    <t>food; industrial ecology; sustainability; systematic review; urban metabolism; urban political ecology</t>
  </si>
  <si>
    <t>MATERIAL FLOW-ANALYSIS; LIFE-CYCLE ASSESSMENT; ENVIRONMENTAL PERFORMANCE; DIVERSE ECONOMIES; WASTE MANAGEMENT; ALTERNATIVE FOOD; CITY; AGRICULTURE; CONSUMPTION; NUTRIENT</t>
  </si>
  <si>
    <t>2023 FEB</t>
  </si>
  <si>
    <t>10.1111/jiec.13361</t>
  </si>
  <si>
    <t>DEC 2022</t>
  </si>
  <si>
    <t>Culwick, C; Götz, G; Butcher, S; Harber, J; Maree, G; Mushongera, D</t>
  </si>
  <si>
    <t>Culwick, Christina; Gotz, Graeme; Butcher, Sian; Harber, Jesse; Maree, Gillian; Mushongera, Darlington</t>
  </si>
  <si>
    <t>Doing more with less (data): complexities of resource flow analysis in the Gauteng City-Region</t>
  </si>
  <si>
    <t>ENVIRONMENTAL RESEARCH LETTERS</t>
  </si>
  <si>
    <t>urban metabolism; metabolic flow analysis; urban political ecology; Gauteng City-Region; urban policy; data issues; political-industrial ecology</t>
  </si>
  <si>
    <t>URBAN METABOLISM; POLITICAL ECOLOGY; SOUTH-AFRICA; ENERGY; SCALES; FIT</t>
  </si>
  <si>
    <t>1748-9326</t>
  </si>
  <si>
    <t>10.1088/1748-9326/aa7c21</t>
  </si>
  <si>
    <t>Environmental Sciences; Meteorology &amp; Atmospheric Sciences</t>
  </si>
  <si>
    <t>Palme, M; Salvati, A</t>
  </si>
  <si>
    <t>Palme, Massimo; Salvati, Agnese</t>
  </si>
  <si>
    <t>Sustainability and Urban Metabolism</t>
  </si>
  <si>
    <t>SUSTAINABILITY</t>
  </si>
  <si>
    <t>2071-1050</t>
  </si>
  <si>
    <t>10.3390/su12010353</t>
  </si>
  <si>
    <t>Green &amp; Sustainable Science &amp; Technology; Environmental Sciences; Environmental Studies</t>
  </si>
  <si>
    <t>Nowak, DJ</t>
  </si>
  <si>
    <t>Nowak, David J.</t>
  </si>
  <si>
    <t>Urban metabolism in Syracuse, NY - introduction</t>
  </si>
  <si>
    <t>URBAN ECOSYSTEMS</t>
  </si>
  <si>
    <t>1083-8155</t>
  </si>
  <si>
    <t>1573-1642</t>
  </si>
  <si>
    <t>10.1007/s11252-016-0615-4</t>
  </si>
  <si>
    <t>Biodiversity Conservation; Ecology; Environmental Sciences; Urban Studies</t>
  </si>
  <si>
    <t>D'Amico, G; Arbolino, R; Shi, L; Yigitcanlar, T; Ioppolo, G</t>
  </si>
  <si>
    <t>D'Amico, Gaspare; Arbolino, Roberta; Shi, Lei; Yigitcanlar, Tan; Ioppolo, Giuseppe</t>
  </si>
  <si>
    <t>Digitalisation driven urban metabolism circularity: A review and analysis of circular city initiatives</t>
  </si>
  <si>
    <t>LAND USE POLICY</t>
  </si>
  <si>
    <t>Urban metabolism; Digitalisation; Circular city; Sustainability; Circular economy; Urban development</t>
  </si>
  <si>
    <t>CYBER-PHYSICAL SYSTEM; DATA ANALYTICS; SMART CITIES; SUPPORT SUSTAINABILITY; AUTONOMOUS VEHICLES; COLLECTION SYSTEM; BIG DATA; ECONOMY; IOT; MANAGEMENT</t>
  </si>
  <si>
    <t>0264-8377</t>
  </si>
  <si>
    <t>1873-5754</t>
  </si>
  <si>
    <t>10.1016/j.landusepol.2021.105819</t>
  </si>
  <si>
    <t>Thomson, G; Newman, P</t>
  </si>
  <si>
    <t>Thomson, Giles; Newman, Peter</t>
  </si>
  <si>
    <t>Urban fabrics and urban metabolism - from sustainable to regenerative cities</t>
  </si>
  <si>
    <t>Urban metabolism; Urban fabrics; Regenerative design; Town planning</t>
  </si>
  <si>
    <t>10.1016/j.resconrec.2017.01.010</t>
  </si>
  <si>
    <t>Hu, MC; Fan, CH; Huang, TL; Wang, CF; Chen, YH</t>
  </si>
  <si>
    <t>Hu, Ming-Che; Fan, Chihhao; Huang, Tailin; Wang, Chi-Fang; Chen, Yu-Hui</t>
  </si>
  <si>
    <t>Urban Metabolic Analysis of a Food-Water-Energy System for Sustainable Resources Management</t>
  </si>
  <si>
    <t>INTERNATIONAL JOURNAL OF ENVIRONMENTAL RESEARCH AND PUBLIC HEALTH</t>
  </si>
  <si>
    <t>urban metabolism; food-water-energy; system dynamics simulation</t>
  </si>
  <si>
    <t>DYNAMIC-MODEL; NEXUS; CARBON; SIMULATION; OPTIMIZATION; EMISSIONS; CITIES</t>
  </si>
  <si>
    <t>1660-4601</t>
  </si>
  <si>
    <t>JAN 1</t>
  </si>
  <si>
    <t>10.3390/ijerph16010090</t>
  </si>
  <si>
    <t>Environmental Sciences; Public, Environmental &amp; Occupational Health</t>
  </si>
  <si>
    <t>Sahely, HR; Dudding, S; Kennedy, CA</t>
  </si>
  <si>
    <t>Estimating the urban metabolism of Canadian cities: Greater Toronto Area case study</t>
  </si>
  <si>
    <t>CANADIAN JOURNAL OF CIVIL ENGINEERING</t>
  </si>
  <si>
    <t>urban metabolism; urban sustainability; Canadian cities; materials; food; water and energy consumption; waste outputs</t>
  </si>
  <si>
    <t>SUSTAINABILITY; ECOSYSTEMS; SYSTEMS</t>
  </si>
  <si>
    <t>0315-1468</t>
  </si>
  <si>
    <t>10.1139/L02-105</t>
  </si>
  <si>
    <t>Engineering, Civil</t>
  </si>
  <si>
    <t>Carreón, JR; Worrell, E</t>
  </si>
  <si>
    <t>Carreon, Jesus Rosales; Worrell, Ernst</t>
  </si>
  <si>
    <t>Urban energy systems within the transition to sustainable development. A research agenda for urban metabolism</t>
  </si>
  <si>
    <t>Urban energy systems; Energy accounting; Urban metabolism; Energy services; Sustainable development</t>
  </si>
  <si>
    <t>CITY-REGIONS; SMART CITIES; GOVERNANCE; DEMOCRACY; SOCIETY; URBANIZATION; INDICATOR; DEMAND; GROWTH; MODEL</t>
  </si>
  <si>
    <t>10.1016/j.resconrec.2017.08.004</t>
  </si>
  <si>
    <t>Zhang, Y; Fath, BD</t>
  </si>
  <si>
    <t>Zhang, Yan; Fath, Brian D.</t>
  </si>
  <si>
    <t>Urban metabolism: Measuring sustainable cities through ecological modelling</t>
  </si>
  <si>
    <t>ECOLOGICAL MODELLING</t>
  </si>
  <si>
    <t>0304-3800</t>
  </si>
  <si>
    <t>1872-7026</t>
  </si>
  <si>
    <t>JAN 24</t>
  </si>
  <si>
    <t>10.1016/j.ecolmodel.2018.09.016</t>
  </si>
  <si>
    <t>Delivandani, F; Rajabi, A; Kermani, AN</t>
  </si>
  <si>
    <t>Delivandani, Farzad; Rajabi, Azita; Kermani, Ali Nouri</t>
  </si>
  <si>
    <t>Process-Based Improvement of Urban Metabolism in Optimizing the Development Cycle of the Small City Using MIA Method</t>
  </si>
  <si>
    <t>MATHEMATICAL PROBLEMS IN ENGINEERING</t>
  </si>
  <si>
    <t>EXTREME LEARNING-MACHINE; GREENHOUSE-GAS EMISSIONS; DECISION-MAKING; STUDENTS; SYSTEM; OPTIMIZATION; DIAGNOSIS; MARCELLUS; MASHHAD</t>
  </si>
  <si>
    <t>1024-123X</t>
  </si>
  <si>
    <t>1563-5147</t>
  </si>
  <si>
    <t>MAY 19</t>
  </si>
  <si>
    <t>10.1155/2021/5545307</t>
  </si>
  <si>
    <t>Engineering, Multidisciplinary; Mathematics, Interdisciplinary Applications</t>
  </si>
  <si>
    <t>Chen, B; Chen, SQ</t>
  </si>
  <si>
    <t>Chen, Bin; Chen, Shaoqing</t>
  </si>
  <si>
    <t>Urban metabolism and nexus</t>
  </si>
  <si>
    <t>ECOLOGICAL INFORMATICS</t>
  </si>
  <si>
    <t>GLOBAL CHANGE; ENERGY; WATER; EMISSIONS</t>
  </si>
  <si>
    <t>1574-9541</t>
  </si>
  <si>
    <t>1878-0512</t>
  </si>
  <si>
    <t>10.1016/j.ecoinf.2014.09.010</t>
  </si>
  <si>
    <t>Chen, B</t>
  </si>
  <si>
    <t>Chen, Bin</t>
  </si>
  <si>
    <t>Integrated ecological modelling for sustainable urban metabolism and management</t>
  </si>
  <si>
    <t>EMISSIONS</t>
  </si>
  <si>
    <t>DEC 24</t>
  </si>
  <si>
    <t>10.1016/j.ecolmodel.2015.10.009</t>
  </si>
  <si>
    <t>Pianegonda, A; Favargiotti, S; Ciolli, M</t>
  </si>
  <si>
    <t>Pianegonda, Angelica; Favargiotti, Sara; Ciolli, Marco</t>
  </si>
  <si>
    <t>Rural-Urban Metabolism: A Methodological Approach for Carbon-Positive and Circular Territories</t>
  </si>
  <si>
    <t>Urban Metabolism; ecological footprint; biocapacity and ecosystem services; human impact assessment</t>
  </si>
  <si>
    <t>ENVIRONMENTAL CARRYING-CAPACITY; ECOLOGICAL FOOTPRINT; CITIES</t>
  </si>
  <si>
    <t>10.3390/su142113964</t>
  </si>
  <si>
    <t>Wachsmuth, D</t>
  </si>
  <si>
    <t>Wachsmuth, David</t>
  </si>
  <si>
    <t>Three Ecologies: Urban Metabolism and the Society-Nature Opposition</t>
  </si>
  <si>
    <t>SOCIOLOGICAL QUARTERLY</t>
  </si>
  <si>
    <t>CITY; URBANIZATION</t>
  </si>
  <si>
    <t>0038-0253</t>
  </si>
  <si>
    <t>1533-8525</t>
  </si>
  <si>
    <t>FAL</t>
  </si>
  <si>
    <t>10.1111/j.1533-8525.2012.01247.x</t>
  </si>
  <si>
    <t>Sociology</t>
  </si>
  <si>
    <t>Townsend, AM</t>
  </si>
  <si>
    <t>Life in the real-time city: Mobile telephones and urban metabolism</t>
  </si>
  <si>
    <t>10.1080/713684114</t>
  </si>
  <si>
    <t>Sert, E</t>
  </si>
  <si>
    <t>Sert, Esra</t>
  </si>
  <si>
    <t>Metabolic Flows of Water in Istanbul in the Nineteenth Century: Tap Water, Waste, and Sanitation</t>
  </si>
  <si>
    <t>JOURNAL OF URBAN HISTORY</t>
  </si>
  <si>
    <t>metabolic flows of water; Istanbul; tap water; infrastructure; nineteenth century</t>
  </si>
  <si>
    <t>URBAN POLITICAL ECOLOGY</t>
  </si>
  <si>
    <t>0096-1442</t>
  </si>
  <si>
    <t>1552-6771</t>
  </si>
  <si>
    <t>2022 FEB 5</t>
  </si>
  <si>
    <t>10.1177/00961442211073461</t>
  </si>
  <si>
    <t>History; History Of Social Sciences; Urban Studies</t>
  </si>
  <si>
    <t>Muñoz, E; Navia, R</t>
  </si>
  <si>
    <t>Munoz, Edmundo; Navia, Rodrigo</t>
  </si>
  <si>
    <t>Urban metabolism as a key method to assess sustainability of cities</t>
  </si>
  <si>
    <t>WASTE MANAGEMENT &amp; RESEARCH</t>
  </si>
  <si>
    <t>0734-242X</t>
  </si>
  <si>
    <t>1096-3669</t>
  </si>
  <si>
    <t>10.1177/0734242X18793339</t>
  </si>
  <si>
    <t>Xu, L; Du, HR; Zhang, XL</t>
  </si>
  <si>
    <t>Xu, Li; Du, Hongru; Zhang, Xiaolei</t>
  </si>
  <si>
    <t>A classification approach for urban metabolism using the CART model and its application in China</t>
  </si>
  <si>
    <t>Urban metabolism; Classification; CART; Sustainable development; China; Cities</t>
  </si>
  <si>
    <t>DECISION TREE; ENERGY-CONSUMPTION; REGRESSION; SYSTEM; AREAS; PERSPECTIVE; CITIES; CITY; URBANIZATION; MITIGATION</t>
  </si>
  <si>
    <t>2021 APR</t>
  </si>
  <si>
    <t>10.1016/j.ecolind.2021.107345</t>
  </si>
  <si>
    <t>JAN 2021</t>
  </si>
  <si>
    <t>Wang, XJ; Zhang, Y; Zhang, J; Fu, CL; Zhang, XL</t>
  </si>
  <si>
    <t>Wang, Xinjing; Zhang, Yan; Zhang, Jun; Fu, Chenling; Zhang, Xiaolin</t>
  </si>
  <si>
    <t>Progress in urban metabolism research and hotspot analysis based on CiteSpace analysis</t>
  </si>
  <si>
    <t>JOURNAL OF CLEANER PRODUCTION</t>
  </si>
  <si>
    <t>Urban metabolism; Research progress; Research hotspots; CiteSpace; Review</t>
  </si>
  <si>
    <t>SYSTEM MODEL DEVELOPMENT; CARBON METABOLISM; ENERGY-METABOLISM; METROPOLITAN-AREA; RIVER DELTA; CITIES; WATER; FLOW; SUSTAINABILITY; URBANIZATION</t>
  </si>
  <si>
    <t>0959-6526</t>
  </si>
  <si>
    <t>1879-1786</t>
  </si>
  <si>
    <t>JAN 25</t>
  </si>
  <si>
    <t>10.1016/j.jclepro.2020.125224</t>
  </si>
  <si>
    <t>Kennedy, C; Cuddihy, J; Engel-Yan, J</t>
  </si>
  <si>
    <t>Kennedy, Christopher; Cuddihy, John; Engel-Yan, Joshua</t>
  </si>
  <si>
    <t>The changing metabolism of cities</t>
  </si>
  <si>
    <t>global cities; industrial ecology; materials flow analysis (MFA); sustainable cities; urban environment; urban metabolism</t>
  </si>
  <si>
    <t>URBAN METABOLISM; SUSTAINABILITY; CONSUMPTION; ENVIRONMENT; ISLANDS; BALANCE; HEAT; CITY</t>
  </si>
  <si>
    <t>10.1162/jie.2007.1107</t>
  </si>
  <si>
    <t>Eco-indicators for urban metabolism Preface</t>
  </si>
  <si>
    <t>GLOBAL CHANGE; SUSTAINABILITY; EMISSIONS; ENVIRON; EMERGY; EXERGY</t>
  </si>
  <si>
    <t>10.1016/j.ecolind.2014.09.021</t>
  </si>
  <si>
    <t>Kissinger, M; Stossel, Z</t>
  </si>
  <si>
    <t>Kissinger, Meidad; Stossel, Zeev</t>
  </si>
  <si>
    <t>Towards an interspatial urban metabolism analysis in an interconnected world</t>
  </si>
  <si>
    <t>Urban metabolism; Interspatial connection; Interregional sustainability; Materials flow; Tel-Aviv Jaffa</t>
  </si>
  <si>
    <t>CITIES; SUSTAINABILITY; FOOTPRINT</t>
  </si>
  <si>
    <t>10.1016/j.ecolind.2018.11.022</t>
  </si>
  <si>
    <t>Halden, R</t>
  </si>
  <si>
    <t>Halden, Rolf</t>
  </si>
  <si>
    <t>Urban metabolism metrology: Policy changes and lessons learned from a US case study</t>
  </si>
  <si>
    <t>ABSTRACTS OF PAPERS OF THE AMERICAN CHEMICAL SOCIETY</t>
  </si>
  <si>
    <t>0065-7727</t>
  </si>
  <si>
    <t>AUG 19</t>
  </si>
  <si>
    <t>Chemistry, Multidisciplinary</t>
  </si>
  <si>
    <t>Rúa, D; Castaneda, M; Zapata, S; Dyner, I</t>
  </si>
  <si>
    <t>Rua, Diego; Castaneda, Monica; Zapata, Sebastian; Dyner, Isaac</t>
  </si>
  <si>
    <t>Simulating the efficient diffusion of photovoltaics in Bogota: An urban metabolism approach</t>
  </si>
  <si>
    <t>ENERGY</t>
  </si>
  <si>
    <t>Solar panels; Distributed generation; Urban metabolism; Technology adoption modelling; Bogota</t>
  </si>
  <si>
    <t>RENEWABLE ENERGY; SOLAR PV; ELECTRICITY; SYSTEMS; COLOMBIA; POLICY; COMPETITIVENESS; GENERATION; MICROGRIDS; SUBSIDIES</t>
  </si>
  <si>
    <t>0360-5442</t>
  </si>
  <si>
    <t>1873-6785</t>
  </si>
  <si>
    <t>MAR 15</t>
  </si>
  <si>
    <t>10.1016/j.energy.2020.117048</t>
  </si>
  <si>
    <t>Thermodynamics; Energy &amp; Fuels</t>
  </si>
  <si>
    <t>Hidding, MC</t>
  </si>
  <si>
    <t>Hidding, Marjan C.</t>
  </si>
  <si>
    <t>In the nature of cities: urban political ecology and the politics of urban metabolism</t>
  </si>
  <si>
    <t>JOURNAL OF HOUSING AND THE BUILT ENVIRONMENT</t>
  </si>
  <si>
    <t>1566-4910</t>
  </si>
  <si>
    <t>10.1007/s10901-007-9098-1</t>
  </si>
  <si>
    <t>Environmental Studies; Regional &amp; Urban Planning; Urban Studies</t>
  </si>
  <si>
    <t>Bosoni, G</t>
  </si>
  <si>
    <t>Bosoni, Giampiero</t>
  </si>
  <si>
    <t>Parasitic architecture - Modes and locations of a new genetic bricolage of the urban metabolism</t>
  </si>
  <si>
    <t>LOTUS INTERNATIONAL</t>
  </si>
  <si>
    <t>1124-9064</t>
  </si>
  <si>
    <t>Moore, SA</t>
  </si>
  <si>
    <t>Moore, Sarah A.</t>
  </si>
  <si>
    <t>In the nature of cities: Urban political ecology and the politics of Urban metabolism</t>
  </si>
  <si>
    <t>URBAN GEOGRAPHY</t>
  </si>
  <si>
    <t>0272-3638</t>
  </si>
  <si>
    <t>FEB-MAR</t>
  </si>
  <si>
    <t>10.2747/0272-3638.28.2.206</t>
  </si>
  <si>
    <t>Geography; Urban Studies</t>
  </si>
  <si>
    <t>Chester, M; Pincetl, S; Allenby, B</t>
  </si>
  <si>
    <t>Chester, Mikhail; Pincetl, Stephanie; Allenby, Braden</t>
  </si>
  <si>
    <t>Avoiding unintended tradeoffs by integrating life-cycle impact assessment with urban metabolism</t>
  </si>
  <si>
    <t>CURRENT OPINION IN ENVIRONMENTAL SUSTAINABILITY</t>
  </si>
  <si>
    <t>HUMAN HEALTH DAMAGE; DECISION-ANALYSIS; AIR-POLLUTION; ENERGY; CITIES; LCA; TRANSPORTATION; CONSTRUCTION; TECHNOLOGIES; METHODOLOGY</t>
  </si>
  <si>
    <t>1877-3435</t>
  </si>
  <si>
    <t>10.1016/j.cosust.2012.08.004</t>
  </si>
  <si>
    <t>Green &amp; Sustainable Science &amp; Technology; Environmental Sciences</t>
  </si>
  <si>
    <t>Zhang, Y</t>
  </si>
  <si>
    <t>Zhang, Yan</t>
  </si>
  <si>
    <t>Urban metabolism: A review of research methodologies</t>
  </si>
  <si>
    <t>Urban ecology; Urban metabolism; Process analysis; Accounting and assessment; Model simulation; Optimization and regulation</t>
  </si>
  <si>
    <t>ECOLOGICAL NETWORK ANALYSIS; SYSTEM MODEL DEVELOPMENT; UNITED-STATES-ECONOMY; CARBON EMISSIONS; EMERGY SYNTHESIS; SOCIOECONOMIC METABOLISM; SUSTAINABLE DEVELOPMENT; ENERGETIC METABOLISM; FLOW-ANALYSIS; ENVIRONMENTAL-IMPACT</t>
  </si>
  <si>
    <t>10.1016/j.envpol.2013.03.052</t>
  </si>
  <si>
    <t>Feiferyte-Skiriene, A; Stasiskiene, Z</t>
  </si>
  <si>
    <t>Feiferyte-Skiriene, Akvile; Stasiskiene, Zaneta</t>
  </si>
  <si>
    <t>Seeking Circularity: Circular Urban Metabolism in the Context of Industrial Symbiosis</t>
  </si>
  <si>
    <t>circular economy; circular cities; urban metabolism; circular urban metabolism; industrial symbiosis</t>
  </si>
  <si>
    <t>ECONOMY; CITY; CITIES; WASTE; INDICATORS; BENEFITS; ECOLOGY; ENERGY; MODEL; PARK</t>
  </si>
  <si>
    <t>10.3390/su13169094</t>
  </si>
  <si>
    <t>Paul, R; Kenway, S; McIntosh, B; Mukheibir, P</t>
  </si>
  <si>
    <t>Paul, Reba; Kenway, Steven; McIntosh, Brian; Mukheibir, Pierre</t>
  </si>
  <si>
    <t>Urban metabolism of Bangalore City: A water mass balance analysis (vol 22, pg 1413, 2018)</t>
  </si>
  <si>
    <t>Correction; Early Access</t>
  </si>
  <si>
    <t>2019 AUG</t>
  </si>
  <si>
    <t>10.1111/jiec.12925</t>
  </si>
  <si>
    <t>JUL 2019</t>
  </si>
  <si>
    <t>Urban metabolism metrology: A new discipline elucidating the human condition in cities around the world</t>
  </si>
  <si>
    <t>AUG 20</t>
  </si>
  <si>
    <t>Venkatesan, A; Chen, J; Steele, J; Halden, R</t>
  </si>
  <si>
    <t>Venkatesan, Arjun; Chen, Jing; Steele, Joshua; Halden, Rolf</t>
  </si>
  <si>
    <t>Application of urban metabolism metrology to monitor chemical consumption, exposures, and population health in US communities</t>
  </si>
  <si>
    <t>Digital Technologies for Urban Metabolism Efficiency: Lessons from Urban Agenda Partnership on Circular Economy</t>
  </si>
  <si>
    <t>urban metabolism; smart urban metabolism; digitalization; circular city; circular economy; sustainability; urban development; city 4; 0; smart city; urban sensors</t>
  </si>
  <si>
    <t>ARTIFICIAL-INTELLIGENCE AI; BUSINESS MODEL INNOVATION; DRIVEN SMART URBANISM; LIFE-CYCLE ASSESSMENT; BIG DATA ANALYTICS; SUSTAINABLE DEVELOPMENT; SUPPORT SUSTAINABILITY; AUTONOMOUS VEHICLES; MANAGEMENT-SYSTEM; ENERGY MANAGEMENT</t>
  </si>
  <si>
    <t>10.3390/su13116043</t>
  </si>
  <si>
    <t>Beloin-Saint-Pierre, D; Rugani, B; Lasvaux, S; Mailhac, A; Popovici, E; Sibiude, G; Benetto, E; Schiopu, N</t>
  </si>
  <si>
    <t>Beloin-Saint-Pierre, Didier; Rugani, Benedetto; Lasvaux, Sebastien; Mailhac, Adelaide; Popovici, Emil; Sibiude, Galdric; Benetto, Enrico; Schiopu, Nicoleta</t>
  </si>
  <si>
    <t>A review of urban metabolism studies to identify key methodological choices for future harmonization and implementation</t>
  </si>
  <si>
    <t>Urban metabolism; Environmental sustainability; Industrial ecology; Life cycle; Methodological choices</t>
  </si>
  <si>
    <t>LIFE-CYCLE ASSESSMENT; ECOLOGICAL NETWORK ANALYSIS; SYSTEM MODEL DEVELOPMENT; INPUT-OUTPUT TABLES; ENVIRONMENTAL ASSESSMENT; EMERGY SYNTHESIS; ECOSYSTEM APPROPRIATION; ENERGETIC METABOLISM; SOCIAL METABOLISM; METROPOLITAN-AREA</t>
  </si>
  <si>
    <t>OCT 1</t>
  </si>
  <si>
    <t>S</t>
  </si>
  <si>
    <t>S223</t>
  </si>
  <si>
    <t>S240</t>
  </si>
  <si>
    <t>10.1016/j.jclepro.2016.09.014</t>
  </si>
  <si>
    <t>Estimating the urban metabolism of Canadian cities: Greater Toronto Area case study (vol 30, pg 468, 2003)</t>
  </si>
  <si>
    <t>Correction</t>
  </si>
  <si>
    <t>10.1139/L03-054</t>
  </si>
  <si>
    <t>An integrated, multi-scale approach for modelling urban metabolism changes as a means for assessing urban sustainability</t>
  </si>
  <si>
    <t>SUSTAINABLE CITIES AND SOCIETY</t>
  </si>
  <si>
    <t>Urban sustainability; Urban metabolism; Sustainability modeling; Multi spatial scales</t>
  </si>
  <si>
    <t>2210-6707</t>
  </si>
  <si>
    <t>2210-6715</t>
  </si>
  <si>
    <t>10.1016/j.scs.2020.102695</t>
  </si>
  <si>
    <t>Construction &amp; Building Technology; Green &amp; Sustainable Science &amp; Technology; Energy &amp; Fuels</t>
  </si>
  <si>
    <t>Sun, L; Dong, HJ; Geng, Y; Li, ZL; Liu, Z; Fujita, T; Ohnishi, S; Fujii, M</t>
  </si>
  <si>
    <t>Sun, Lu; Dong, Huijuan; Geng, Yong; Li, Zhaoling; Liu, Zhe; Fujita, Tsuyoshi; Ohnishi, Satoshi; Fujii, Minoru</t>
  </si>
  <si>
    <t>Uncovering driving forces on urban metabolism-A case of Shenyang</t>
  </si>
  <si>
    <t>Urban metabolism; Emergy; LMDI; Sustainability</t>
  </si>
  <si>
    <t>ECOLOGICAL FOOTPRINT; DECOMPOSITION ANALYSIS; EMISSION REDUCTION; EMERGY EVALUATIONS; SUSTAINABILITY; INDUSTRIAL; CHINA; ENERGY; TRANSFORMITY; POLICY</t>
  </si>
  <si>
    <t>FEB 15</t>
  </si>
  <si>
    <t>10.1016/j.jclepro.2015.05.053</t>
  </si>
  <si>
    <t>Mostafavi, N; Farzinmoghadam, M; Hoque, S</t>
  </si>
  <si>
    <t>Mostafavi, Nariman; Farzinmoghadam, Mohamad; Hoque, Simi</t>
  </si>
  <si>
    <t>Urban residential energy consumption modeling in the Integrated Urban Metabolism Analysis Tool (IUMAT)</t>
  </si>
  <si>
    <t>Urban metabolism; Urban energy modeling; Energy consumption; Residential energy use; IUMAT; Quantile regression</t>
  </si>
  <si>
    <t>BOTTOM-UP; EFFICIENCY MEASURES; DOMESTIC ENERGY; TOP-DOWN; UK; REGRESSION; EMISSIONS; CHALLENGES; BEHAVIOR; POLICIES</t>
  </si>
  <si>
    <t>10.1016/j.buildenv.2016.12.035</t>
  </si>
  <si>
    <t>Ecosystem metabolism framework, metrics and indicators towards sustainable society design and management</t>
  </si>
  <si>
    <t>URBAN METABOLISM; WATER; CONSUMPTION; EMISSIONS; SYSTEM; MODEL</t>
  </si>
  <si>
    <t>10.1016/j.ecoinf.2014.09.009</t>
  </si>
  <si>
    <t>Bai, XM</t>
  </si>
  <si>
    <t>Bai, Xuemei</t>
  </si>
  <si>
    <t>Eight energy and material flow characteristics of urban ecosystems</t>
  </si>
  <si>
    <t>AMBIO</t>
  </si>
  <si>
    <t>Urban metabolism; Urban ecosystem; Energy and material flows; Cross pollination; Integrated urban theory</t>
  </si>
  <si>
    <t>ECOLOGICAL-SYSTEMS; RESILIENT CITIES; HONG-KONG; METABOLISM; CITY; CHINA; EMISSIONS; IMPACTS; INTERDISCIPLINARY; HETEROGENEITY</t>
  </si>
  <si>
    <t>0044-7447</t>
  </si>
  <si>
    <t>1654-7209</t>
  </si>
  <si>
    <t>10.1007/s13280-016-0785-6</t>
  </si>
  <si>
    <t>Where Are All the Data? The Case for a Comprehensive Water and Wastewater Utility Database</t>
  </si>
  <si>
    <t>JOURNAL OF WATER RESOURCES PLANNING AND MANAGEMENT</t>
  </si>
  <si>
    <t>URBAN METABOLISM; CITIES; ENERGY</t>
  </si>
  <si>
    <t>0733-9496</t>
  </si>
  <si>
    <t>1943-5452</t>
  </si>
  <si>
    <t>10.1061/(ASCE)WR.1943-5452.0000739</t>
  </si>
  <si>
    <t>Engineering, Civil; Water Resources</t>
  </si>
  <si>
    <t>Burket, S; Zheng, JS; Chambliss, K; Chung, SS; Brooks, B</t>
  </si>
  <si>
    <t>Burket, Sarah; Zheng, J. S.; Chambliss, Kevin; Chung, S. S.; Brooks, Bryan</t>
  </si>
  <si>
    <t>Examining urban metabolism and contaminants of emerging concern in coastal environments: A pilot study in Hong Kong and Taipei</t>
  </si>
  <si>
    <t>APR 2</t>
  </si>
  <si>
    <t>Li, Y; Beeton, RJS; Halog, A; Sigler, T</t>
  </si>
  <si>
    <t>Li, Ying; Beeton, R. J. S.; Halog, Anthony; Sigler, Thomas</t>
  </si>
  <si>
    <t>Evaluating urban sustainability potential based on material flow analysis of inputs and outputs: A case study in Jinchang City, China</t>
  </si>
  <si>
    <t>Material inputs and outputs; Urban metabolism; Urban sustainability; Decoupling; Industrial city; North-western China</t>
  </si>
  <si>
    <t>ECONOMIC-GROWTH; DECOMPOSITION ANALYSIS; AIR-POLLUTION; METABOLISM; ENERGY; ENVIRONMENT; INDICATORS; EMISSIONS; REGION; IMPACT</t>
  </si>
  <si>
    <t>10.1016/j.resconrec.2016.03.023</t>
  </si>
  <si>
    <t>Chrysoulakis, N; Lopes, M; San Jose, R; Grimmond, CSB; Jones, MB; Magliulo, V; Klostermann, JEM; Synnefa, A; Mitraka, Z; Castro, EA; González, A; Vogt, R; Vesala, T; Spano, D; Pigeon, G; Freer-Smith, P; Staszewski, T; Hodges, N; Mills, G; Cartalis, C</t>
  </si>
  <si>
    <t>Chrysoulakis, Nektarios; Lopes, Myriam; San Jose, Roberto; Grimmond, Christine Susan Betham; Jones, Mike B.; Magliulo, Vincenzo; Klostermann, Judith E. M.; Synnefa, Afroditi; Mitraka, Zina; Castro, Eduardo A.; Gonzalez, Ainhoa; Vogt, Roland; Vesala, Timo; Spano, Donatella; Pigeon, Gregoire; Freer-Smith, Peter; Staszewski, Tomasz; Hodges, Nick; Mills, Gerald; Cartalis, Constantinos</t>
  </si>
  <si>
    <t>Sustainable urban metabolism as a link between bio-physical sciences and urban planning: The BRIDGE project</t>
  </si>
  <si>
    <t>Urban metabolism; Flux measurements; Modelling; Multi-criteria analysis; Decision Support Systems; Urban planning alternatives</t>
  </si>
  <si>
    <t>CARBON-DIOXIDE EMISSIONS; WATER-BALANCE; AIR-QUALITY; LOS-ANGELES; HEAT-FLUX; MODEL; ENERGY; SCHEME; VALIDATION; ALGORITHM</t>
  </si>
  <si>
    <t>10.1016/j.landurbplan.2012.12.005</t>
  </si>
  <si>
    <t>Maselli, G; Zucaro, A; Ulgiati, S</t>
  </si>
  <si>
    <t>Maselli, Gabriella; Zucaro, Amalia; Ulgiati, Sergio</t>
  </si>
  <si>
    <t>Editorial: Insights in urban resource management: 2021</t>
  </si>
  <si>
    <t>urban resource management; urban metabolism; sustainable resource use; circular economy; circular cities</t>
  </si>
  <si>
    <t>WATER; LAND</t>
  </si>
  <si>
    <t>JAN 6</t>
  </si>
  <si>
    <t>10.3389/frsc.2022.1114692</t>
  </si>
  <si>
    <t>Lv, HD; Yang, L; Zhou, JS; Zhang, X; Wu, WJ; Li, YM; Jiang, DL</t>
  </si>
  <si>
    <t>Lv, Haodong; Yang, Lin; Zhou, Jinsheng; Zhang, Xian; Wu, Wenjing; Li, Yiming; Jiang, Dalin</t>
  </si>
  <si>
    <t>Water resource synergy management in response to climate change in China: From the perspective of urban metabolism (vol 163, 105095, 2020)</t>
  </si>
  <si>
    <t>10.1016/j.resconrec.2021.106017</t>
  </si>
  <si>
    <t>Padovan, D; Cristiano, S; Gonella, F</t>
  </si>
  <si>
    <t>Padovan, Dario; Cristiano, Silvio; Gonella, Francesco</t>
  </si>
  <si>
    <t>Strategies of socio-ecological transition for a sustainable urban metabolism</t>
  </si>
  <si>
    <t>systems thinking; urban metabolism; social innovation; socio-economic rightsizing; material intensity; urban economy; sustainable urban planning and governance</t>
  </si>
  <si>
    <t>CLIMATE-CHANGE; PATTERN; ENERGY; POLICY; CITY</t>
  </si>
  <si>
    <t>NOV 23</t>
  </si>
  <si>
    <t>10.3389/frsc.2022.875912</t>
  </si>
  <si>
    <t>Zhou, CB; Huang, HP; Cao, AX; Xu, WY</t>
  </si>
  <si>
    <t>Zhou, Chuanbin; Huang, Heping; Cao, Aixin; Xu, Wanying</t>
  </si>
  <si>
    <t>Modeling the carbon cycle of the municipal solid waste management system for urban metabolism</t>
  </si>
  <si>
    <t>Carbon cycle; Carbon stock; Model; Urban metabolism; Municipal solid waste</t>
  </si>
  <si>
    <t>EMISSIONS; TECHNOLOGIES; GENERATION; INVENTORY; RECOVERY; LANDFILL</t>
  </si>
  <si>
    <t>10.1016/j.ecolmodel.2014.11.027</t>
  </si>
  <si>
    <t>Mitraka, Z; Diamantakis, E; Chrysoulakis, N; Castro, EA; San Jose, R; Gonzalez, A; Blecic, I</t>
  </si>
  <si>
    <t>Mitraka, Zina; Diamantakis, Emmanouil; Chrysoulakis, Nektarios; Castro, Eduardo Anselmo; San Jose, Roberto; Gonzalez, Ainhoa; Blecic, Ivan</t>
  </si>
  <si>
    <t>Incorporating Bio-Physical Sciences into a Decision Support Tool for Sustainable Urban Planning</t>
  </si>
  <si>
    <t>spatial decision support systems; urban planning; sustainability indicators; urban metabolism</t>
  </si>
  <si>
    <t>METABOLISM; GIS</t>
  </si>
  <si>
    <t>10.3390/su6117982</t>
  </si>
  <si>
    <t>San José, R; Pérez, JL; González, RM</t>
  </si>
  <si>
    <t>San Jose, Roberto; Perez, Juan L.; Gonzalez, Rosa M.</t>
  </si>
  <si>
    <t>USING WRF/UCM AND CMAQ MESOSCALE MODELS WITH VERY HIGH RESOLUTION OVER EUROPEAN URBAN CITIES</t>
  </si>
  <si>
    <t>FRESENIUS ENVIRONMENTAL BULLETIN</t>
  </si>
  <si>
    <t>WRF/UCM; high resolution; urban metabolism; BRIDGE; CMAQ</t>
  </si>
  <si>
    <t>1018-4619</t>
  </si>
  <si>
    <t>1610-2304</t>
  </si>
  <si>
    <t>12C</t>
  </si>
  <si>
    <t>Rodríguez, JMP; Guida, AG; Márquez, AMD</t>
  </si>
  <si>
    <t>Rodriguez, Juana Mercedes Perlaza; Guida, Antonella Grazia; Marquez, Angela Maria Diaz</t>
  </si>
  <si>
    <t>Urban metabolism of human settlements in small island-protected environments</t>
  </si>
  <si>
    <t>ENVIRONMENTAL AND SUSTAINABILITY INDICATORS</t>
  </si>
  <si>
    <t>Urban metabolism; Human settlements; Protected island environments; Culture; Socio-territorial dynamics</t>
  </si>
  <si>
    <t>DE-NORONHA ARCHIPELAGO; CARBON EMISSIONS; GALAPAGOS; CITIES</t>
  </si>
  <si>
    <t>2665-9727</t>
  </si>
  <si>
    <t>2024 FEB</t>
  </si>
  <si>
    <t>10.1016/j.indic.2023.100324</t>
  </si>
  <si>
    <t>DEC 2023</t>
  </si>
  <si>
    <t>Environmental Sciences; Environmental Studies</t>
  </si>
  <si>
    <t>Davoudi, S; Sturzaker, J</t>
  </si>
  <si>
    <t>Davoudi, Simin; Sturzaker, John</t>
  </si>
  <si>
    <t>Urban form, policy packaging and sustainable urban metabolism</t>
  </si>
  <si>
    <t>Sustainable metabolism; Urban form; Planning; Development process; Policy packaging</t>
  </si>
  <si>
    <t>SMART-GROWTH; MODELS</t>
  </si>
  <si>
    <t>10.1016/j.resconrec.2017.01.011</t>
  </si>
  <si>
    <t>Chen, F; Chen, YF</t>
  </si>
  <si>
    <t>Chen, Fei; Chen, Yifan</t>
  </si>
  <si>
    <t>Urban Metabolism and Spontaneous Architectural Growth: A Sustainable Strategy Featuring Participatory Co-Construction by Multiple Stakeholders</t>
  </si>
  <si>
    <t>BUILDINGS</t>
  </si>
  <si>
    <t>urban metabolism; sustainable spontaneous growth; information technology; participatory co-construction; adaptive construction technology</t>
  </si>
  <si>
    <t>CITY</t>
  </si>
  <si>
    <t>2075-5309</t>
  </si>
  <si>
    <t>10.3390/buildings12030352</t>
  </si>
  <si>
    <t>Construction &amp; Building Technology; Engineering, Civil</t>
  </si>
  <si>
    <t>Barrera, PP; Carreón, JR; de Boer, HJ</t>
  </si>
  <si>
    <t>Barrera, Paola Pulido; Carreon, Jesus Rosales; de Boer, Hugo J.</t>
  </si>
  <si>
    <t>A multi-level framework for metabolism in urban energy systems from an ecological perspective</t>
  </si>
  <si>
    <t>Urban metabolism; Multilevel organization; Metabolic theory of ecology; Regulation; Urban energy systems</t>
  </si>
  <si>
    <t>ALLOMETRIC SCALING LAWS; POPULATION-DENSITY; BODY-SIZE; TEMPERATURE; ECOSYSTEMS; BIOLOGY; DESIGN; ORGANISMS; EVOLUTION; POLICIES</t>
  </si>
  <si>
    <t>10.1016/j.resconrec.2017.05.005</t>
  </si>
  <si>
    <t>Song, T; Cai, JM; Chahine, T; Xu, H; Niu, FQ</t>
  </si>
  <si>
    <t>Song, Tao; Cai, Jian-ming; Chahine, Teresa; Xu, Hui; Niu, Fang-qu</t>
  </si>
  <si>
    <t>Modeling urban metabolism of Beijing city, China: with a coupled system dynamics: emergy model</t>
  </si>
  <si>
    <t>STOCHASTIC ENVIRONMENTAL RESEARCH AND RISK ASSESSMENT</t>
  </si>
  <si>
    <t>Urban metabolism; Emergy; System dynamic model; Beijing; Sustainable development</t>
  </si>
  <si>
    <t>SUSTAINABILITY; MANAGEMENT</t>
  </si>
  <si>
    <t>1436-3240</t>
  </si>
  <si>
    <t>1436-3259</t>
  </si>
  <si>
    <t>10.1007/s00477-013-0830-y</t>
  </si>
  <si>
    <t>Engineering, Environmental; Engineering, Civil; Environmental Sciences; Statistics &amp; Probability; Water Resources</t>
  </si>
  <si>
    <t>Manning, WJ</t>
  </si>
  <si>
    <t>Manning, William J.</t>
  </si>
  <si>
    <t>Plants in urban ecosystems: Essential role of urban forests in urban metabolism and succession toward sustainability</t>
  </si>
  <si>
    <t>INTERNATIONAL JOURNAL OF SUSTAINABLE DEVELOPMENT AND WORLD ECOLOGY</t>
  </si>
  <si>
    <t>urban forest; BVOCs; urban metabolism and succession; urban waste and energy</t>
  </si>
  <si>
    <t>TREES; SEQUESTRATION; POLLUTION</t>
  </si>
  <si>
    <t>1350-4509</t>
  </si>
  <si>
    <t>1745-2627</t>
  </si>
  <si>
    <t>10.3843/SusDev.15.4:12</t>
  </si>
  <si>
    <t>Green &amp; Sustainable Science &amp; Technology; Ecology</t>
  </si>
  <si>
    <t>Lucertini, G; Musco, F</t>
  </si>
  <si>
    <t>Lucertini, Giulia; Musco, Francesco</t>
  </si>
  <si>
    <t>Circular Urban Metabolism Framework</t>
  </si>
  <si>
    <t>ONE EARTH</t>
  </si>
  <si>
    <t>ECONOMY</t>
  </si>
  <si>
    <t>2590-3330</t>
  </si>
  <si>
    <t>2590-3322</t>
  </si>
  <si>
    <t>FEB 21</t>
  </si>
  <si>
    <t>10.1016/j.oneear.2020.02.004</t>
  </si>
  <si>
    <t>Voskamp, IM; Spiller, M; Stremke, S; Bregt, AK; Vreugdenhil, C; Rijnaarts, HHM</t>
  </si>
  <si>
    <t>Voskamp, Ilse M.; Spiller, Marc; Stremke, Sven; Bregt, Arnold K.; Vreugdenhil, Corne; Rijnaarts, Huub H. M.</t>
  </si>
  <si>
    <t>Space-time information analysis for resource-conscious urban planning and design: A stakeholder based identification of urban metabolism data gaps</t>
  </si>
  <si>
    <t>Urban metabolism; Sustainable resource management; Urban infrastructure; Urban planning; Spatiotemporal analysis</t>
  </si>
  <si>
    <t>BIO-PHYSICAL SCIENCES; ENERGY FUTURE; MANAGEMENT; WATER; CHALLENGES; SYSTEMS; OPPORTUNITIES; KNOWLEDGE; TOOL</t>
  </si>
  <si>
    <t>10.1016/j.resconrec.2016.08.026</t>
  </si>
  <si>
    <t>Lin, L; Liu, M; Luo, FX; Wang, K; Zhang, QZ; Xiang, WN</t>
  </si>
  <si>
    <t>Lin, Lin; Liu, Min; Luo, Feixiong; Wang, Kai; Zhang, Qiuzhuo; Xiang, Wei-Ning</t>
  </si>
  <si>
    <t>Comment on The study of urban metabolism and its applications to urban planning and design by Kennedy et al. (2011)</t>
  </si>
  <si>
    <t>Letter</t>
  </si>
  <si>
    <t>CITY; ECOLOGY; CITIES</t>
  </si>
  <si>
    <t>10.1016/j.envpol.2012.04.011</t>
  </si>
  <si>
    <t>Peña, DO; Perrotti, D; Mohareb, E</t>
  </si>
  <si>
    <t>Pena, Daniel Otero; Perrotti, Daniela; Mohareb, Eugene</t>
  </si>
  <si>
    <t>Advancing urban metabolism studies through GIS data: Resource flows, open space networks, and vulnerable communities in Mexico City</t>
  </si>
  <si>
    <t>Global South; green and blue infrastructure; industrial ecology; social-ecological systems; urban and landscape planning; urban resource harvesting</t>
  </si>
  <si>
    <t>WATER; ENERGY; LANDSCAPE; SYSTEMS; CONNECTIVITY; COMMONS; WASTE; NEXUS</t>
  </si>
  <si>
    <t>2022 AUG</t>
  </si>
  <si>
    <t>10.1111/jiec.13261</t>
  </si>
  <si>
    <t>APR 2022</t>
  </si>
  <si>
    <t>Reply to Comment on The study of urban metabolism and its applications to urban planning and design by Kennedy et al. (2011)</t>
  </si>
  <si>
    <t>10.1016/j.envpol.2012.04.012</t>
  </si>
  <si>
    <t>Braham, WW; Lee, JM</t>
  </si>
  <si>
    <t>Braham, William W.; Lee, Jae Min</t>
  </si>
  <si>
    <t>Metabolism of Urban Location: Travel Time and the Morphology of Cities</t>
  </si>
  <si>
    <t>urban self-organization; urban metabolism; emergy synthesis; Philadelphia; transportation; land value</t>
  </si>
  <si>
    <t>10.3389/frsc.2020.00004</t>
  </si>
  <si>
    <t>Warren-Rhodes, K; Koenig, A</t>
  </si>
  <si>
    <t>Escalating trends in the urban metabolism of Hong Kong: 1971-1997</t>
  </si>
  <si>
    <t>MANAGEMENT; ECOSYSTEMS</t>
  </si>
  <si>
    <t>10.1639/0044-7447(2001)030[0429:ETITUM]2.0.CO;2</t>
  </si>
  <si>
    <t>Response to authors' reply regarding The study of urban metabolism and its applications to urban planning and design by Kennedy et al. (2011)</t>
  </si>
  <si>
    <t>10.1016/j.envpol.2012.04.013</t>
  </si>
  <si>
    <t>Cárdenas-Mamani, U; Perrotti, D</t>
  </si>
  <si>
    <t>Cardenas-Mamani, Ursula; Perrotti, Daniela</t>
  </si>
  <si>
    <t>Understanding the contribution of ecosystem services to urban metabolism assessments: An integrated framework</t>
  </si>
  <si>
    <t>Material flow analysis; System dynamics; Urban sustainability</t>
  </si>
  <si>
    <t>SYSTEM DYNAMICS; CARBON METABOLISM; RURAL ECOSYSTEMS; WATER; SUPPORT; CITY; FLOW; ENERGY; CITIES; INDICATOR</t>
  </si>
  <si>
    <t>2022 MAR</t>
  </si>
  <si>
    <t>10.1016/j.ecolind.2022.108593</t>
  </si>
  <si>
    <t>Strydom, A; Musango, JK; Currie, PK</t>
  </si>
  <si>
    <t>Strydom, Adel; Musango, Josephine Kaviti; Currie, Paul K.</t>
  </si>
  <si>
    <t>Conceptualizing Household Energy Metabolism: A Methodological Contribution</t>
  </si>
  <si>
    <t>ENERGIES</t>
  </si>
  <si>
    <t>urban metabolism; household energy metabolism; household energy metabolism assessment methods; household energy consumption</t>
  </si>
  <si>
    <t>URBAN METABOLISM; FUEL POVERTY; ELECTRICITY CONSUMPTION; MODEL DEVELOPMENT; HEALTH IMPACTS; COOKING FUELS; SYSTEMS; FRAMEWORK; SERVICES; POLICY</t>
  </si>
  <si>
    <t>1996-1073</t>
  </si>
  <si>
    <t>10.3390/en12214125</t>
  </si>
  <si>
    <t>Energy &amp; Fuels</t>
  </si>
  <si>
    <t>Huang, Q; Zheng, XQ; Hu, YC</t>
  </si>
  <si>
    <t>Huang, Qing; Zheng, Xinqi; Hu, Yecui</t>
  </si>
  <si>
    <t>Analysis of Land-Use Emergy Indicators Based on Urban Metabolism: A Case Study for Beijing</t>
  </si>
  <si>
    <t>SUSTAINABILITY ASSESSMENT; MONTREAL; ISLAND</t>
  </si>
  <si>
    <t>10.3390/su7067473</t>
  </si>
  <si>
    <t>Bahers, JB; Barles, S; Durand, M</t>
  </si>
  <si>
    <t>Bahers, Jean-Baptiste; Barles, Sabine; Durand, Mathieu</t>
  </si>
  <si>
    <t>Urban Metabolism of Intermediate Cities: The Material Flow Analysis, Hinterlands and the Logistics-Hub Function of Rennes and Le Mans (France)</t>
  </si>
  <si>
    <t>cities; hinterland; intermediate cities; material flow analysis; spatialization; urban metabolism</t>
  </si>
  <si>
    <t>ENERGY; WASTE</t>
  </si>
  <si>
    <t>10.1111/jiec.12778</t>
  </si>
  <si>
    <t>Toward an agentic understanding of the urban metabolism: a landscape theory perspective</t>
  </si>
  <si>
    <t>Urban political ecology; non-human actors; urban assemblages; water infrastructure; urban nature</t>
  </si>
  <si>
    <t>SYSTEMS</t>
  </si>
  <si>
    <t>1938-2847</t>
  </si>
  <si>
    <t>2022 JAN 2</t>
  </si>
  <si>
    <t>10.1080/02723638.2020.1848760</t>
  </si>
  <si>
    <t>NOV 2020</t>
  </si>
  <si>
    <t>Wang, HC</t>
  </si>
  <si>
    <t>Wang, Hsi-Chuan</t>
  </si>
  <si>
    <t>Case Studies of Urban Metabolism: What Should be Addressed Next?</t>
  </si>
  <si>
    <t>URBAN AFFAIRS REVIEW</t>
  </si>
  <si>
    <t>urban metabolism; case study; global comparison; urban system</t>
  </si>
  <si>
    <t>ECOLOGICAL FOOTPRINT; CARBON METABOLISM; SPATIAL-PATTERNS; CAPE-TOWN; ENERGY; SUSTAINABILITY; EMISSION; BALANCE; CITY; KNOWLEDGE</t>
  </si>
  <si>
    <t>1078-0874</t>
  </si>
  <si>
    <t>1552-8332</t>
  </si>
  <si>
    <t>2023 MAY</t>
  </si>
  <si>
    <t>10.1177/10780874221080145</t>
  </si>
  <si>
    <t>Mostafavi, N; Shojaei, HR; Beheshtian, A; Hoque, S</t>
  </si>
  <si>
    <t>Mostafavi, Nariman; Shojaei, Hamid Reza; Beheshtian, Arash; Hoque, Simi</t>
  </si>
  <si>
    <t>Residential Water Consumption Modeling in the Integrated Urban Metabolism Analysis Tool (IUMAT)</t>
  </si>
  <si>
    <t>Urban water use; Water consumption modeling; Residential water consumption; IUMAT; Urban metabolism</t>
  </si>
  <si>
    <t>BLOCK RATES; DEMAND; PRICE; MANAGEMENT; DETERMINANTS; HOUSEHOLDS; ELASTICITIES; METAANALYSIS; INFORMATION; AUSTRALIA</t>
  </si>
  <si>
    <t>10.1016/j.resconrec.2017.12.019</t>
  </si>
  <si>
    <t>Blecic, I; Cecchini, A; Falk, M; Marras, S; Pyles, DR; Spano, D; Trunfio, GA</t>
  </si>
  <si>
    <t>Blecic, Ivan; Cecchini, Arnaldo; Falk, Matthias; Marras, Serena; Pyles, David R.; Spano, Donatella; Trunfio, Giuseppe A.</t>
  </si>
  <si>
    <t>Urban metabolism and climate change: A planning support system</t>
  </si>
  <si>
    <t>INTERNATIONAL JOURNAL OF APPLIED EARTH OBSERVATION AND GEOINFORMATION</t>
  </si>
  <si>
    <t>Urban metabolism; Climate change; Urban sustainability; Cellular automata; CO2; Urban planning</t>
  </si>
  <si>
    <t>ATMOSPHERE-SOIL ALGORITHM; CELLULAR-AUTOMATA; MODEL; ACASA</t>
  </si>
  <si>
    <t>0303-2434</t>
  </si>
  <si>
    <t>10.1016/j.jag.2013.08.006</t>
  </si>
  <si>
    <t>Remote Sensing</t>
  </si>
  <si>
    <t>Senk, P</t>
  </si>
  <si>
    <t>Senk, Peter</t>
  </si>
  <si>
    <t>Metabolic Infrastructures: An Organic Analogy between Literal Imitation and Metaphor</t>
  </si>
  <si>
    <t>ARCHITECTURAL THEORY REVIEW</t>
  </si>
  <si>
    <t>Function; Japanese Metabolism; infrastructure; organic analogy; urban metabolism</t>
  </si>
  <si>
    <t>URBAN METABOLISM</t>
  </si>
  <si>
    <t>1326-4826</t>
  </si>
  <si>
    <t>1755-0475</t>
  </si>
  <si>
    <t>2023 SEP 2</t>
  </si>
  <si>
    <t>10.1080/13264826.2023.2272857</t>
  </si>
  <si>
    <t>Conke, LS; Ferreira, TL</t>
  </si>
  <si>
    <t>Conke, Leonardo S.; Ferreira, Taina L.</t>
  </si>
  <si>
    <t>Urban metabolism: Measuring the city's contribution to sustainable development</t>
  </si>
  <si>
    <t>Urban metabolism; Urban sustainability; Industrial ecology</t>
  </si>
  <si>
    <t>10.1016/j.envpol.2015.03.027</t>
  </si>
  <si>
    <t>Lyons, G; Mokhtarian, P; Dijst, M; Böcker, L</t>
  </si>
  <si>
    <t>Lyons, Glenn; Mokhtarian, Patricia; Dijst, Martin; Bocker, Lars</t>
  </si>
  <si>
    <t>The dynamics of urban metabolism in the face of digitalization and changing lifestyles: Understanding and influencing our cities</t>
  </si>
  <si>
    <t>Urban metabolism; Lifestyles; Digitalization; ICTs; Collaborative consumption; Accessibility</t>
  </si>
  <si>
    <t>LEISURE ACTIVITIES; PEAK CAR; ACCESSIBILITY; TRANSPORT; MOBILITY; ICT; IMPACTS; TRAVEL; COMMERCE; ACCESS</t>
  </si>
  <si>
    <t>10.1016/j.resconrec.2017.07.032</t>
  </si>
  <si>
    <t>Perrotti, D; Stremke, S</t>
  </si>
  <si>
    <t>Perrotti, Daniela; Stremke, Sven</t>
  </si>
  <si>
    <t>Can urban metabolism models advance green infrastructure planning? Insights from ecosystem services research</t>
  </si>
  <si>
    <t>Energy metabolism; material flow analysis; renewable energy provision; climate regulation; nature-based solutions</t>
  </si>
  <si>
    <t>ENERGY-CONSUMPTION; FUTURE; PERFORMANCE; FRAMEWORK; TREES</t>
  </si>
  <si>
    <t>10.1177/2399808318797131</t>
  </si>
  <si>
    <t>Rosado, L; Niza, S; Ferrao, P</t>
  </si>
  <si>
    <t>Rosado, Leonardo; Niza, Samuel; Ferrao, Paulo</t>
  </si>
  <si>
    <t>A Material Flow Accounting Case Study of the Lisbon Metropolitan Area using the Urban Metabolism Analyst Model</t>
  </si>
  <si>
    <t>disaggregation; European Union; industrial ecology; material flow analysis (MFA); resource management; urban planning</t>
  </si>
  <si>
    <t>SCRAP GENERATION</t>
  </si>
  <si>
    <t>10.1111/jiec.12083</t>
  </si>
  <si>
    <t>Zhang, YZ; Lu, WS; Tam, VWY; Feng, YB</t>
  </si>
  <si>
    <t>Zhang, Youzhi; Lu, Weisheng; Tam, Vivian Wing-Yan; Feng, Yingbin</t>
  </si>
  <si>
    <t>From urban metabolism to industrial ecosystem metabolism: A study of construction in Shanghai from 2004 to 2014</t>
  </si>
  <si>
    <t>Urban metabolism; Industrial ecosystem metabolism; Construction; C&amp;D waste; Shanghai; China</t>
  </si>
  <si>
    <t>SOLID-WASTE MANAGEMENT; SOCIOECONOMIC METABOLISM; SUSTAINABLE DEVELOPMENT; MATERIAL FLOWS; MASS-BALANCE; LIFE-CYCLE; ENERGY; MODEL; FOOTPRINT; CARBON</t>
  </si>
  <si>
    <t>NOV 20</t>
  </si>
  <si>
    <t>10.1016/j.jclepro.2018.08.054</t>
  </si>
  <si>
    <t>Ravalde, T; Keirstead, J</t>
  </si>
  <si>
    <t>Ravalde, Tom; Keirstead, James</t>
  </si>
  <si>
    <t>Comparing performance metrics for multi-resource systems: the case of urban metabolism</t>
  </si>
  <si>
    <t>Urban metabolism; Exergy; Ecological network analysis; Sustainability</t>
  </si>
  <si>
    <t>MAINSTREAM YELLOW-RIVER; EXERGY ANALYSIS; ENVIRONMENTAL PERFORMANCE; ECOLOGICAL FOOTPRINT; WASTE MANAGEMENT; WATER-RESOURCES; ENERGY; EFFICIENCY; SUSTAINABILITY; ECOSYSTEM</t>
  </si>
  <si>
    <t>S241</t>
  </si>
  <si>
    <t>S253</t>
  </si>
  <si>
    <t>10.1016/j.jclepro.2015.10.118</t>
  </si>
  <si>
    <t>Data Acquisition for Applying Physical Input-Output Tables in Chinese Cities</t>
  </si>
  <si>
    <t>China; data mining; input-output model; material flow analysis (MFA); urban metabolism; industrial ecology</t>
  </si>
  <si>
    <t>REGIONAL CONSUMPTION ACTIVITIES; GLOBAL ENVIRONMENTAL-IMPACT; LAND APPROPRIATION; URBAN METABOLISM; MATERIAL FLOW; ENERGY; WASTE</t>
  </si>
  <si>
    <t>10.1111/j.1530-9290.2011.00372.x</t>
  </si>
  <si>
    <t>Pincetl, S; Chester, M; Circella, G; Fraser, A; Mini, C; Murphy, S; Reyna, J; Sivaraman, D</t>
  </si>
  <si>
    <t>Pincetl, Stephanie; Chester, Mikhail; Circella, Giovanni; Fraser, Andrew; Mini, Caroline; Murphy, Sinnott; Reyna, Janet; Sivaraman, Deepak</t>
  </si>
  <si>
    <t>Enabling Future Sustainability Transitions An Urban Metabolism Approach to Los Angeles</t>
  </si>
  <si>
    <t>building energy use; carbon emissions; environmental input-output life cycle assessment (EIO-LCA) model; industrial ecology; sustainable city; urban metabolism</t>
  </si>
  <si>
    <t>CITIES; WASTE</t>
  </si>
  <si>
    <t>10.1111/jiec.12144</t>
  </si>
  <si>
    <t>Tola, TT; Khan, AZ; Wegayehu, F</t>
  </si>
  <si>
    <t>Tola, Teshome Tefera; Khan, Ahmed Z.; Wegayehu, Fisseha</t>
  </si>
  <si>
    <t>Undertaking Urban Metabolism analysis in a data poor context: the metabolism of housing construction materials in Amdework - a small town in Ethiopia</t>
  </si>
  <si>
    <t>INTERNATIONAL JOURNAL OF URBAN SUSTAINABLE DEVELOPMENT</t>
  </si>
  <si>
    <t>Urban Metabolism; sustainable development; small town; carbon footprint; construction materials</t>
  </si>
  <si>
    <t>1946-3138</t>
  </si>
  <si>
    <t>1946-3146</t>
  </si>
  <si>
    <t>10.1080/19463138.2019.1618859</t>
  </si>
  <si>
    <t>Xia, XH; Hu, Y; Alsaedi, A; Hayat, T; Wu, XD; Chen, GQ</t>
  </si>
  <si>
    <t>Xia, X. H.; Hu, Y.; Alsaedi, A.; Hayat, T.; Wu, X. D.; Chen, G. Q.</t>
  </si>
  <si>
    <t>Structure decomposition analysis for energy-related GHG emission in Beijing: Urban metabolism and hierarchical structure</t>
  </si>
  <si>
    <t>Structure decomposition; Urban metabolism; GHG emission; Internal structure</t>
  </si>
  <si>
    <t>INPUT-OUTPUT-ANALYSIS; CARBON-DIOXIDE EMISSION; CO2 EMISSIONS; WATER FOOTPRINT; TRADE; ECONOMY; CHINA; MODEL; CONSUMPTION; INDUSTRY</t>
  </si>
  <si>
    <t>10.1016/j.ecoinf.2014.09.008</t>
  </si>
  <si>
    <t>Rosado, L; Kalmykova, Y; Patrício, J</t>
  </si>
  <si>
    <t>Rosado, Leonardo; Kalmykova, Yuliya; Patricio, Joao</t>
  </si>
  <si>
    <t>Urban metabolism profiles. An empirical analysis of the material flow characteristics of three metropolitan areas in Sweden</t>
  </si>
  <si>
    <t>Reprint</t>
  </si>
  <si>
    <t>Urban metabolism; City typology; Material flow accounting; Resource consumption; Resilience</t>
  </si>
  <si>
    <t>CITIES; SUSTAINABILITY; CONSUMPTION; ECONOMY; MODEL</t>
  </si>
  <si>
    <t>S254</t>
  </si>
  <si>
    <t>S266</t>
  </si>
  <si>
    <t>10.1016/j.jclepro.2017.05.143</t>
  </si>
  <si>
    <t>Khalil, HAEE; Al-Ahwal, A</t>
  </si>
  <si>
    <t>Khalil, Heba Allah Essam E.; Al-Ahwal, Ahmad</t>
  </si>
  <si>
    <t>Reunderstanding Cairo through urban metabolism: Formal versus informal districts resource flow performance in fast urbanizing cities</t>
  </si>
  <si>
    <t>bottom-up approach; formal; informal systems; industrial ecology; materials efficiency; mobility; urban metabolism</t>
  </si>
  <si>
    <t>ENERGY; SUSTAINABILITY; URBANIZATION</t>
  </si>
  <si>
    <t>2021 FEB</t>
  </si>
  <si>
    <t>10.1111/jiec.13056</t>
  </si>
  <si>
    <t>AUG 2020</t>
  </si>
  <si>
    <t>JUL 10</t>
  </si>
  <si>
    <t>10.1016/j.jclepro.2016.02.139</t>
  </si>
  <si>
    <t>Metzger, AE; McHale, MR; Hess, GR; Steelman, TA</t>
  </si>
  <si>
    <t>Metzger, Alexander E.; McHale, Melissa R.; Hess, George R.; Steelman, Toddi A.</t>
  </si>
  <si>
    <t>Same time, same place: analyzing temporal and spatial trends in urban metabolism using proximate counties in the North Carolina Triangle</t>
  </si>
  <si>
    <t>Urban metabolism; Material flow analysis (MFA); Industrial ecology; Resource consumption; Urban sustainability</t>
  </si>
  <si>
    <t>ENERGY-CONSUMPTION; SUSTAINABILITY; CITIES; MANAGEMENT; WASTE; FLOW; KEY</t>
  </si>
  <si>
    <t>10.1007/s11252-015-0503-3</t>
  </si>
  <si>
    <t>Cui, XZ; Wang, XT; Feng, YY</t>
  </si>
  <si>
    <t>Cui, Xuezhu; Wang, Xuetong; Feng, Yunyu</t>
  </si>
  <si>
    <t>Examining urban metabolism: A material flow perspective on cities and their sustainability</t>
  </si>
  <si>
    <t>Material flow; Cities; Urban metabolism; Fossil energy; Sustainability</t>
  </si>
  <si>
    <t>SHORT-TERM; GUANGZHOU; POLLUTION; ENERGY; SOCIETY</t>
  </si>
  <si>
    <t>MAR 20</t>
  </si>
  <si>
    <t>10.1016/j.jclepro.2019.01.021</t>
  </si>
  <si>
    <t>Athanassiadis, A; Bouillard, P; Crawford, RH; Khan, AZ</t>
  </si>
  <si>
    <t>Athanassiadis, Aristide; Bouillard, Philippe; Crawford, Robert H.; Khan, Ahmed Z.</t>
  </si>
  <si>
    <t>Towards a Dynamic Approach to Urban Metabolism: Tracing the Temporal Evolution of Brussels' Urban Metabolism from 1970 to 2010</t>
  </si>
  <si>
    <t>industrial ecology; resource use; temporal evolution; trends; urban characteristics; urban metabolism</t>
  </si>
  <si>
    <t>ENERGY-REQUIREMENTS; HONG-KONG; CONSUMPTION; CITY; PARIS</t>
  </si>
  <si>
    <t>10.1111/jiec.12451</t>
  </si>
  <si>
    <t>Inostroza, L</t>
  </si>
  <si>
    <t>Inostroza, Luis</t>
  </si>
  <si>
    <t>Measuring urban ecosystem functions through Technomass'-A novel indicator to assess urban metabolism</t>
  </si>
  <si>
    <t>Technomass; Urban indicators; Urban metabolism; Urban ecology; Landscape planning; Urban ecosystem services; Bogota</t>
  </si>
  <si>
    <t>LONG-TERM; SYSTEMS; GROWTH; ENERGY</t>
  </si>
  <si>
    <t>10.1016/j.ecolind.2014.02.035</t>
  </si>
  <si>
    <t>Huang, SL; Hsu, WL</t>
  </si>
  <si>
    <t>Materials flow analysis and emergy evaluation of Taipei's urban construction</t>
  </si>
  <si>
    <t>urban metabolism; material flows; emergy evaluation; urban construction; sustainability indicators</t>
  </si>
  <si>
    <t>APR 15</t>
  </si>
  <si>
    <t>PII S0169-2046(02)00152-4</t>
  </si>
  <si>
    <t>10.1016/S0169-2046(02)00152-4</t>
  </si>
  <si>
    <t>Voukkali, I; Zorpas, AA</t>
  </si>
  <si>
    <t>Voukkali, Irene; Zorpas, Antonis A.</t>
  </si>
  <si>
    <t>Evaluation of urban metabolism assessment methods through SWOT analysis and analytical hierocracy process</t>
  </si>
  <si>
    <t>SCIENCE OF THE TOTAL ENVIRONMENT</t>
  </si>
  <si>
    <t>Urban metabolism; Circular economy; Sustainable development goals; Material Flow Analysis; Emergy Analysis; Ecological footprint; SWOT analysis; Analytical Hierocracy Process; PRISMA statement</t>
  </si>
  <si>
    <t>ECOLOGICAL FOOTPRINT ANALYSIS; MATERIAL FLOW-ANALYSIS; CIRCULAR ECONOMY MODEL; BEIJING-TIANJIN-HEBEI; INPUT-OUTPUT MODEL; ENERGY-METABOLISM; EMERGY ANALYSIS; SUSTAINABLE DEVELOPMENT; MULTISCALE ANALYSIS; ENVIRONMENTAL SUSTAINABILITY</t>
  </si>
  <si>
    <t>0048-9697</t>
  </si>
  <si>
    <t>1879-1026</t>
  </si>
  <si>
    <t>2022 FEB 10</t>
  </si>
  <si>
    <t>10.1016/j.scitotenv.2021.150700</t>
  </si>
  <si>
    <t>OCT 2021</t>
  </si>
  <si>
    <t>Dalla Fontana, M; Boas, I</t>
  </si>
  <si>
    <t>Dalla Fontana, Michele; Boas, Ingrid</t>
  </si>
  <si>
    <t>The politics of the nexus in the city of Amsterdam</t>
  </si>
  <si>
    <t>Water-energy-food nexus; Urban sustainability; Urban metabolism; Amsterdam</t>
  </si>
  <si>
    <t>ENERGY-FOOD NEXUS; CLIMATE-CHANGE; WATER; CITIES; STRATEGIES; SUSTAINABILITY; INTEGRATION; GOVERNANCE; CHALLENGES; RESOURCES</t>
  </si>
  <si>
    <t>0264-2751</t>
  </si>
  <si>
    <t>1873-6084</t>
  </si>
  <si>
    <t>10.1016/j.cities.2019.102388</t>
  </si>
  <si>
    <t>Peponi, A; Morgado, P; Kumble, P</t>
  </si>
  <si>
    <t>Peponi, Angeliki; Morgado, Paulo; Kumble, Peter</t>
  </si>
  <si>
    <t>Life cycle thinking and machine learning for urban metabolism assessment and prediction</t>
  </si>
  <si>
    <t>Life cycle inventory; Sensitivity analysis; ANN; Urban core; Case study; Land use planning; Urban metabolism</t>
  </si>
  <si>
    <t>ECOSYSTEM SERVICES; ENERGY-METABOLISM; NEURAL-NETWORKS; SYSTEMS; MUSIASEM</t>
  </si>
  <si>
    <t>10.1016/j.scs.2022.103754</t>
  </si>
  <si>
    <t>Shahrokni, H; Årman, L; Lazarevic, D; Nilsson, A; Brandt, N</t>
  </si>
  <si>
    <t>Shahrokni, Hossein; Arman, Louise; Lazarevic, David; Nilsson, Anders; Brandt, Nils</t>
  </si>
  <si>
    <t>Implementing Smart Urban Metabolism in the Stockholm Royal Seaport: Smart City SRS</t>
  </si>
  <si>
    <t>augmented reality; big data; industrial ecology; smart cities; sustainable city; urban metabolism</t>
  </si>
  <si>
    <t>SUSTAINABILITY; CITIES; SYSTEMS; PRINCIPLES</t>
  </si>
  <si>
    <t>10.1111/jiec.12308</t>
  </si>
  <si>
    <t>Xing, L; Lin, T; Xue, XZ; Liu, JK; Lin, MX; Zhao, Y</t>
  </si>
  <si>
    <t>Xing, Li; Lin, Tao; Xue, Xiongzhi; Liu, Jiakun; Lin, Meixia; Zhao, Yu</t>
  </si>
  <si>
    <t>Urban Metabolism of Food-Sourced Nitrogen among Different Income Households: A Case Study Based on Large Sample Survey in Xiamen City, China</t>
  </si>
  <si>
    <t>FOODS</t>
  </si>
  <si>
    <t>urban metabolism; structural equation model; household food consumption; food-sourced nitrogen; environmental emissions</t>
  </si>
  <si>
    <t>GREENHOUSE-GAS EMISSIONS; ANAEROBIC-DIGESTION; WASTE; CONSUMPTION; STRATEGIES; MANAGEMENT; IMPACTS; ENERGY; FLOWS; EUTROPHICATION</t>
  </si>
  <si>
    <t>2304-8158</t>
  </si>
  <si>
    <t>10.3390/foods10112842</t>
  </si>
  <si>
    <t>Food Science &amp; Technology</t>
  </si>
  <si>
    <t>A circular urban metabolism (CUM) framework to explore resource use patterns and circularity potential in an urban system</t>
  </si>
  <si>
    <t>Circular urban metabolism; Material flows; Resource use patterns; Urban systems; Sustainability</t>
  </si>
  <si>
    <t>SUSTAINABILITY; PERSPECTIVE; ECONOMY; CITIES</t>
  </si>
  <si>
    <t>2022 JUL 20</t>
  </si>
  <si>
    <t>10.1016/j.jclepro.2022.132067</t>
  </si>
  <si>
    <t>MAY 2022</t>
  </si>
  <si>
    <t>Taleghani, M; Montazami, A; Perrotti, D</t>
  </si>
  <si>
    <t>Taleghani, Mohammad; Montazami, Azadeh; Perrotti, Daniela</t>
  </si>
  <si>
    <t>Learning to Chill: The Role of Design Schools and Professional Training to Improve Urban Climate and Urban Metabolism</t>
  </si>
  <si>
    <t>Design schools; urban heat islands; surface properties; material flow analysis; resource management; urban metabolism</t>
  </si>
  <si>
    <t>AIR-QUALITY; HEAT-ISLAND; THERMAL COMFORT; KNOWLEDGE TRANSFER; ENERGY; IMPACT; INFRASTRUCTURE; NEIGHBORHOOD; TEMPERATURE; SUMMER</t>
  </si>
  <si>
    <t>10.3390/en13092243</t>
  </si>
  <si>
    <t>Horta, IM; Keirstead, J</t>
  </si>
  <si>
    <t>Horta, Isabel M.; Keirstead, James</t>
  </si>
  <si>
    <t>Downscaling Aggregate Urban Metabolism Accounts to Local Districts</t>
  </si>
  <si>
    <t>cities; econometrics; energy; London; modeling; urban metabolism</t>
  </si>
  <si>
    <t>ENERGY-CONSUMPTION; OUTPUT; LEVEL; STOCK; MODEL</t>
  </si>
  <si>
    <t>10.1111/jiec.12428</t>
  </si>
  <si>
    <t>Saravanan, VS; Mavalankar, D; Kulkarni, SP; Nussbaum, S; Weigelt, M</t>
  </si>
  <si>
    <t>Saravanan, V. S.; Mavalankar, Dileep; Kulkarni, Suhas P.; Nussbaum, Sven; Weigelt, Martin</t>
  </si>
  <si>
    <t>Metabolized-Water Breeding Diseases in Urban India Sociospatiality of Water Problems and Health Burden in Ahmedabad City</t>
  </si>
  <si>
    <t>industrial ecology; infrastructure; institutional analysis; spatial analysis; technopolitics; urban metabolism</t>
  </si>
  <si>
    <t>POLITICAL ECOLOGY; CHALLENGES; SANITATION</t>
  </si>
  <si>
    <t>10.1111/jiec.12172</t>
  </si>
  <si>
    <t>Orsini, F</t>
  </si>
  <si>
    <t>Orsini, Federico</t>
  </si>
  <si>
    <t>Update in progress. Urban metabolism strategies: an application case</t>
  </si>
  <si>
    <t>Performance updating; Superfetations; Building on the built; Urban metabolism; Time</t>
  </si>
  <si>
    <t>10.13128/techne-8176</t>
  </si>
  <si>
    <t>Agudelo-Vera, CM; Leduc, WRWA; Mels, AR; Rijnaarts, HHM</t>
  </si>
  <si>
    <t>Agudelo-Vera, Claudia M.; Leduc, Wouter R. W. A.; Mels, Adriaan R.; Rijnaarts, Huub H. M.</t>
  </si>
  <si>
    <t>Harvesting urban resources towards more resilient cities</t>
  </si>
  <si>
    <t>Urban metabolism; Urban harvest; Resources management; Urban energy; Urban water; Urban planning</t>
  </si>
  <si>
    <t>BUILT ENVIRONMENT; WATER; METABOLISM; SUSTAINABILITY; MANAGEMENT; INFRASTRUCTURE; ECOLOGY; DESIGN; ENERGY; CITY</t>
  </si>
  <si>
    <t>10.1016/j.resconrec.2012.01.014</t>
  </si>
  <si>
    <t>Ko, YY; Chiu, YH</t>
  </si>
  <si>
    <t>Ko, Yun-Yun; Chiu, Yin-Hao</t>
  </si>
  <si>
    <t>Empirical Study of Urban Development Evaluation Indicators Based on the Urban Metabolism Concept</t>
  </si>
  <si>
    <t>urban metabolism; fuzzy Delphi method; analytic network process</t>
  </si>
  <si>
    <t>SUSTAINABILITY; SYSTEMS</t>
  </si>
  <si>
    <t>10.3390/su12177129</t>
  </si>
  <si>
    <t>Gustafson, S; Heynen, N; Rice, JL; Gragson, T; Shepherd, JM; Strother, C</t>
  </si>
  <si>
    <t>Gustafson, Seth; Heynen, Nik; Rice, Jennifer L.; Gragson, Ted; Shepherd, J. Marshall; Strother, Christopher</t>
  </si>
  <si>
    <t>Megapolitan Political Ecology and Urban Metabolism in Southern Appalachia</t>
  </si>
  <si>
    <t>PROFESSIONAL GEOGRAPHER</t>
  </si>
  <si>
    <t>megapolitan region; southern Appalachia; urban metabolism; urban political ecology</t>
  </si>
  <si>
    <t>LAND-USE LEGACIES; RURAL GEOGRAPHY; EXURBAN DEVELOPMENT; MOUNTAINS; CLIMATE; FUTURE; PATTERNS; IMPACT; STREAM</t>
  </si>
  <si>
    <t>0033-0124</t>
  </si>
  <si>
    <t>1467-9272</t>
  </si>
  <si>
    <t>10.1080/00330124.2014.905158</t>
  </si>
  <si>
    <t>Qi, W; Deng, XZ; Chu, X; Zhao, CH; Zhang, F</t>
  </si>
  <si>
    <t>Qi, Wei; Deng, Xiangzheng; Chu, Xi; Zhao, Chunhong; Zhang, Fan</t>
  </si>
  <si>
    <t>Emergy analysis on urban metabolism by counties in Beijing</t>
  </si>
  <si>
    <t>PHYSICS AND CHEMISTRY OF THE EARTH</t>
  </si>
  <si>
    <t>Urban metabolism; Emergy analysis; Sustainability; Urbanization; Beijing</t>
  </si>
  <si>
    <t>MULTISCALE INTEGRATED ANALYSIS; CHINA; CONSUMPTION; SOCIETAL; SYSTEMS; CITIES</t>
  </si>
  <si>
    <t>1474-7065</t>
  </si>
  <si>
    <t>1873-5193</t>
  </si>
  <si>
    <t>10.1016/j.pce.2017.01.024</t>
  </si>
  <si>
    <t>Geosciences, Multidisciplinary; Meteorology &amp; Atmospheric Sciences; Water Resources</t>
  </si>
  <si>
    <t>Iodice, S; De Toro, P</t>
  </si>
  <si>
    <t>Iodice, Silvia; De Toro, Pasquale</t>
  </si>
  <si>
    <t>WASTE AND WASTED LANDSCAPES: FOCUS ON ABANDONED INDUSTRIAL AREAS</t>
  </si>
  <si>
    <t>DETRITUS</t>
  </si>
  <si>
    <t>Wasted landscapes; Abandoned industrial areas; Territorial regeneration; Life cycle assessment; Urban metabolism</t>
  </si>
  <si>
    <t>LIFE-CYCLE ASSESSMENT; DEMOLITION WASTE; ENVIRONMENTAL ASSESSMENT; URBAN METABOLISM; METROPOLITAN-AREA; LCA FRAMEWORK; CONSTRUCTION; LAND; GENERATION; MANAGEMENT</t>
  </si>
  <si>
    <t>2611-4127</t>
  </si>
  <si>
    <t>2611-4135</t>
  </si>
  <si>
    <t>10.31025/2611-4135/2020.13975</t>
  </si>
  <si>
    <t>Engineering, Environmental</t>
  </si>
  <si>
    <t>King, S; Kenway, SK; Renouf, MA</t>
  </si>
  <si>
    <t>King, S.; Kenway, S. K.; Renouf, M. A.</t>
  </si>
  <si>
    <t>How has urban water metabolism been communicated? Perspectives from the USA, Europe and Australia</t>
  </si>
  <si>
    <t>WATER SCIENCE AND TECHNOLOGY</t>
  </si>
  <si>
    <t>communication; integrated urban water management; urban metabolism; urban planning</t>
  </si>
  <si>
    <t>CITIES; SUSTAINABILITY; ENERGY</t>
  </si>
  <si>
    <t>0273-1223</t>
  </si>
  <si>
    <t>1996-9732</t>
  </si>
  <si>
    <t>MAY 1</t>
  </si>
  <si>
    <t>10.2166/wst.2019.139</t>
  </si>
  <si>
    <t>Engineering, Environmental; Environmental Sciences; Water Resources</t>
  </si>
  <si>
    <t>Bristow, DN; Mohareb, EA</t>
  </si>
  <si>
    <t>Bristow, David N.; Mohareb, Eugene A.</t>
  </si>
  <si>
    <t>From the urban metabolism to the urban immune system</t>
  </si>
  <si>
    <t>industrial ecology; material flow analysis (MFA); resilience and adaptation to climate change; sustainable urban systems; urban immune system; urban metabolism</t>
  </si>
  <si>
    <t>CLIMATE-CHANGE ADAPTATION; RISK-ASSESSMENT; MATERIAL STOCK; CITY SYSTEMS; RESILIENCE; ENERGY; EARTHQUAKE; CITIES; CONSTRUCTION; COMPLEXITY</t>
  </si>
  <si>
    <t>10.1111/jiec.12919</t>
  </si>
  <si>
    <t>González-García, S; Dias, AC</t>
  </si>
  <si>
    <t>Gonzalez-Garcia, Sara; Dias, Ana Claudia</t>
  </si>
  <si>
    <t>Integrating lifecycle assessment and urban metabolism at city level: Comparison between Spanish cities</t>
  </si>
  <si>
    <t>Bilbao; environmental impacts; industrial ecology; Seville; sustainable development; urban metabolism</t>
  </si>
  <si>
    <t>INPUT-OUTPUT-ANALYSIS; ENVIRONMENTAL SUSTAINABILITY; IMPACT ASSESSMENT; FOOTPRINT; SYSTEMS; SCALE</t>
  </si>
  <si>
    <t>10.1111/jiec.12844</t>
  </si>
  <si>
    <t>Lu, YSY; Geng, Y; Qian, YY; Han, WY; McDowall, W; Bleischwitz, R</t>
  </si>
  <si>
    <t>Lu, Yangsiyu; Geng, Yong; Qian, Yiying; Han, Wenyi; McDowall, Will; Bleischwitz, Raimund</t>
  </si>
  <si>
    <t>Changes of human time and land use pattern in one mega city's urban metabolism: a multi-scale integrated analysis of Shanghai</t>
  </si>
  <si>
    <t>Urban metabolism; MuSIASEM; Land use; Mega city; Human time</t>
  </si>
  <si>
    <t>CHINA; SOCIETAL; RECLAMATION; GROWTH; BROWNFIELD; POLLUTION</t>
  </si>
  <si>
    <t>10.1016/j.jclepro.2016.05.174</t>
  </si>
  <si>
    <t>Kenway, SJ; Turner, GM; Cook, S; Baynes, T</t>
  </si>
  <si>
    <t>Kenway, S. J.; Turner, G. M.; Cook, S.; Baynes, T.</t>
  </si>
  <si>
    <t>Water and energy futures for Melbourne: implications of land use, water use, and water supply strategy</t>
  </si>
  <si>
    <t>JOURNAL OF WATER AND CLIMATE CHANGE</t>
  </si>
  <si>
    <t>energy; future cities; land use; urban metabolism; water</t>
  </si>
  <si>
    <t>URBAN METABOLISM; CITIES; FORM; EMISSIONS</t>
  </si>
  <si>
    <t>2040-2244</t>
  </si>
  <si>
    <t>10.2166/wcc.2013.188</t>
  </si>
  <si>
    <t>Water Resources</t>
  </si>
  <si>
    <t>Song, T; Cai, JM; Xu, H; Deng, Y; Niu, FQ; Yang, ZS; Du, SS</t>
  </si>
  <si>
    <t>Song Tao; Cai Jianming; Xu Hui; Deng Yu; Niu Fangqu; Yang Zhenshan; Du Shanshan</t>
  </si>
  <si>
    <t>Urban Metabolism Based on Emergy and Slack Based Model: A Case Study of Beijing, China</t>
  </si>
  <si>
    <t>CHINESE GEOGRAPHICAL SCIENCE</t>
  </si>
  <si>
    <t>emergy theory; urban metabolism; slack based model (SBM); Beijing Municipality; regression analysis</t>
  </si>
  <si>
    <t>ENVIRONMENTAL EFFICIENCY; CEMENT INDUSTRY; SUSTAINABILITY; ENERGY</t>
  </si>
  <si>
    <t>1002-0063</t>
  </si>
  <si>
    <t>1993-064X</t>
  </si>
  <si>
    <t>10.1007/s11769-014-0680-7</t>
  </si>
  <si>
    <t>Baynes, TM; Bai, XM</t>
  </si>
  <si>
    <t>Baynes, Timothy M.; Bai, Xuemei</t>
  </si>
  <si>
    <t>Reconstructing the Energy History of a City Melbourne's Population, Urban Development, Energy Supply and Use from 1973 to 2005</t>
  </si>
  <si>
    <t>data modeling; energy accounting; energy policy; industrial ecology; time series; urban metabolism</t>
  </si>
  <si>
    <t>METABOLISM; SCALE</t>
  </si>
  <si>
    <t>10.1111/j.1530-9290.2012.00567.x</t>
  </si>
  <si>
    <t>Fernandes, J; Ferrao, P</t>
  </si>
  <si>
    <t>Fernandes, Joana; Ferrao, Paulo</t>
  </si>
  <si>
    <t>Urban Metabolism-Based Approaches for Promoting Circular Economy in Buildings Refurbishment</t>
  </si>
  <si>
    <t>ENVIRONMENTS</t>
  </si>
  <si>
    <t>circular economy; circular design; circular refurbishment; circular urban metabolism; urban mining</t>
  </si>
  <si>
    <t>BUILT ENVIRONMENT</t>
  </si>
  <si>
    <t>2076-3298</t>
  </si>
  <si>
    <t>10.3390/environments10010013</t>
  </si>
  <si>
    <t>A Database to Facilitate a Process-Oriented Approach to Urban Metabolism</t>
  </si>
  <si>
    <t>cities; decision making; industrial ecology; open data; planning; urban metabolism</t>
  </si>
  <si>
    <t>ENERGY; EMISSIONS</t>
  </si>
  <si>
    <t>10.1111/jiec.12429</t>
  </si>
  <si>
    <t>Urban Metabolism in China Achieving Dematerialization and Decarbonization in Suzhou</t>
  </si>
  <si>
    <t>decarbonization; dematerialization; driving force-pressure-state-response (DPSR) model; economy-wide material flow analysis (EW-MFA); industrial ecology; urban sustainability</t>
  </si>
  <si>
    <t>GREENHOUSE-GAS EMISSIONS; CITIES; MODEL; CITY</t>
  </si>
  <si>
    <t>10.1111/j.1530-9290.2011.00343.x</t>
  </si>
  <si>
    <t>Barragán-Escandón, A; Terrados-Cepeda, J; Zalamea-León, E</t>
  </si>
  <si>
    <t>Barragan-Escandon, Antonio; Terrados-Cepeda, Julio; Zalamea-Leon, Esteban</t>
  </si>
  <si>
    <t>The Role of Renewable Energy in the Promotion of Circular Urban Metabolism</t>
  </si>
  <si>
    <t>renewable energy; urban metabolism; circular economy</t>
  </si>
  <si>
    <t>MUNICIPAL SOLID-WASTE; INPUT-OUTPUT-ANALYSIS; SOLAR WATER-HEATERS; WIND ENERGY; FLOW-ANALYSIS; LANDFILL GAS; SYSTEM; BIOGAS; INTEGRATION; CHALLENGES</t>
  </si>
  <si>
    <t>10.3390/su9122341</t>
  </si>
  <si>
    <t>Rosales, FO; Fath, BD; Llerena, GY</t>
  </si>
  <si>
    <t>Rosales, Francisco Orlando; Fath, Brian D.; Llerena, Grace Yolanda</t>
  </si>
  <si>
    <t>Quantifying a virtual water metabolic network of the Metropolitan District of Quito, Ecuador using ecological network methods</t>
  </si>
  <si>
    <t>ecological networks analysis; industrial ecology; Metropolitan District of Quito; urban ecosystem sustainability; urban metabolism; virtual water metabolic network</t>
  </si>
  <si>
    <t>TABLES MODEL DEVELOPMENT; FUNCTIONAL IMPORTANCE; URBAN METABOLISM; SUSTAINABILITY; ENERGY; MANAGEMENT; CENTRALITY; IMPACT; STEEL</t>
  </si>
  <si>
    <t>10.1111/jiec.13424</t>
  </si>
  <si>
    <t>Yin, LY</t>
  </si>
  <si>
    <t>Yin Luoyi</t>
  </si>
  <si>
    <t>DECISION-SUPPORTIVE FRAMEWORK FOR URBAN DESIGN BASED ON THE TARGET OF SLOWING DOWN URBAN RESOURCE FLOWS: FROM THE PERSPECTIVE OF URBAN METABOLISM</t>
  </si>
  <si>
    <t>LANDSCAPE ARCHITECTURE FRONTIERS</t>
  </si>
  <si>
    <t>Urban Design; Urban Metabolism; Urban Resources; Decision-Supportive Framework for Urban Design; Design Scenario; Urban Space Platform</t>
  </si>
  <si>
    <t>2096-336X</t>
  </si>
  <si>
    <t>2095-5413</t>
  </si>
  <si>
    <t>10.15302/J-LAF-1-020015</t>
  </si>
  <si>
    <t>Voskamp, IM; Sutton, NB; Stremke, S; Rijnaarts, HHM</t>
  </si>
  <si>
    <t>Voskamp, Ilse M.; Sutton, Nora B.; Stremke, Sven; Rijnaarts, Huub H. M.</t>
  </si>
  <si>
    <t>A systematic review of factors influencing spatiotemporal variability in urban water and energy consumption</t>
  </si>
  <si>
    <t>Systematic Review; Urban metabolism; Resource consumption; Resource management; Material flow analysis; Urban environmental history</t>
  </si>
  <si>
    <t>METABOLISM; SUSTAINABILITY; CITIES; PARIS; URBANIZATION; FRAMEWORK; DRIVERS; ECOLOGY; TRENDS; POLICY</t>
  </si>
  <si>
    <t>MAY 20</t>
  </si>
  <si>
    <t>10.1016/j.jclepro.2020.120310</t>
  </si>
  <si>
    <t>Huang, SL; Yeh, CT; Chang, LF</t>
  </si>
  <si>
    <t>Huang, Shu-Li; Yeh, Chia-Tsung; Chang, Li-Fang</t>
  </si>
  <si>
    <t>The transition to an urbanizing world and the demand for natural resources</t>
  </si>
  <si>
    <t>LAND-USE CHANGE; PHOENIX METROPOLITAN REGION; GLOBAL CHANGE; SOCIOECONOMIC METABOLISM; ENVIRONMENTAL-IMPACT; URBANIZATION; CITIES; CONSERVATION; LANDSCAPES; GROWTH</t>
  </si>
  <si>
    <t>1877-3443</t>
  </si>
  <si>
    <t>10.1016/j.cosust.2010.06.004</t>
  </si>
  <si>
    <t>Valero, A; Torrubia, J; Anía, MA; Torres, A</t>
  </si>
  <si>
    <t>Valero, Antonio; Torrubia, Jorge; Ania, Miguel Angel; Torres, Alicia</t>
  </si>
  <si>
    <t>Assessing Urban Metabolism through MSW Carbon Footprint and Conceptualizing Municipal-Industrial Symbiosis-The Case of Zaragoza City, Spain</t>
  </si>
  <si>
    <t>urban metabolism; MSW management; carbon footprint; industrial symbiosis; household's behavior</t>
  </si>
  <si>
    <t>SOLID-WASTE MANAGEMENT; LIFE-CYCLE ASSESSMENT; ENVIRONMENTAL ASSESSMENT; ENERGY; COLLECTION</t>
  </si>
  <si>
    <t>10.3390/su132212724</t>
  </si>
  <si>
    <t>Lanau, M; Mao, RC; Liu, G</t>
  </si>
  <si>
    <t>Lanau, Maud; Mao, Ruichang; Liu, Gang</t>
  </si>
  <si>
    <t>Cities as organisms: Urban metabolism of the four main Danish cities</t>
  </si>
  <si>
    <t>Urban metabolism; Denmark; Energy; Resource use; Greenhouse gas emissions</t>
  </si>
  <si>
    <t>MATERIAL FLOW CHARACTERISTICS; SUSTAINABLE DEVELOPMENT; ENERGY; FRAMEWORK; CARBON; CITY</t>
  </si>
  <si>
    <t>2021 NOV</t>
  </si>
  <si>
    <t>10.1016/j.cities.2021.103336</t>
  </si>
  <si>
    <t>JUL 2021</t>
  </si>
  <si>
    <t>Keirstead, J; Sivakumar, A</t>
  </si>
  <si>
    <t>Keirstead, James; Sivakumar, Aruna</t>
  </si>
  <si>
    <t>Using Activity-Based Modeling to Simulate Urban Resource Demands at High Spatial and Temporal Resolutions</t>
  </si>
  <si>
    <t>cities; energy; industrial ecology; London; simulation; urban metabolism</t>
  </si>
  <si>
    <t>LAND-USE; ELECTRICITY CONSUMPTION; ENERGY; IMPACT; HEAT</t>
  </si>
  <si>
    <t>10.1111/j.1530-9290.2012.00486.x</t>
  </si>
  <si>
    <t>Zhang, Y; Yang, ZF; Yu, XY</t>
  </si>
  <si>
    <t>Zhang, Yan; Yang, Zhifeng; Yu, Xiangyi</t>
  </si>
  <si>
    <t>Urban Metabolism: A Review of Current Knowledge and Directions for Future Study</t>
  </si>
  <si>
    <t>ENVIRONMENTAL SCIENCE &amp; TECHNOLOGY</t>
  </si>
  <si>
    <t>ECOLOGICAL NETWORK ANALYSIS; SYSTEM MODEL DEVELOPMENT; SOCIOECONOMIC METABOLISM; SUSTAINABLE DEVELOPMENT; ENERGY-REQUIREMENTS; HUMAN APPROPRIATION; SOCIETY METABOLISM; METROPOLITAN-AREA; CARBON EMISSIONS; DRIVING FORCES</t>
  </si>
  <si>
    <t>0013-936X</t>
  </si>
  <si>
    <t>1520-5851</t>
  </si>
  <si>
    <t>OCT 6</t>
  </si>
  <si>
    <t>10.1021/acs.est.5b03060</t>
  </si>
  <si>
    <t>Pakina, AA; Mukhamedina, ME</t>
  </si>
  <si>
    <t>Pakina, Alla A.; Mukhamedina, Medina E.</t>
  </si>
  <si>
    <t>Urban Metabolism Assessment in the Context of Sustainability: the Case of Nur-Sultan city (Kazakhstan)</t>
  </si>
  <si>
    <t>JOURNAL OF SUSTAINABLE DEVELOPMENT OF ENERGY WATER AND ENVIRONMENT SYSTEMS-JSDEWES</t>
  </si>
  <si>
    <t>Urban metabolism; SDEWES Index; Rating; Nur-Sultan city; Resource intensity; Sustainable development</t>
  </si>
  <si>
    <t>ENVIRONMENT SYSTEMS INDEX; ENERGY-SYSTEMS; WATER; CARBON</t>
  </si>
  <si>
    <t>1848-9257</t>
  </si>
  <si>
    <t>10.13044/j.sdewes.d10.0432</t>
  </si>
  <si>
    <t>Chelleri, L; Kua, HW; Sánchez, JPR; Nahiduzzaman, KM; Thondhlana, G</t>
  </si>
  <si>
    <t>Chelleri, Lorenzo; Kua, Harn Wei; Rodriguez Sanchez, Juan Pablo; Nahiduzzaman, Kh Md; Thondhlana, Gladman</t>
  </si>
  <si>
    <t>Are People Responsive to a More Sustainable, Decentralized, and User-Driven Management of Urban Metabolism?</t>
  </si>
  <si>
    <t>Bogota; sustainability transition; green infrastructure; change actor; energy saving; Saudi Arabia; South Africa; people-centered approach; behavioral change</t>
  </si>
  <si>
    <t>ECOSYSTEM SERVICES; GREEN SPACE; CITY; INFRASTRUCTURE; ADAPTATION; RESILIENCE; TRANSITION; LESSONS; BOGOTA; CITIES</t>
  </si>
  <si>
    <t>10.3390/su8030275</t>
  </si>
  <si>
    <t>Currie, PK; Musango, JK</t>
  </si>
  <si>
    <t>Currie, Paul Klugman; Musango, Josephine Kaviti</t>
  </si>
  <si>
    <t>African Urbanization Assimilating Urban Metabolism into Sustainability Discourse and Practice</t>
  </si>
  <si>
    <t>African cities; industrial ecology; resource flows; sustainable development; urbanism; urban metabolism</t>
  </si>
  <si>
    <t>NET PRIMARY PRODUCTION; RAW-MATERIAL EQUIVALENTS; LONG-TERM TRENDS; EXERGY ANALYSIS; INTERNATIONAL-TRADE; HUMAN APPROPRIATION; UNITED-KINGDOM; ENERGY; CONSUMPTION; CONVERSION</t>
  </si>
  <si>
    <t>10.1111/jiec.12517</t>
  </si>
  <si>
    <t>Guzmán, AMO; Hardt, LPA; Hardt, C</t>
  </si>
  <si>
    <t>Guzman, Ana Maria Osorio; Antunes Hardt, Leticia Peret; Hardt, Carlos</t>
  </si>
  <si>
    <t>Climate change and urban sustainability: Comparing six intermediate Andean cities</t>
  </si>
  <si>
    <t>REVISTA TECNOLOGIA E SOCIEDADE</t>
  </si>
  <si>
    <t>Sustainable development; Climatic parameters; Urban metabolism; Socio-environmental vulnerability; Andean ecosystems</t>
  </si>
  <si>
    <t>METABOLISM</t>
  </si>
  <si>
    <t>1809-0044</t>
  </si>
  <si>
    <t>1984-3526</t>
  </si>
  <si>
    <t>OCT-DEC</t>
  </si>
  <si>
    <t>10.3895/1s.v1853.15721</t>
  </si>
  <si>
    <t>Social Sciences, Interdisciplinary</t>
  </si>
  <si>
    <t>Harb, S</t>
  </si>
  <si>
    <t>Harb, Samir</t>
  </si>
  <si>
    <t>Exhausted Circulation: The Limits to Cement Transportation and Urban Metabolism in the West Bank</t>
  </si>
  <si>
    <t>JOURNAL OF PALESTINE STUDIES</t>
  </si>
  <si>
    <t>infrastructure; metabolism; circulation; cement; power; sovereignty; ecology; urbanism; occupied Palestinian territories; West Bank</t>
  </si>
  <si>
    <t>0377-919X</t>
  </si>
  <si>
    <t>1533-8614</t>
  </si>
  <si>
    <t>OCT 2</t>
  </si>
  <si>
    <t>10.1080/0377919X.2022.2133969</t>
  </si>
  <si>
    <t>Area Studies</t>
  </si>
  <si>
    <t>Cunha, S; Ferrao, P</t>
  </si>
  <si>
    <t>Cunha, Sonia; Ferrao, Paulo</t>
  </si>
  <si>
    <t>Urban Metabolism Characterization from the National to the Regional Scale: A Case Study of Lisbon</t>
  </si>
  <si>
    <t>urban metabolism; socioeconomic metabolism; sustainable urban development; urban sustainability; climate change; material flow analysis; physical input-output tables; resource productivity; economic structure</t>
  </si>
  <si>
    <t>SUSTAINABILITY; BALANCE; CITIES; SYSTEM</t>
  </si>
  <si>
    <t>10.3390/environments10020014</t>
  </si>
  <si>
    <t>Patrício, J; Kalmykova, Y; Rosado, L; Lisovskaja, V</t>
  </si>
  <si>
    <t>Patricio, Joao; Kalmykova, Yuliya; Rosado, Leonardo; Lisovskaja, Vera</t>
  </si>
  <si>
    <t>Uncertainty in Material Flow Analysis Indicators at Different Spatial Levels</t>
  </si>
  <si>
    <t>economy-wide material flow analysis (EW-MFA); industrial ecology; material flow analysis (MFA); uncertainty; urban metabolism; urban metabolism analyst (UMAn)</t>
  </si>
  <si>
    <t>10.1111/jiec.12336</t>
  </si>
  <si>
    <t>Liu, J; Goel, A; Kua, HW; Wang, CH; Peng, YH</t>
  </si>
  <si>
    <t>Liu, J.; Goel, A.; Kua, H. W.; Wang, C. H.; Peng, Y. H.</t>
  </si>
  <si>
    <t>Evaluating the urban metabolism sustainability of municipal solid waste management system: An extended exergy accounting and indexing perspective</t>
  </si>
  <si>
    <t>APPLIED ENERGY</t>
  </si>
  <si>
    <t>Extend exergy analysis; Municipal solid waste; Sustainability assessment; Urban metabolism; Labor exergy; Environmental remediation exergy</t>
  </si>
  <si>
    <t>LIFE-CYCLE ASSESSMENT; ENVIRONMENTAL REMEDIATION COST; TO-ENERGY TECHNOLOGIES; HORTICULTURAL WASTE; ANAEROBIC-DIGESTION; GENERAL METHODOLOGY; BIOMASS COMBUSTION; COMPLEX-SYSTEMS; MSW MANAGEMENT; SEWAGE-SLUDGE</t>
  </si>
  <si>
    <t>0306-2619</t>
  </si>
  <si>
    <t>1872-9118</t>
  </si>
  <si>
    <t>2021 OCT 15</t>
  </si>
  <si>
    <t>10.1016/j.apenergy.2021.117254</t>
  </si>
  <si>
    <t>Energy &amp; Fuels; Engineering, Chemical</t>
  </si>
  <si>
    <t>Espinosa-Aquino, B; Durany, XG; Vargas, RQ</t>
  </si>
  <si>
    <t>Espinosa-Aquino, Beatriz; Gabarrell Durany, Xavier; Quiros Vargas, Roberto</t>
  </si>
  <si>
    <t>The Role of Informal Waste Management in Urban Metabolism: A Review of Eight Latin American Countries</t>
  </si>
  <si>
    <t>waste pickers; Latin America; urban metabolism; environmental impact; recycling; eco-business</t>
  </si>
  <si>
    <t>PICKERS; COLLECTION; ECONOMY</t>
  </si>
  <si>
    <t>10.3390/su15031826</t>
  </si>
  <si>
    <t>Wang, ZQ; Chai, J; Li, BQ</t>
  </si>
  <si>
    <t>Wang, Zhanqi; Chai, Ji; Li, Bingqing</t>
  </si>
  <si>
    <t>The Impacts of Land Use Change on Residents' Living Based on Urban Metabolism: A Case Study in Yangzhou City of Jiangsu Province, China</t>
  </si>
  <si>
    <t>land use change; residents' living; emergy; urban metabolism; Yangzhou</t>
  </si>
  <si>
    <t>EMERGY SYNTHESIS; SUSTAINABILITY; ECONOMIES</t>
  </si>
  <si>
    <t>10.3390/su8101004</t>
  </si>
  <si>
    <t>Lei, KP; Liu, L; Hu, D; Lou, I</t>
  </si>
  <si>
    <t>Lei, Kampeng; Liu, Lu; Hu, Dan; Lou, Inchio</t>
  </si>
  <si>
    <t>Mass, energy, and emergy analysis of the metabolism of Macao</t>
  </si>
  <si>
    <t>Urban metabolism; Emergy; Anabolism; Catabolism; Macao</t>
  </si>
  <si>
    <t>URBAN METABOLISM; ENVIRONMENTAL PERFORMANCE; SOCIOECONOMIC METABOLISM; SELF-ORGANIZATION; SUSTAINABILITY; TRENDS</t>
  </si>
  <si>
    <t>10.1016/j.jclepro.2015.05.099</t>
  </si>
  <si>
    <t>Marinho, SDAM; Galvao, CD; de Miranda, LIB</t>
  </si>
  <si>
    <t>Aciole Morais Marinho, Simone Danielle; Galvao, Carlos de Oliveira; Bezerra de Miranda, Livia Izabel</t>
  </si>
  <si>
    <t>The water-sensitive city from the urban metabolism and space production analysis perspective</t>
  </si>
  <si>
    <t>ENGENHARIA SANITARIA E AMBIENTAL</t>
  </si>
  <si>
    <t>integrated water resources management; space processes; urban metabolism</t>
  </si>
  <si>
    <t>MASS-BALANCE</t>
  </si>
  <si>
    <t>1413-4152</t>
  </si>
  <si>
    <t>1809-4457</t>
  </si>
  <si>
    <t>SEP-OCT</t>
  </si>
  <si>
    <t>10.1590/S1413-41522020191392</t>
  </si>
  <si>
    <t>Goldstein, B; Birkved, M; Quitzau, MB; Hauschild, M</t>
  </si>
  <si>
    <t>Goldstein, Benjamin; Birkved, Morten; Quitzau, Maj-Britt; Hauschild, Michael</t>
  </si>
  <si>
    <t>Quantification of urban metabolism through coupling with the life cycle assessment framework: concept development and case study</t>
  </si>
  <si>
    <t>urban metabolism; life cycle assessment; environmental footprint; decoupling; sustainable urban development</t>
  </si>
  <si>
    <t>SOCIOECONOMIC METABOLISM; EMERGY SYNTHESIS; ENERGY; CITIES; CHINA; ECOSYSTEM; SYSTEMS; MODEL; ENVIRONMENT; POPULATION</t>
  </si>
  <si>
    <t>JUL-SEP</t>
  </si>
  <si>
    <t>10.1088/1748-9326/8/3/035024</t>
  </si>
  <si>
    <t>van Broekhoven, S; Vernay, AL</t>
  </si>
  <si>
    <t>van Broekhoven, Saskia; Vernay, Anne Lorene</t>
  </si>
  <si>
    <t>Integrating Functions for a Sustainable Urban System: A Review of Multifunctional Land Use and Circular Urban Metabolism</t>
  </si>
  <si>
    <t>multifunctional land use; circular urban metabolism; review; challenges; strategies; urban sustainability</t>
  </si>
  <si>
    <t>INDUSTRIAL SYMBIOSIS; ECOLOGY; ENERGY; LANDSCAPES; FRAMEWORK; DYNAMICS; INTERDISCIPLINARY; NETWORK; DESIGN; CITIES</t>
  </si>
  <si>
    <t>10.3390/su10061875</t>
  </si>
  <si>
    <t>VandeWeghe, JR; Kennedy, C</t>
  </si>
  <si>
    <t>VandeWeghe, Jared R.; Kennedy, Christopher</t>
  </si>
  <si>
    <t>A spatial analysis of residential greenhouse gas emissions in the Toronto Census Metropolitan Area</t>
  </si>
  <si>
    <t>building energy use; industrial ecology; sustainable cities; transportation; urban ecosystems; urban metabolism</t>
  </si>
  <si>
    <t>URBAN METABOLISM; SUSTAINABILITY; CITIES</t>
  </si>
  <si>
    <t>10.1162/jie.2007.1220</t>
  </si>
  <si>
    <t>Longato, D; Lucertini, G; Dalla Fontana, M; Musco, F</t>
  </si>
  <si>
    <t>Longato, Davide; Lucertini, Giulia; Dalla Fontana, Michele; Musco, Francesco</t>
  </si>
  <si>
    <t>Including Urban Metabolism Principles in Decision-Making: A Methodology for Planning Waste and Resource Management</t>
  </si>
  <si>
    <t>circular economy; urban metabolism; waste prevention; resource management; policy-making; stakeholders' engagement; strategic planning; urban sustainability</t>
  </si>
  <si>
    <t>MATERIAL FLOW-ANALYSIS; CIRCULAR ECONOMY; DPSIR FRAMEWORK; SUSTAINABILITY; LANDSCAPE; SYSTEM; CITIES; CITY</t>
  </si>
  <si>
    <t>APR 1</t>
  </si>
  <si>
    <t>10.3390/su11072101</t>
  </si>
  <si>
    <t>Rusca, M; Gulamussen, NJ; Weststrate, J; Nguluve, EI; Salvador, EM; Paron, P; Ferrero, G</t>
  </si>
  <si>
    <t>Rusca, Maria; Gulamussen, Noor Jehan; Weststrate, Johanna; Nguluve, Eugenia Inacio; Salvador, Elsa Maria; Paron, Paolo; Ferrero, Giuliana</t>
  </si>
  <si>
    <t>The Urban Metabolism of Waterborne Diseases: Variegated Citizenship, (Waste)Water Flows, and Climatic Variability in Maputo, Mozambique</t>
  </si>
  <si>
    <t>ANNALS OF THE AMERICAN ASSOCIATION OF GEOGRAPHERS</t>
  </si>
  <si>
    <t>climatic variability; fecal contamination; variegated citizenship; WaSH inequalities; waterborne diseases</t>
  </si>
  <si>
    <t>LED TOTAL SANITATION; DRINKING-WATER; DEVELOPING-COUNTRIES; FECAL CONTAMINATION; QUALITY; CITY; TRANSMISSION; GEOGRAPHY; CHILDREN; DIARRHEA</t>
  </si>
  <si>
    <t>2469-4452</t>
  </si>
  <si>
    <t>2469-4460</t>
  </si>
  <si>
    <t>2022 APR 28</t>
  </si>
  <si>
    <t>10.1080/24694452.2021.1956875</t>
  </si>
  <si>
    <t>AUG 2021</t>
  </si>
  <si>
    <t>Chen, SQ; Chen, B</t>
  </si>
  <si>
    <t>Chen, Shaoqing; Chen, Bin</t>
  </si>
  <si>
    <t>Coupling of carbon and energy flows in cities: A meta-analysis and nexus modelling</t>
  </si>
  <si>
    <t>Energy consumption; Carbon emissions; Urban metabolism; Nexus; Global cities</t>
  </si>
  <si>
    <t>URBAN METABOLISM; REDUCTION PERFORMANCE; EMISSIONS; PERSPECTIVE; SUSTAINABILITY; CONSUMPTION; IMPACTS; SYSTEMS; CHINA</t>
  </si>
  <si>
    <t>MAY 15</t>
  </si>
  <si>
    <t>10.1016/j.apenergy.2016.10.069</t>
  </si>
  <si>
    <t>Codoban, N; Kennedy, CA</t>
  </si>
  <si>
    <t>Codoban, Natalia; Kennedy, Christopher A.</t>
  </si>
  <si>
    <t>Metabolism of neighborhoods</t>
  </si>
  <si>
    <t>JOURNAL OF URBAN PLANNING AND DEVELOPMENT</t>
  </si>
  <si>
    <t>SUSTAINABLE NEIGHBORHOODS; URBAN METABOLISM; ENERGY USE; CITIES; CITY</t>
  </si>
  <si>
    <t>0733-9488</t>
  </si>
  <si>
    <t>1943-5444</t>
  </si>
  <si>
    <t>10.1061/(ASCE)0733-9488(2008)134:1(21)</t>
  </si>
  <si>
    <t>Engineering, Civil; Regional &amp; Urban Planning; Urban Studies</t>
  </si>
  <si>
    <t>Roy, M; Curry, R; Ellis, G</t>
  </si>
  <si>
    <t>Roy, Manoj; Curry, Robin; Ellis, Geraint</t>
  </si>
  <si>
    <t>Spatial allocation of material flow analysis in residential developments: a case study of Kildare County, Ireland</t>
  </si>
  <si>
    <t>JOURNAL OF ENVIRONMENTAL PLANNING AND MANAGEMENT</t>
  </si>
  <si>
    <t>Ireland; material flow analysis; spatial allocation; spatial planning; sustainable development</t>
  </si>
  <si>
    <t>URBAN METABOLISM; ENERGY; ENVIRONMENT; EMISSIONS</t>
  </si>
  <si>
    <t>0964-0568</t>
  </si>
  <si>
    <t>1360-0559</t>
  </si>
  <si>
    <t>OCT 3</t>
  </si>
  <si>
    <t>10.1080/09640568.2014.951115</t>
  </si>
  <si>
    <t>Development Studies; Regional &amp; Urban Planning</t>
  </si>
  <si>
    <t>Maranghi, S; Parisi, ML; Facchini, A; Rubino, A; Kordas, O; Basosi, R</t>
  </si>
  <si>
    <t>Maranghi, Simone; Parisi, Maria Laura; Facchini, Angelo; Rubino, Alessandro; Kordas, Olga; Basosi, Riccardo</t>
  </si>
  <si>
    <t>Integrating urban metabolism and life cycle assessment to analyse urban sustainability</t>
  </si>
  <si>
    <t>City; Urban development; Life cycle assessment; Urban metabolism; Urban thermodynamics; Complex system</t>
  </si>
  <si>
    <t>ECOLOGICAL NETWORK ANALYSIS; ENERGY; SYSTEM</t>
  </si>
  <si>
    <t>10.1016/j.ecolind.2020.106074</t>
  </si>
  <si>
    <t>Roggema, R</t>
  </si>
  <si>
    <t>Roggema, Rob</t>
  </si>
  <si>
    <t>City of Flows: The Need for Design-Led Research to Urban Metabolism</t>
  </si>
  <si>
    <t>energy; food-food-energy; water nexus; nexus thinking; urban flows; urban metabolism; urban planning; water</t>
  </si>
  <si>
    <t>ELECTRICITY-GENERATION; WATER-USE; ENERGY; NEXUS</t>
  </si>
  <si>
    <t>10.17645/up.v4i1.1988</t>
  </si>
  <si>
    <t>Liu, C; Shi, XY; Qu, LL; Li, BY</t>
  </si>
  <si>
    <t>Liu, Chang; Shi, Xueyi; Qu, Lulu; Li, Bingyi</t>
  </si>
  <si>
    <t>Comparative Analysis for the Urban Metabolic Differences of Two Types of Cities in the Resource-Dependent Region Based on Emergy Theory</t>
  </si>
  <si>
    <t>urban metabolism; resource-dependent city; emergy theory; comparison analysis</t>
  </si>
  <si>
    <t>CHINA; SUSTAINABILITY; PROVINCE; PROJECT; SYSTEMS</t>
  </si>
  <si>
    <t>10.3390/su8070635</t>
  </si>
  <si>
    <t>Islam, KMN</t>
  </si>
  <si>
    <t>Islam, K. M. Nazmul</t>
  </si>
  <si>
    <t>Greenhouse gas footprint and the carbon flow associated with different solid waste management strategy for urban metabolism in Bangladesh</t>
  </si>
  <si>
    <t>Carbon footprint; Circular economy; Urban metabolism; Industrial ecology and sustainable city</t>
  </si>
  <si>
    <t>RENEWABLE ENERGY; DHAKA CITY; EMISSIONS; MSW; SYSTEM; WILLINGNESS; GENERATION; HOUSEHOLD; RECOVERY; BENEFITS</t>
  </si>
  <si>
    <t>10.1016/j.scitotenv.2016.12.022</t>
  </si>
  <si>
    <t>Procter, AC; Kaplan, PÖ; Araujo, R</t>
  </si>
  <si>
    <t>Procter, Andrew C.; Kaplan, P. Ozge; Araujo, Rochelle</t>
  </si>
  <si>
    <t>Net Zero Fort Carson</t>
  </si>
  <si>
    <t>industrial ecology; military; renewable energy; system dynamics; urban metabolism; water recycling</t>
  </si>
  <si>
    <t>SOLID-WASTE GENERATION; URBAN METABOLISM</t>
  </si>
  <si>
    <t>10.1111/jiec.12359</t>
  </si>
  <si>
    <t>Bahers, JB; Tanguy, A; Pincetl, S</t>
  </si>
  <si>
    <t>Bahers, Jean-Baptiste; Tanguy, Audrey; Pincetl, Stephanie</t>
  </si>
  <si>
    <t>Metabolic relationships between cities and hinterland: a political-industrial ecology of energy metabolism of Saint-Nazaire metropolitan and port area (France)</t>
  </si>
  <si>
    <t>Energy flows; Urban metabolism; Energy transition; Political-industrial ecology; City-hinterland</t>
  </si>
  <si>
    <t>MULTISCALE INTEGRATED ANALYSIS; URBAN METABOLISM; NETWORK MODEL; SUSTAINABILITY; EXPERIENCES; SOCIETAL; CHINA; AGRICULTURE; AUTHORITIES; GOVERNANCE</t>
  </si>
  <si>
    <t>10.1016/j.ecolecon.2019.106447</t>
  </si>
  <si>
    <t>Lederer, J; Kral, U</t>
  </si>
  <si>
    <t>Lederer, Jakob; Kral, Ulrich</t>
  </si>
  <si>
    <t>Theodor Weyl: A Pioneer of Urban Metabolism Studies</t>
  </si>
  <si>
    <t>environmental history; industrial ecology; material flow analysis (MFA); nutrient flow; nutrition; urban metabolism</t>
  </si>
  <si>
    <t>DESIGN</t>
  </si>
  <si>
    <t>10.1111/jiec.12320</t>
  </si>
  <si>
    <t>Yeow, LW; Cheah, L</t>
  </si>
  <si>
    <t>Yeow, Lih Wei; Cheah, Lynette</t>
  </si>
  <si>
    <t>Using spatially explicit commodity flow and truck activity data to map urban material flows</t>
  </si>
  <si>
    <t>big data; geographic information systems; industrial ecology; truck driver activity survey; urban metabolism</t>
  </si>
  <si>
    <t>METABOLISM; ENERGY; CONSUMPTION; SYSTEMS</t>
  </si>
  <si>
    <t>10.1111/jiec.12849</t>
  </si>
  <si>
    <t>Smit, S; Musango, JK; Kovacic, Z; Brent, AC</t>
  </si>
  <si>
    <t>Smit, Suzanne; Musango, Josephine Kaviti; Kovacic, Zora; Brent, Alan C.</t>
  </si>
  <si>
    <t>Conceptualising slum in an urban African context</t>
  </si>
  <si>
    <t>Informal settlement; Urban metabolism; Multi-scale analysis; Urban slums; Urban Africa; South Africa</t>
  </si>
  <si>
    <t>MATERIAL FLOW-ANALYSIS; SOCIETAL METABOLISM; SOUTH-AFRICA; ECONOMY; SETTLEMENTS; POLICY; CITIES</t>
  </si>
  <si>
    <t>10.1016/j.cities.2016.12.018</t>
  </si>
  <si>
    <t>Luengo-Duque, MH</t>
  </si>
  <si>
    <t>Helena Luengo-Duque, Maria</t>
  </si>
  <si>
    <t>Coastal cities and sustainability indicators: an approach from the urban metabolism of the street. The case of Juan Ponce de Leon avenue, in San Juan, Puerto Rico</t>
  </si>
  <si>
    <t>REVISTA DE ARQUITECTURA-BOGOTA</t>
  </si>
  <si>
    <t>Sustainable urbanism; ecology; environmental quality; road systems; urban planning</t>
  </si>
  <si>
    <t>IMPACT</t>
  </si>
  <si>
    <t>1657-0308</t>
  </si>
  <si>
    <t>2357-626X</t>
  </si>
  <si>
    <t>JUL-DEC</t>
  </si>
  <si>
    <t>10.14718/RevArq.2020.2551</t>
  </si>
  <si>
    <t>Yang, ZF; Zhang, Y; Li, SS; Liu, H; Zheng, HM; Zhang, JY; Su, MR; Liu, GY</t>
  </si>
  <si>
    <t>Yang Zhifeng; Zhang Yan; Li Shengsheng; Liu Hong; Zheng Hongmei; Zhang Jinyun; Su Meirong; Liu Gengyuan</t>
  </si>
  <si>
    <t>Characterizing urban metabolic systems with an ecological hierarchy method, Beijing, China</t>
  </si>
  <si>
    <t>Urban ecology; Urban metabolism; Ecological network analysis; Ecological hierarchy; Beijing</t>
  </si>
  <si>
    <t>NETWORK ANALYSIS; FLOW-ANALYSIS; ENERGY; EMERGY; ECONOMICS; CITIES; CITY</t>
  </si>
  <si>
    <t>10.1016/j.landurbplan.2013.09.004</t>
  </si>
  <si>
    <t>One Model Does Not Fit All: Bottom-Up Indicators of Residential Water Use Provide Limited Explanation of Urban Water Fluxes</t>
  </si>
  <si>
    <t>JOURNAL OF SUSTAINABLE WATER IN THE BUILT ENVIRONMENT</t>
  </si>
  <si>
    <t>METROPOLITAN REGION; SUSTAINABILITY FIX; CLIMATE-CHANGE; UNITED-STATES; DEMAND; MANAGEMENT; CONSUMPTION; METABOLISM; ENERGY; CITY</t>
  </si>
  <si>
    <t>2379-6111</t>
  </si>
  <si>
    <t>AUG 1</t>
  </si>
  <si>
    <t>10.1061/JSWBAY.0000916</t>
  </si>
  <si>
    <t>Saguin, K</t>
  </si>
  <si>
    <t>Saguin, Kristian</t>
  </si>
  <si>
    <t>Biographies of fish for the city: Urban metabolism of Laguna Lake aquaculture</t>
  </si>
  <si>
    <t>Aquaculture; Urban metabolism; Laguna Lake; Manila; Urban political ecology; Bighead carp</t>
  </si>
  <si>
    <t>POLITICAL ECOLOGY; SHRIMP AQUACULTURE; NET DEFICITS; FOOD; IMPACTS; COMMODITY; CULTURE; GEOGRAPHIES; NUTRITION; THAILAND</t>
  </si>
  <si>
    <t>10.1016/j.geoforum.2014.03.008</t>
  </si>
  <si>
    <t>Wang, YS; Chen, PC; Ma, HW; Cheng, KL; Chang, CY</t>
  </si>
  <si>
    <t>Wang, Yishin; Chen, Pi-Cheng; Ma, Hwong-Wen; Cheng, Kuang-Ly; Chang, Chih-Yu</t>
  </si>
  <si>
    <t>Socio-economic metabolism of urban construction materials: A case study of the Taipei metropolitan area</t>
  </si>
  <si>
    <t>Urban metabolism; Building and infrastructure; Material-Flow analysis; Cement; Sand and gravel; Socioeconomic factors</t>
  </si>
  <si>
    <t>MATERIAL FLOW-ANALYSIS; LAND RECLAMATION; TAIWAN</t>
  </si>
  <si>
    <t>10.1016/j.resconrec.2016.08.019</t>
  </si>
  <si>
    <t>Golubiewski, N</t>
  </si>
  <si>
    <t>Golubiewski, Nancy</t>
  </si>
  <si>
    <t>Is There a Metabolism of an Urban Ecosystem? An Ecological Critique</t>
  </si>
  <si>
    <t>Urban metabolism; Urban ecosystem; Material flows analysis; Urban ecological model; Urban ecology theory; Socio-ecological system</t>
  </si>
  <si>
    <t>FRAMEWORK; CITIES; SUSTAINABILITY; FLUXES; ENERGY; CITY; MEFA</t>
  </si>
  <si>
    <t>10.1007/s13280-011-0232-7</t>
  </si>
  <si>
    <t>Society, energy and materials: the contribution of urban metabolism studies to sustainable urban development issues</t>
  </si>
  <si>
    <t>industrial ecology; urban ecology; territorial ecology; material flow analysis; substance flow analysis; environmental imprints</t>
  </si>
  <si>
    <t>BALANCE; ECONOMICS; NITROGEN; SCALE; FLOW</t>
  </si>
  <si>
    <t>PII 922421876</t>
  </si>
  <si>
    <t>10.1080/09640561003703772</t>
  </si>
  <si>
    <t>Roche, MY; Lechtenböhmer, S; Fischedick, M; Gröne, MC; Xia, C; Dienst, C</t>
  </si>
  <si>
    <t>Gadgil, A; Liverman, DM</t>
  </si>
  <si>
    <t>Roche, Maria Yetano; Lechtenboehmer, Stefan; Fischedick, Manfred; Groene, Marie-Christine; Xia, Chun; Dienst, Carmen</t>
  </si>
  <si>
    <t>Concepts and Methodologies for Measuring the Sustainability of Cities</t>
  </si>
  <si>
    <t>ANNUAL REVIEW OF ENVIRONMENT AND RESOURCES, VOL 39</t>
  </si>
  <si>
    <t>Annual Review of Environment and Resources</t>
  </si>
  <si>
    <t>Review; Book Chapter</t>
  </si>
  <si>
    <t>greenhouse gas inventories; consumption based; carbon footprint; environmental footprint; urban metabolism</t>
  </si>
  <si>
    <t>GREENHOUSE-GAS EMISSIONS; URBAN METABOLISM; ECOLOGICAL FOOTPRINT; CLIMATE-CHANGE; FLOW-ANALYSIS; IMPACT ASSESSMENT; CARBON EMISSIONS; CITY; ENERGY; BOUNDARY</t>
  </si>
  <si>
    <t>1543-5938</t>
  </si>
  <si>
    <t>978-0-8243-2339-4</t>
  </si>
  <si>
    <t>10.1146/annurev-environ-012913-101223</t>
  </si>
  <si>
    <t>Chen, SQ; Chen, B; Feng, KS; Liu, Z; Fromer, N; Tan, XC; Alsaedi, A; Hayat, T; Weisz, H; Schellnhuber, HJ; Hubacek, K</t>
  </si>
  <si>
    <t>Chen, Shaoqing; Chen, Bin; Feng, Kuishuang; Liu, Zhu; Fromer, Neil; Tan, Xianchun; Alsaedi, Ahmed; Hayat, Tasawar; Weisz, Helga; Schellnhuber, Hans Joachim; Hubacek, Klaus</t>
  </si>
  <si>
    <t>Physical and virtual carbon metabolism of global cities</t>
  </si>
  <si>
    <t>NATURE COMMUNICATIONS</t>
  </si>
  <si>
    <t>CLIMATE-CHANGE; GAS EMISSIONS; BIOGEOCHEMICAL CYCLE; URBAN METABOLISM; CO2 EMISSIONS; ENERGY USE; FOOTPRINTS; CITY; METHODOLOGY; NITROGEN</t>
  </si>
  <si>
    <t>2041-1723</t>
  </si>
  <si>
    <t>JAN 10</t>
  </si>
  <si>
    <t>10.1038/s41467-019-13757-3</t>
  </si>
  <si>
    <t>Multidisciplinary Sciences</t>
  </si>
  <si>
    <t>Li, JZ; Huang, GH; Liu, LR</t>
  </si>
  <si>
    <t>Li, Jizhe; Huang, Guohe; Liu, Lirong</t>
  </si>
  <si>
    <t>Ecological network analysis for urban metabolism and carbon emissions based on input-output tables: A case study of Guangdong province</t>
  </si>
  <si>
    <t>Input-output table; Carbon emission; Urban metabolism; Mitigation; Ecological network analysis; Guangdong province</t>
  </si>
  <si>
    <t>MODEL DEVELOPMENT; CLIMATE-CHANGE; UNITED-STATES; SYSTEM; CYCLE; PERSPECTIVE; SIMULATION; DYNAMICS; CITIES; ENERGY</t>
  </si>
  <si>
    <t>SEP 10</t>
  </si>
  <si>
    <t>10.1016/j.ecolmodel.2018.05.009</t>
  </si>
  <si>
    <t>Lin, T; Wang, J; Bai, XM; Zhang, GQ; Li, XH; Ge, RB; Ye, H</t>
  </si>
  <si>
    <t>Lin, Tao; Wang, Jin; Bai, Xuemei; Zhang, Guoqin; Li, Xinhu; Ge, Rubing; Ye, Hong</t>
  </si>
  <si>
    <t>Quantifying and managing food-sourced nutrient metabolism in Chinese cities</t>
  </si>
  <si>
    <t>ENVIRONMENT INTERNATIONAL</t>
  </si>
  <si>
    <t>Urban metabolism; Nutrient flows; Carbon; Nitrogen; Phosphorus; China</t>
  </si>
  <si>
    <t>PHOSPHORUS FLOWS; CARBON EMISSIONS; URBAN METABOLISM; NITROGEN; CONSUMPTION; IMPACTS; CITY; PERSPECTIVE; ECOLOGY; CYCLES</t>
  </si>
  <si>
    <t>0160-4120</t>
  </si>
  <si>
    <t>1873-6750</t>
  </si>
  <si>
    <t>10.1016/j.envint.2016.04.036</t>
  </si>
  <si>
    <t>Akrour, S; Moore, J; Grimes, S</t>
  </si>
  <si>
    <t>Akrour, Sonia; Moore, Jennie; Grimes, Samir</t>
  </si>
  <si>
    <t>Assessment of the ecological footprint associated with consumer goods and waste management activities of south mediterranean cities: Case of Algiers and Tipaza</t>
  </si>
  <si>
    <t>Component ecological footprint; Urban metabolism; Municipal waste flow; Greenhouse gas emissions; Algerian coastal cities; Land use</t>
  </si>
  <si>
    <t>LONG-TERM; INCINERATION; METABOLISM; CHINA</t>
  </si>
  <si>
    <t>10.1016/j.indic.2021.100154</t>
  </si>
  <si>
    <t>Fan, JL; Kong, LS; Wang, H; Zhang, X</t>
  </si>
  <si>
    <t>Fan, Jing-Li; Kong, Ling-Si; Wang, Hang; Zhang, Xian</t>
  </si>
  <si>
    <t>A water-energy nexus review from the perspective of urban metabolism</t>
  </si>
  <si>
    <t>Water-energy nexus; Urban metabolism; Urban sustainability</t>
  </si>
  <si>
    <t>GREENHOUSE-GAS EMISSIONS; DOMESTIC HOT-WATER; WASTE-WATER; TREATMENT-PLANT; FOOD NEXUS; RESIDENTIAL BUILDINGS; INTEGRATED ANALYSIS; RENEWABLE ENERGY; EMBODIED ENERGY; SUPPLY-SYSTEMS</t>
  </si>
  <si>
    <t>10.1016/j.ecolmodel.2018.11.019</t>
  </si>
  <si>
    <t>Singh, S; Kennedy, C</t>
  </si>
  <si>
    <t>Singh, Shweta; Kennedy, Christopher</t>
  </si>
  <si>
    <t>The Nexus of Carbon, Nitrogen, and Biodiversity Impacts from Urban Metabolism</t>
  </si>
  <si>
    <t>carbon; biodiversity; input-output models; nexus; nitrogen; urban metabolism</t>
  </si>
  <si>
    <t>FOOD-CONSUMPTION; CO2 EMISSIONS; URBANIZATION; ENERGY; CYCLE; BALANCE; CITY; DEFORESTATION; FOOTPRINT; DYNAMICS</t>
  </si>
  <si>
    <t>10.1111/jiec.12611</t>
  </si>
  <si>
    <t>Tang, MH; Hong, JK; Guo, S; Liu, GW; Shen, GQ</t>
  </si>
  <si>
    <t>Tang, Miaohan; Hong, Jingke; Guo, Shan; Liu, Guiwen; Shen, Geoffrey Qiping</t>
  </si>
  <si>
    <t>A bibliometric review of urban energy metabolism: Evolutionary trends and the application of network analytical methods</t>
  </si>
  <si>
    <t>Urban energy metabolism; Bibliometric analysis; Network analysis; Input-output analysis; Ecological network analysis; Complex network analysis</t>
  </si>
  <si>
    <t>INPUT-OUTPUT-ANALYSIS; BEIJING-TIANJIN-HEBEI; WATER-CARBON NEXUS; INTERNATIONAL-TRADE; SUSTAINABILITY; CONSUMPTION; EMERGY; SYSTEM; CHINA; MODEL</t>
  </si>
  <si>
    <t>10.1016/j.jclepro.2020.123403</t>
  </si>
  <si>
    <t>Chen, IC; Wang, YH; Lin, W; Ma, HW</t>
  </si>
  <si>
    <t>Chen, I-Chun; Wang, Yi-Hsin; Lin, Wei; Ma, Hwong-wen</t>
  </si>
  <si>
    <t>Assessing the risk of the food-energy-water nexus of urban metabolism: A case study of Kinmen Island, Taiwan</t>
  </si>
  <si>
    <t>FEW nexus; Resource metabolism; Nexus risk assessment; Resource management</t>
  </si>
  <si>
    <t>INFORMATION; MODEL</t>
  </si>
  <si>
    <t>10.1016/j.ecolind.2019.105861</t>
  </si>
  <si>
    <t>Tang, ZP; Mei, ZA; Song, T; Yang, CX</t>
  </si>
  <si>
    <t>Tang, Zhipeng; Mei, Ziao; Song, Tao; Yang, Chenxinyi</t>
  </si>
  <si>
    <t>Gearing Urban Metabolism toward the Carbon Neutrality Target: A Case Study of Hebei Province, China</t>
  </si>
  <si>
    <t>urban metabolism; water-energy-population nexus; system dynamics model; Hebei province; sustainability</t>
  </si>
  <si>
    <t>WATER; NEXUS; EMERGY; SYSTEM; INFRASTRUCTURE; SUSTAINABILITY</t>
  </si>
  <si>
    <t>10.3390/en15145243</t>
  </si>
  <si>
    <t>Liu, W; Chang, AC; Chen, WP; Zhou, WQ; Feng, Q</t>
  </si>
  <si>
    <t>Liu, Wen; Chang, Andrew C.; Chen, Weiping; Zhou, Weiqi; Feng, Qi</t>
  </si>
  <si>
    <t>A framework for the urban eco-metabolism model - Linking metabolic processes to spatial patterns</t>
  </si>
  <si>
    <t>Landscape patterns; Mass balance; Eco-metabolic processes; Materials and energy flows; Water metabolism</t>
  </si>
  <si>
    <t>SOCIOECONOMIC METABOLISM; WASTE MANAGEMENT; EMERGY SYNTHESIS; CLIMATE-CHANGE; WATER-BALANCE; MASS-BALANCE; ENERGY; ECOSYSTEM; TRENDS; IMPACT</t>
  </si>
  <si>
    <t>NOV 1</t>
  </si>
  <si>
    <t>10.1016/j.jclepro.2017.07.055</t>
  </si>
  <si>
    <t>Mohareb, E; Perrotti, D</t>
  </si>
  <si>
    <t>Mohareb, Eugene; Perrotti, Daniela</t>
  </si>
  <si>
    <t>Sustainability transitions require an understanding of smaller cities</t>
  </si>
  <si>
    <t>industrial ecology; material flow analysis; resource flows; small- and medium-sized cities; sustainable cities; urban metabolism</t>
  </si>
  <si>
    <t>GREENHOUSE-GAS EMISSIONS; ENERGY; CITY; PERFORMANCE; EFFICIENCY; CARBON; FLOWS</t>
  </si>
  <si>
    <t>10.1111/jiec.13434</t>
  </si>
  <si>
    <t>OCT 2023</t>
  </si>
  <si>
    <t>Wang, XY; Wu, SY; Li, SC</t>
  </si>
  <si>
    <t>Wang, Xiaoyue; Wu, Shuyao; Li, Shuangcheng</t>
  </si>
  <si>
    <t>Urban Metabolism of Three Cities in Jing-Jin-Ji Urban Agglomeration, China: Using the MuSIASEM Approach</t>
  </si>
  <si>
    <t>urban metabolism; MuSIASEM; urban agglomeration; energy consumption; human activity</t>
  </si>
  <si>
    <t>MULTISCALE INTEGRATED ANALYSIS; SOCIETAL METABOLISM; ENERGY-CONSUMPTION; INTENSITY; EMISSIONS; SYSTEMS</t>
  </si>
  <si>
    <t>10.3390/su9081481</t>
  </si>
  <si>
    <t>Niza, S; Rosado, L; Ferrao, P</t>
  </si>
  <si>
    <t>Niza, Samuel; Rosado, Leonardo; Ferrao, Paulo</t>
  </si>
  <si>
    <t>Urban Metabolism Methodological Advances in Urban Material Flow Accounting Based on the Lisbon Case Study</t>
  </si>
  <si>
    <t>domestic material consumption (DMC); industrial ecology; material balance; resource management; sustainable city; urban planning</t>
  </si>
  <si>
    <t>10.1111/j.1530-9290.2009.00130.x</t>
  </si>
  <si>
    <t>Tan, LM; Arbabi, H; Li, QQ; Sheng, YL; Tingley, DD; Mayfield, M; Coca, D</t>
  </si>
  <si>
    <t>Tan, Ling Min; Arbabi, Hadi; Li, Qianqian; Sheng, Yulan; Tingley, Danielle Densley; Mayfield, Martin; Coca, Daniel</t>
  </si>
  <si>
    <t>Ecological network analysis on intra-city metabolism of functional urban areas in England and Wales</t>
  </si>
  <si>
    <t>Urban metabolism; Input-output analysis; Ecological network analysis; Network community structure; Workplace spatial distribution</t>
  </si>
  <si>
    <t>FLOW-ANALYSIS; ENERGY; MODEL; ECOSYSTEMS</t>
  </si>
  <si>
    <t>10.1016/j.resconrec.2018.06.010</t>
  </si>
  <si>
    <t>Elliot, T; Almenar, JB; Niza, S; Proença, V; Rugani, B</t>
  </si>
  <si>
    <t>Elliot, Thomas; Almenar, Javier Babi; Niza, Samuel; Proenca, Vania; Rugani, Benedetto</t>
  </si>
  <si>
    <t>Pathways to Modelling Ecosystem Services within an Urban Metabolism Framework</t>
  </si>
  <si>
    <t>urban metabolism; socio-ecological impacts; spatio-temporal dynamics; multiscale; sustainability; ecosystem services</t>
  </si>
  <si>
    <t>ECOLOGICAL NETWORK ANALYSIS; MULTISCALE INTEGRATED ANALYSIS; COUPLED HUMAN; SYSTEM MODEL; LAND-COVER; NITROGEN; CITY; EMERGY; SUSTAINABILITY; FOOD</t>
  </si>
  <si>
    <t>MAY 2</t>
  </si>
  <si>
    <t>10.3390/su11102766</t>
  </si>
  <si>
    <t>Fan, YP; Fang, CL</t>
  </si>
  <si>
    <t>Fan, Yupeng; Fang, Chuanglin</t>
  </si>
  <si>
    <t>Research on the synergy of urban system operation-Based on the perspective of urban metabolism</t>
  </si>
  <si>
    <t>Urban metabolic system; Sustainable development; Mutualism; Competition; Synergism; Stability</t>
  </si>
  <si>
    <t>ECOLOGICAL NETWORK ANALYSIS; INPUT-OUTPUT TABLES; DISTRIBUTED CONTROL; ANALYSIS REVEALS; ENERGY; MODEL; PATTERNS; CARBON; WATER</t>
  </si>
  <si>
    <t>APR 20</t>
  </si>
  <si>
    <t>10.1016/j.scitotenv.2019.01.252</t>
  </si>
  <si>
    <t>Moore, J; Kissinger, M; Rees, WE</t>
  </si>
  <si>
    <t>Moore, Jennie; Kissinger, Meidad; Rees, William E.</t>
  </si>
  <si>
    <t>An urban metabolism and ecological footprint assessment of Metro Vancouver</t>
  </si>
  <si>
    <t>JOURNAL OF ENVIRONMENTAL MANAGEMENT</t>
  </si>
  <si>
    <t>Urban metabolism; Ecological footprint; Sustainability; Regional planning</t>
  </si>
  <si>
    <t>ECOSYSTEM APPROPRIATION; ENVIRONMENTAL-IMPACT; CITIES; SUSTAINABILITY; TOOL</t>
  </si>
  <si>
    <t>0301-4797</t>
  </si>
  <si>
    <t>1095-8630</t>
  </si>
  <si>
    <t>JUL 30</t>
  </si>
  <si>
    <t>10.1016/j.jenvman.2013.03.009</t>
  </si>
  <si>
    <t>Fragkou, MC; Vicent, T; Gabarrell, X</t>
  </si>
  <si>
    <t>Fragkou, Maria Christina; Vicent, Teresa; Gabarrell, Xavier</t>
  </si>
  <si>
    <t>An ecosystemic approach for assessing the urban water self-sufficiency potential: lessons from the Mediterranean</t>
  </si>
  <si>
    <t>URBAN WATER JOURNAL</t>
  </si>
  <si>
    <t>urban water management; rainwater harvesting; urban metabolism; indicators; climate change; Mediterranean</t>
  </si>
  <si>
    <t>CLIMATE-CHANGE; ENVIRONMENTAL-ANALYSIS; FLOW-ANALYSIS; RAINWATER; METABOLISM; MANAGEMENT; VARIABILITY; RESOURCES; BALANCE; CITIES</t>
  </si>
  <si>
    <t>1573-062X</t>
  </si>
  <si>
    <t>1744-9006</t>
  </si>
  <si>
    <t>10.1080/1573062X.2015.1024686</t>
  </si>
  <si>
    <t>Yang, WC; Lee, YM; Hu, JL</t>
  </si>
  <si>
    <t>Yang, Wen-Chi; Lee, Yuh-Ming; Hu, Jin-Li</t>
  </si>
  <si>
    <t>Urban sustainability assessment of Taiwan based on data envelopment analysis</t>
  </si>
  <si>
    <t>RENEWABLE &amp; SUSTAINABLE ENERGY REVIEWS</t>
  </si>
  <si>
    <t>Undesirable outputs; Window analysis; Urban metabolism; Aggregate efficiency; Disaggregate efficiency</t>
  </si>
  <si>
    <t>FACTOR ENERGY EFFICIENCY; DEA WINDOW ANALYSIS; ENVIRONMENTAL EFFICIENCY; ECO-EFFICIENCY; METABOLISM; REGIONS; CHINA; PERSPECTIVES; CITIES; WASTE</t>
  </si>
  <si>
    <t>1364-0321</t>
  </si>
  <si>
    <t>1879-0690</t>
  </si>
  <si>
    <t>10.1016/j.rser.2016.04.015</t>
  </si>
  <si>
    <t>Green &amp; Sustainable Science &amp; Technology; Energy &amp; Fuels</t>
  </si>
  <si>
    <t>The main characteristics of urban socio-ecological trajectories: Paris (France) from the 18th to the 20th century</t>
  </si>
  <si>
    <t>Urban socio-ecological trajectory; Socio-ecological regime; Urban metabolism; Environmental imprint; Urban extraterritoriality; Territorial ecology</t>
  </si>
  <si>
    <t>METABOLISM; CONSUMPTION; ENERGY; FLOW; SYSTEMS; CITY</t>
  </si>
  <si>
    <t>10.1016/j.ecolecon.2015.07.027</t>
  </si>
  <si>
    <t>Choe, H; Thorne, JH</t>
  </si>
  <si>
    <t>Choe, Hyeyeong; Thorne, James H.</t>
  </si>
  <si>
    <t>Omnidirectional connectivity of urban open spaces provides context for local government redevelopment plans</t>
  </si>
  <si>
    <t>LANDSCAPE AND ECOLOGICAL ENGINEERING</t>
  </si>
  <si>
    <t>Megacity; Omniscape; Permeability; Seoul; Urban metabolism; Urban planning</t>
  </si>
  <si>
    <t>GREEN-SPACE; CHALLENGES; CITY; STRATEGIES; METABOLISM; CITIES</t>
  </si>
  <si>
    <t>1860-1871</t>
  </si>
  <si>
    <t>1860-188X</t>
  </si>
  <si>
    <t>10.1007/s11355-019-00377-8</t>
  </si>
  <si>
    <t>Biodiversity Conservation; Ecology</t>
  </si>
  <si>
    <t>Facchini, A; Mele, R; Caldarelli, G</t>
  </si>
  <si>
    <t>Facchini, Angelo; Mele, R.; Caldarelli, Guido</t>
  </si>
  <si>
    <t>The Urban Metabolism of Lima: Perspectives and Policy Indications for GHG Emission Reductions</t>
  </si>
  <si>
    <t>urban metabolism; megacities; climate policy; energy efficiency; energy policy</t>
  </si>
  <si>
    <t>ENERGY; CONSUMPTION; SUSTAINABILITY; SET</t>
  </si>
  <si>
    <t>10.3389/frsc.2020.00040</t>
  </si>
  <si>
    <t>Galan, J; Perrotti, D</t>
  </si>
  <si>
    <t>Galan, Juanjo; Perrotti, Daniela</t>
  </si>
  <si>
    <t>Incorporating Metabolic Thinking into Regional Planning: The Case of the Sierra Calderona Strategic Plan</t>
  </si>
  <si>
    <t>ecological footprint; material and energy flow analysis; regional metabolism; spatial metabolic studies; sustainable metabolism; sustainable planning; urban metabolism</t>
  </si>
  <si>
    <t>URBAN METABOLISM; ECOLOGICAL FOOTPRINT; CITIES</t>
  </si>
  <si>
    <t>10.17645/up.v4i1.1549</t>
  </si>
  <si>
    <t>Kolkwitz, M; Luotonen, E; Huuhka, S</t>
  </si>
  <si>
    <t>Kolkwitz, Mario; Luotonen, Elina; Huuhka, Satu</t>
  </si>
  <si>
    <t>How changes in urban morphology translate into urban metabolisms of building stocks: A framework for spatiotemporal material flow analysis and a case study</t>
  </si>
  <si>
    <t>Built environment; cities; urban morphology; time-space analysis; sustainability</t>
  </si>
  <si>
    <t>ACCUMULATION</t>
  </si>
  <si>
    <t>10.1177/23998083221140892</t>
  </si>
  <si>
    <t>NOV 2022</t>
  </si>
  <si>
    <t>Clark, SS; Chester, MV</t>
  </si>
  <si>
    <t>Clark, Susan Spierre; Chester, Mikhail V.</t>
  </si>
  <si>
    <t>A Hybrid Approach for Assessing the Multi-Scale Impacts of Urban Resource Use</t>
  </si>
  <si>
    <t>greenhouse gas (GHG) emissions; industrial ecology; life cycle assessment (LCA); multiscale analysis; transportation; urban metabolism</t>
  </si>
  <si>
    <t>ENERGY; METABOLISM; CITIES; EMISSIONS; OPPORTUNITIES; CHALLENGES; FOOTPRINTS; MODEL</t>
  </si>
  <si>
    <t>10.1111/jiec.12422</t>
  </si>
  <si>
    <t>Caprotti, F; Romanowicz, J</t>
  </si>
  <si>
    <t>Caprotti, Federico; Romanowicz, Joanna</t>
  </si>
  <si>
    <t>Thermal Eco-cities: Green Building and Urban Thermal Metabolism</t>
  </si>
  <si>
    <t>INTERNATIONAL JOURNAL OF URBAN AND REGIONAL RESEARCH</t>
  </si>
  <si>
    <t>urban metabolism; Abu Dhabi; Masdar; eco-cities; green building; low-carbon transitions; political ecology; thermal architecture</t>
  </si>
  <si>
    <t>POLITICAL ECOLOGY; SUSTAINABLE DEVELOPMENT; NEOLIBERALISING NATURE; CLIMATE-CHANGE; COMFORT; CITY; ENVIRONMENTS; PERSPECTIVES; OUTDOOR; JUSTICE</t>
  </si>
  <si>
    <t>0309-1317</t>
  </si>
  <si>
    <t>1468-2427</t>
  </si>
  <si>
    <t>10.1111/1468-2427.12049</t>
  </si>
  <si>
    <t>Geography; Regional &amp; Urban Planning; Urban Studies</t>
  </si>
  <si>
    <t>Kellett, R; Christen, A; Coops, NC; van der Laan, M; Crawford, B; Tooke, TR; Olchovski, I</t>
  </si>
  <si>
    <t>Kellett, Ronald; Christen, Andreas; Coops, Nicholas C.; van der Laan, Michael; Crawford, Ben; Tooke, Thoreau Rory; Olchovski, Irina</t>
  </si>
  <si>
    <t>A systems approach to carbon cycling and emissions modeling at an urban neighborhood scale</t>
  </si>
  <si>
    <t>Carbon emissions; Carbon storage; Urban metabolism; Urban planning for climate change; Remote sensing</t>
  </si>
  <si>
    <t>GREENHOUSE-GAS EMISSIONS; ENERGY USE; ALLOCATION; BUILDINGS; DIOXIDE; BIOMASS; FLUXES; COVER</t>
  </si>
  <si>
    <t>10.1016/j.landurbplan.2012.10.002</t>
  </si>
  <si>
    <t>Shillington, LJ</t>
  </si>
  <si>
    <t>Shillington, Laura J.</t>
  </si>
  <si>
    <t>Right to food, right to the city: Household urban agriculture, and socionatural metabolism in Managua, Nicaragua</t>
  </si>
  <si>
    <t>Urban socionatural metabolism; Rights to the city; Urban agriculture; Managua; Nicaragua</t>
  </si>
  <si>
    <t>GEOGRAPHY; ECOLOGY; HOME</t>
  </si>
  <si>
    <t>10.1016/j.geoforum.2012.02.006</t>
  </si>
  <si>
    <t>Diaz-Sarachaga, JM</t>
  </si>
  <si>
    <t>Manuel Diaz-Sarachaga, Jose</t>
  </si>
  <si>
    <t>Linking Sustainable Urban Development With Town Planning Through Proximity Trade</t>
  </si>
  <si>
    <t>EUROPEAN JOURNAL OF SUSTAINABLE DEVELOPMENT</t>
  </si>
  <si>
    <t>Proximity trade; Urban development; Town planning; Sustainable mobility; Urban metabolism; Social cohesion; Urban morphology</t>
  </si>
  <si>
    <t>RETAIL; RESILIENCE; STREETS; POLICY</t>
  </si>
  <si>
    <t>2239-5938</t>
  </si>
  <si>
    <t>2239-6101</t>
  </si>
  <si>
    <t>10.14207/ejsd.2021.v10n4p121</t>
  </si>
  <si>
    <t>Schandl, H; Marcos-Martinez, R; Baynes, T; Yu, ZF; Miatto, A; Tanikawa, H</t>
  </si>
  <si>
    <t>Schandl, Heinz; Marcos-Martinez, Raymundo; Baynes, Tim; Yu, Zefan; Miatto, Alessio; Tanikawa, Hiroki</t>
  </si>
  <si>
    <t>A spatiotemporal urban metabolism model for the Canberra suburb of Braddon in Australia</t>
  </si>
  <si>
    <t>Urban metabolism; Urban morphology; Material flows; GHG emissions; LIDAR</t>
  </si>
  <si>
    <t>MATERIAL STOCK; CARBON; BUILDINGS; FLOWS; ENERGY</t>
  </si>
  <si>
    <t>10.1016/j.jclepro.2020.121770</t>
  </si>
  <si>
    <t>Song, T; Cai, JM; Yang, ZS; Chen, MX; Lin, J</t>
  </si>
  <si>
    <t>Song Tao; Cai Jianming; Yang Zhenshan; Chen Mingxing; Lin Jing</t>
  </si>
  <si>
    <t>Urban Metabolic Efficiencies and Elasticities of Chinese Cities</t>
  </si>
  <si>
    <t>urban metabolism; emergy; Slacks-Based Measure (SBM); metabolic elasticity</t>
  </si>
  <si>
    <t>ENVIRONMENTAL PERFORMANCE; EMERGY; ENERGY; MODEL; FIRMS</t>
  </si>
  <si>
    <t>10.1007/s11769-016-0830-1</t>
  </si>
  <si>
    <t>Bahers, JB; Giacchè, G</t>
  </si>
  <si>
    <t>Bahers, Jean-Baptiste; Giacche, Giulia</t>
  </si>
  <si>
    <t>Towards a metabolic rift analysis: The case of urban agriculture and organic waste management in Rennes (France)</t>
  </si>
  <si>
    <t>Organic waste management; Metabolic rift; Urban metabolism; Community gardens; Community waste composting</t>
  </si>
  <si>
    <t>ENERGY; POLITICS; SOCIETY</t>
  </si>
  <si>
    <t>10.1016/j.geoforum.2018.10.017</t>
  </si>
  <si>
    <t>Giordano, P; Caputo, P; Vancheri, A</t>
  </si>
  <si>
    <t>Giordano, P.; Caputo, P.; Vancheri, A.</t>
  </si>
  <si>
    <t>Fuzzy evaluation of heterogeneous quantities: Measuring urban ecological efficiency</t>
  </si>
  <si>
    <t>Urban metabolism; Takagi-Sugeno models; Fuzzy logic based indices</t>
  </si>
  <si>
    <t>METABOLISM; SYSTEMS; SUSTAINABILITY</t>
  </si>
  <si>
    <t>SEP 24</t>
  </si>
  <si>
    <t>10.1016/j.ecolmodel.2014.06.001</t>
  </si>
  <si>
    <t>Paterson, W; Rushforth, R; Ruddell, BL; Konar, M; Ahams, IC; Gironás, J; Mijic, A; Mejia, A</t>
  </si>
  <si>
    <t>Paterson, Willa; Rushforth, Richard; Ruddell, Benjamin L.; Konar, Megan; Ahams, Ikechukwu C.; Gironas, Jorge; Mijic, Ana; Mejia, Alfonso</t>
  </si>
  <si>
    <t>Water Footprint of Cities: A Review and Suggestions for Future Research</t>
  </si>
  <si>
    <t>water footprint; virtual water; urban metabolism; cities; life cycle assessment; environmentally extended input-output; embedded resource accounting; water scarcity</t>
  </si>
  <si>
    <t>INPUT-OUTPUT-ANALYSIS; LIFE-CYCLE ASSESSMENT; HAIHE RIVER-BASIN; VIRTUAL WATER; URBAN METABOLISM; ECOLOGICAL FOOTPRINT; INTERNATIONAL-TRADE; CARBON FOOTPRINT; CITY NETWORK; WASTE-WATER</t>
  </si>
  <si>
    <t>10.3390/su7078461</t>
  </si>
  <si>
    <t>Beck, MB; Walker, RV; Thompson, M</t>
  </si>
  <si>
    <t>Beck, M. Bruce; Walker, Rodrigo Villarroel; Thompson, Michael</t>
  </si>
  <si>
    <t>Smarter urban metabolism: Earth systems re-engineering</t>
  </si>
  <si>
    <t>PROCEEDINGS OF THE INSTITUTION OF CIVIL ENGINEERS-ENGINEERING SUSTAINABILITY</t>
  </si>
  <si>
    <t>business; infrastructure planning; waste management &amp; disposal</t>
  </si>
  <si>
    <t>WATER; PHOSPHORUS; TRANSITION; FLOWS</t>
  </si>
  <si>
    <t>1478-4629</t>
  </si>
  <si>
    <t>1751-7680</t>
  </si>
  <si>
    <t>10.1680/ensu.12.00038</t>
  </si>
  <si>
    <t>Green &amp; Sustainable Science &amp; Technology; Engineering, Civil</t>
  </si>
  <si>
    <t>Tirado, R; Aublet, A; Laurenceau, S; Habert, G</t>
  </si>
  <si>
    <t>Tirado, Rafaela; Aublet, Adelaide; Laurenceau, Sylvain; Habert, Guillaume</t>
  </si>
  <si>
    <t>Challenges and Opportunities for Circular Economy Promotion in the Building Sector</t>
  </si>
  <si>
    <t>circular economy; local authorities; urban metabolism; interview; building</t>
  </si>
  <si>
    <t>MATERIAL STOCK; CONSTRUCTION; FLOWS</t>
  </si>
  <si>
    <t>10.3390/su14031569</t>
  </si>
  <si>
    <t>Cespedes Restrepo, Juan David; Morales-Pinzon, Tito</t>
  </si>
  <si>
    <t>Effects of feedback information on the household consumption of water and electricity: A case study in Colombia</t>
  </si>
  <si>
    <t>Water consumption; Electricity consumption; Feedback information; Urban metabolism</t>
  </si>
  <si>
    <t>URBAN METABOLISM; MODEL; CONSERVATION; SUSTAINABILITY; SYSTEMS; DEMAND; MOTIVATIONS; FRAMEWORK; DYNAMICS; CLIMATE</t>
  </si>
  <si>
    <t>10.1016/j.jenvman.2020.110315</t>
  </si>
  <si>
    <t>Liu, YP; Li, JJ; Duan, LL; Dai, M; Chen, WQ</t>
  </si>
  <si>
    <t>Liu, Yupeng; Li, Jiajia; Duan, Linlin; Dai, Min; Chen, Wei-qiang</t>
  </si>
  <si>
    <t>Material dependence of cities and implications for regional sustainability</t>
  </si>
  <si>
    <t>REGIONAL SUSTAINABILITY</t>
  </si>
  <si>
    <t>Urbanization; Urban metabolism; Material stock; Land use; cover changes; Economic transition; Sustainability; Industrial ecology</t>
  </si>
  <si>
    <t>IN-USE STOCKS; URBANIZATION; SYSTEMS; LAND; ECOLOGY; TIME; INFRASTRUCTURE; EXPANSION; FRAMEWORK; CLIMATE</t>
  </si>
  <si>
    <t>2097-0129</t>
  </si>
  <si>
    <t>2666-660X</t>
  </si>
  <si>
    <t>10.1016/j.regsus.2020.07.001</t>
  </si>
  <si>
    <t>Tasmeea, T; Roy, BB; Chowdhury, RB; Hossain, MM; Sujauddin, M</t>
  </si>
  <si>
    <t>Tasmeea, Tahana; Roy, Bidhan Bhuson; Chowdhury, Rubel Biswas; Hossain, Mohammad Mosharraf; Sujauddin, Mohammad</t>
  </si>
  <si>
    <t>Urban metabolism of phosphorus in the food production-consumption system of Bangladesh</t>
  </si>
  <si>
    <t>Food production-consumption sector; Bangladesh; Urban metabolism; Phosphorus; Substance flow analysis; Nutrition transition</t>
  </si>
  <si>
    <t>SUBSTANCE FLOW-ANALYSIS; WASTE; SECTOR; URBANIZATION; MANAGEMENT; HOUSEHOLDS; RESOURCE; NITROGEN; OPTIONS; CHINA</t>
  </si>
  <si>
    <t>2021 AUG 15</t>
  </si>
  <si>
    <t>10.1016/j.jenvman.2021.112715</t>
  </si>
  <si>
    <t>MAY 2021</t>
  </si>
  <si>
    <t>Borrett, SR; Sheble, L; Moody, J; Anway, EC</t>
  </si>
  <si>
    <t>Borrett, Stuart R.; Sheble, Laura; Moody, James; Anway, Evan C.</t>
  </si>
  <si>
    <t>Bibliometric review of ecological network analysis: 2010-2016</t>
  </si>
  <si>
    <t>Ecosystem; Social network analysis; Scientometrics; Food web; Biogeochemical cycling; Urban metabolism; Network science; Materials flow analysis</t>
  </si>
  <si>
    <t>NEUSE RIVER ESTUARY; ENERGY-WATER NEXUS; SYLT-ROMO BIGHT; FOOD-WEB MODELS; DISTRIBUTED CONTROL; RISK-ASSESSMENT; FLOW-ANALYSIS; ECOSYSTEM PROPERTIES; 7-COMPARTMENT MODEL; URBAN METABOLISM</t>
  </si>
  <si>
    <t>AUG 24</t>
  </si>
  <si>
    <t>10.1016/j.ecolmodel.2018.04.020</t>
  </si>
  <si>
    <t>Yang, MY; Liu, NY; Wang, XJ; Zhang, Y</t>
  </si>
  <si>
    <t>Yang, Mingyue; Liu, Ningyin; Wang, Xinjing; Zhang, Yan</t>
  </si>
  <si>
    <t>Chinese cities exhibit diverse allometric growth patterns in material metabolism</t>
  </si>
  <si>
    <t>allometric growth pattern; China; industrial ecology; material bases; multi-scale; urban metabolism</t>
  </si>
  <si>
    <t>URBAN METABOLISM; ENERGY; FLOWS; STOCK</t>
  </si>
  <si>
    <t>2023 DEC</t>
  </si>
  <si>
    <t>10.1111/jiec.13439</t>
  </si>
  <si>
    <t>Ramaswami, A; Pandey, B; Li, QC; Das, K; Nagpure, A</t>
  </si>
  <si>
    <t>Ramaswami, Anu; Pandey, Bhartendu; Li, Qingchun; Das, Kirti; Nagpure, Ajay</t>
  </si>
  <si>
    <t>Toward Zero-Carbon Urban Transitions with Health, Climate Resilience, and Equity Co-Benefits: Assessing Nexus Linkages</t>
  </si>
  <si>
    <t>ANNUAL REVIEW OF ENVIRONMENT AND RESOURCES</t>
  </si>
  <si>
    <t>decarbonization; health; well-being; equity; resilience; urban metabolism; sustainable development goals; SDGs</t>
  </si>
  <si>
    <t>LIFE-SATISFACTION; AIR-POLLUTION; PHYSICAL-ACTIVITY; OLDER-ADULTS; ENVIRONMENTAL-QUALITY; UNITED-STATES; ACTIVE TRAVEL; GREEN SPACE; DESIGN; CITIES</t>
  </si>
  <si>
    <t>1545-2050</t>
  </si>
  <si>
    <t>10.1146/annurev-environ-112621-063931</t>
  </si>
  <si>
    <t>Gonzalez-Garcia, S; Manteiga, R; Moreira, MT; Feijoo, G</t>
  </si>
  <si>
    <t>Gonzalez-Garcia, Sara; Manteiga, Rocio; Teresa Moreira, Maria; Feijoo, Gumersindo</t>
  </si>
  <si>
    <t>Assessing the sustainability of Spanish cities considering environmental and socio-economic indicators</t>
  </si>
  <si>
    <t>Data envelopment analysis; Life cycle assessment; Material flow analysis; Multi-criteria tool; Urban metabolism</t>
  </si>
  <si>
    <t>LIFE-CYCLE ASSESSMENT; URBAN METABOLISM; LCA FRAMEWORK; EFFICIENCY; IMPLEMENTATION; TERRITORY; SYSTEM; IMPACT</t>
  </si>
  <si>
    <t>10.1016/j.jclepro.2018.01.056</t>
  </si>
  <si>
    <t>Amenta, L; Attademo, A</t>
  </si>
  <si>
    <t>Amenta, Libera; Attademo, Anna</t>
  </si>
  <si>
    <t>Periurban Coastal Landscape: a method to identify and map Resource-Scapes</t>
  </si>
  <si>
    <t>TRIA-TERRITORIO DELLA RICERCA SU INSEDIAMENTI E AMBIENTE</t>
  </si>
  <si>
    <t>urban metabolism; resource-scape; coastal landscape</t>
  </si>
  <si>
    <t>1974-6849</t>
  </si>
  <si>
    <t>2281-4574</t>
  </si>
  <si>
    <t>10.6092/2281-4574/10103</t>
  </si>
  <si>
    <t>Niza, S; Ferreira, D; Mourao, J; d'Almeida, PB; Marat-Mendes, T</t>
  </si>
  <si>
    <t>Niza, Samuel; Ferreira, Daniela; Mourao, Joana; d'Almeida, Patricia Bento; Marat-Mendes, Teresa</t>
  </si>
  <si>
    <t>Lisbon's womb: an approach to the city metabolism in the turn to the twentieth century</t>
  </si>
  <si>
    <t>REGIONAL ENVIRONMENTAL CHANGE</t>
  </si>
  <si>
    <t>Environmental history; Urban metabolism; Urban agriculture; Nitrogen; Water</t>
  </si>
  <si>
    <t>URBAN METABOLISM; PARIS; CONSUMPTION; NITROGEN; FLOWS; FOOD; ENERGY; WASTE</t>
  </si>
  <si>
    <t>1436-3798</t>
  </si>
  <si>
    <t>1436-378X</t>
  </si>
  <si>
    <t>10.1007/s10113-015-0918-7</t>
  </si>
  <si>
    <t>Gue, IHV; Lopez, NSA; Chiu, ASF; Ubando, AT; Tan, RR</t>
  </si>
  <si>
    <t>Gue, Ivan Henderson V.; Lopez, Neil Stephen A.; Chiu, Anthony S. F.; Ubando, Aristotle T.; Tan, Raymond R.</t>
  </si>
  <si>
    <t>Predicting waste management system performance from city and country attributes</t>
  </si>
  <si>
    <t>Artificial intelligence; Urban metabolism; Circular urban economies; Sustainable development; Interpretable model; Decision support system</t>
  </si>
  <si>
    <t>MACHINE LEARNING-MODELS; URBAN METABOLISM; CIRCULAR ECONOMY; ROUGH SETS; CITIES</t>
  </si>
  <si>
    <t>10.1016/j.jclepro.2022.132951</t>
  </si>
  <si>
    <t>Mostafavi, N; Gandara, F; Hoque, S</t>
  </si>
  <si>
    <t>Mostafavi, Nariman; Gandara, Fernanda; Hoque, Simi</t>
  </si>
  <si>
    <t>Predicting water consumption from energy data: Modeling the residential energy and water nexus in the integrated urban metabolism analysis tool (IUMAT)</t>
  </si>
  <si>
    <t>ENERGY AND BUILDINGS</t>
  </si>
  <si>
    <t>lumat; Water energy nexus; Hot water modeling; Residential energy and water; Urban water consumption</t>
  </si>
  <si>
    <t>CONSERVATION; POLICY</t>
  </si>
  <si>
    <t>0378-7788</t>
  </si>
  <si>
    <t>1872-6178</t>
  </si>
  <si>
    <t>10.1016/j.enbuild.2017.12.005</t>
  </si>
  <si>
    <t>Construction &amp; Building Technology; Energy &amp; Fuels; Engineering, Civil</t>
  </si>
  <si>
    <t>Pinto, JTM; Morales, ME; Fedoruk, M; Kovaleva, M; Diemer, A</t>
  </si>
  <si>
    <t>Pinto, Julian T. M.; Morales, Manuel E.; Fedoruk, Mariia; Kovaleva, Marina; Diemer, Arnaud</t>
  </si>
  <si>
    <t>Servitization in Support of Sustainable Cities: What Are Steel's Contributions and Challenges?</t>
  </si>
  <si>
    <t>servitization; sustainable cities; steel; circles of sustainability; sustainable urban metabolism</t>
  </si>
  <si>
    <t>SERVICE STRATEGIES; FUTURE; CLASSIFICATION; SYSTEMS; MODEL; COST; LCA</t>
  </si>
  <si>
    <t>FEB 1</t>
  </si>
  <si>
    <t>10.3390/su11030855</t>
  </si>
  <si>
    <t>Pina, A; Ferrao, P; Ferreira, D; Santos, L; Monit, M; Rodrigues, JFD; Niza, S</t>
  </si>
  <si>
    <t>Pina, Andre; Ferrao, Paulo; Ferreira, Daniela; Santos, Luis; Monit, Michal; Rodrigues, Joao F. D.; Niza, Samuel</t>
  </si>
  <si>
    <t>The physical structure of urban economies - Comparative assessment</t>
  </si>
  <si>
    <t>TECHNOLOGICAL FORECASTING AND SOCIAL CHANGE</t>
  </si>
  <si>
    <t>Urban metabolism; Material flow accounting; Input-output; Sustainability; Urban economies</t>
  </si>
  <si>
    <t>DIRECT MATERIAL INPUTS; METABOLISM; CITIES; WATER; TRANSITIONS; FLOWS</t>
  </si>
  <si>
    <t>0040-1625</t>
  </si>
  <si>
    <t>1873-5509</t>
  </si>
  <si>
    <t>B</t>
  </si>
  <si>
    <t>10.1016/j.techfore.2015.05.012</t>
  </si>
  <si>
    <t>Business; Regional &amp; Urban Planning</t>
  </si>
  <si>
    <t>Li, JZ; Huang, GH; Liu, LR; Li, YP; Zhai, MY; Xu, XL</t>
  </si>
  <si>
    <t>Li, Jizhe; Huang, Guohe; Liu, Lirong; Li, Yongping; Zhai, Mengyu; Xu, Xinli</t>
  </si>
  <si>
    <t>Projections of carbon metabolism in 2035 and implications for demand-side controls under various scenarios</t>
  </si>
  <si>
    <t>Urban metabolism; Carbon emission; Input-output; RAS method; Scenario simulation; Final demand</t>
  </si>
  <si>
    <t>URBAN METABOLISM; EMISSIONS; INPUT; CHINA; SYSTEM</t>
  </si>
  <si>
    <t>10.1016/j.rser.2021.111561</t>
  </si>
  <si>
    <t>Dou, XY; Deng, Z; Sun, TC; Ke, PY; Zhu, BQ; Shan, YL; Liu, Z</t>
  </si>
  <si>
    <t>Dou, Xinyu; Deng, Zhu; Sun, Taochun; Ke, Piyu; Zhu, Biqing; Shan, Yuli; Liu, Zhu</t>
  </si>
  <si>
    <t>Global and local carbon footprints of city of Hong Kong and Macao from 2000 to 2015</t>
  </si>
  <si>
    <t>Carbon footprint; Three scopes emissions; Urban metabolism; Hong Kong; Macao</t>
  </si>
  <si>
    <t>GHG EMISSIONS; CO2 EMISSIONS; ENERGY; CONSUMPTION; CITIES; METABOLISM; POLICY; TRADE</t>
  </si>
  <si>
    <t>10.1016/j.resconrec.2020.105167</t>
  </si>
  <si>
    <t>Guo, Z; Hu, D; Zhang, FH; Huang, GL; Xiao, Q</t>
  </si>
  <si>
    <t>Guo, Zhen; Hu, Dan; Zhang, Fuhua; Huang, Guolong; Xiao, Qiang</t>
  </si>
  <si>
    <t>An integrated material metabolism model for stocks of urban road system in Beijing, China</t>
  </si>
  <si>
    <t>Urban metabolism; Road system; Urban infrastructure; Material stock analysis; Bottom-up model; Infrastructure resource management</t>
  </si>
  <si>
    <t>IN-USE STOCKS; FLOW-ANALYSIS; CITIES; TORONTO; STEEL</t>
  </si>
  <si>
    <t>10.1016/j.scitotenv.2013.10.041</t>
  </si>
  <si>
    <t>Network Environ Perspective for Urban Metabolism and Carbon Emissions: A Case Study of Vienna, Austria</t>
  </si>
  <si>
    <t>MULTISCALE INTEGRATED ANALYSIS; NEUSE RIVER ESTUARY; FOSSIL-FUEL CO2; DISTRIBUTED CONTROL; 7-COMPARTMENT MODEL; NITROGEN FLOW; ENERGY; ECOSYSTEMS; CYCLE; SUSTAINABILITY</t>
  </si>
  <si>
    <t>APR 17</t>
  </si>
  <si>
    <t>10.1021/es204662k</t>
  </si>
  <si>
    <t>Tsui, TY; Derumigny, A; Peck, D; van Timmeren, A; Wandl, A</t>
  </si>
  <si>
    <t>Tsui, Tanya; Derumigny, Alexis; Peck, David; van Timmeren, Arjan; Wandl, Alexander</t>
  </si>
  <si>
    <t>Spatial clustering of waste reuse in a circular economy: A spatial autocorrelation analysis on locations of waste reuse in the Netherlands using global and local Moran's I</t>
  </si>
  <si>
    <t>FRONTIERS IN BUILT ENVIRONMENT</t>
  </si>
  <si>
    <t>spatial clustering analysis; circular economy; urban metabolism; waste data; circular cities; Moran's I autocorrelation; hotspot analysis</t>
  </si>
  <si>
    <t>URBAN METABOLISM; ASSOCIATION; TRANSITION</t>
  </si>
  <si>
    <t>2297-3362</t>
  </si>
  <si>
    <t>AUG 23</t>
  </si>
  <si>
    <t>10.3389/fbuil.2022.954642</t>
  </si>
  <si>
    <t>Kröger, G; Pietsch, J; Ufermann, K</t>
  </si>
  <si>
    <t>Environmental accounting on a communal level:: A tool to support environmental management and decision-making by communal executives</t>
  </si>
  <si>
    <t>ENVIRONMENTAL SCIENCE AND POLLUTION RESEARCH</t>
  </si>
  <si>
    <t>anthropogenic fluxes; communal activities; decision-making; end of the pipe' strategies; environmental accounting; Environmental Impact Assessment; environmental impacts; environmental management; Life Cycle Analysis; material flow analysis; urban metabolism; urban systems</t>
  </si>
  <si>
    <t>0944-1344</t>
  </si>
  <si>
    <t>10.1007/BF02987622</t>
  </si>
  <si>
    <t>Karg, H; Akoto-Danso, EK; Drechsel, P; Abubakari, AH; Buerkert, A</t>
  </si>
  <si>
    <t>Karg, Hanna; Akoto-Danso, Edmund K.; Drechsel, Pay; Abubakari, Abdul-Halim; Buerkert, Andreas</t>
  </si>
  <si>
    <t>Food- and feed-based nutrient flows in two West African cities</t>
  </si>
  <si>
    <t>NUTRIENT CYCLING IN AGROECOSYSTEMS</t>
  </si>
  <si>
    <t>Food supply; Nutrient flows; Resource recovery; Urban metabolism; West Africa</t>
  </si>
  <si>
    <t>URBAN; PHOSPHORUS; MANAGEMENT; SYSTEMS; WASTE</t>
  </si>
  <si>
    <t>1385-1314</t>
  </si>
  <si>
    <t>1573-0867</t>
  </si>
  <si>
    <t>10.1007/s10705-018-9944-4</t>
  </si>
  <si>
    <t>Soil Science</t>
  </si>
  <si>
    <t>Viglioglia, M; Giovanardi, M; Pollo, R; Peruccio, PP</t>
  </si>
  <si>
    <t>Viglioglia, Massimiliano; Giovanardi, Matteo; Pollo, Riccardo; Peruccio, Pier Paolo</t>
  </si>
  <si>
    <t>Smart District and Circular Economy: The Role of ICT Solutions in Promoting Circular Cities</t>
  </si>
  <si>
    <t>smart district; Circular Economy; urban systems; ICT; systemic design; urban metabolism</t>
  </si>
  <si>
    <t>URBAN METABOLISM; BIG-DATA; SYSTEMS-APPROACH; TECHNOLOGIES; ANALYTICS; MOBILITY</t>
  </si>
  <si>
    <t>10.3390/su132111732</t>
  </si>
  <si>
    <t>Juwet, G; Ryckewaert, M</t>
  </si>
  <si>
    <t>Juwet, Griet; Ryckewaert, Michael</t>
  </si>
  <si>
    <t>Energy Transition in the Nebular City: Connecting Transition Thinking, Metabolism Studies, and Urban Design</t>
  </si>
  <si>
    <t>energy transition; urban metabolism; urban design; dispersed urbanization</t>
  </si>
  <si>
    <t>RENEWABLE ENERGY; COUNTRYSIDE URBANIZATION; SOCIOTECHNICAL SYSTEMS; MULTILEVEL ANALYSIS; PERSPECTIVE; TECHNOLOGY; LANDSCAPES; INNOVATION; POLITICS; RECONFIGURATION</t>
  </si>
  <si>
    <t>10.3390/su10040955</t>
  </si>
  <si>
    <t>Peponi, A; Morgado, P</t>
  </si>
  <si>
    <t>Peponi, Angeliki; Morgado, Paulo</t>
  </si>
  <si>
    <t>Smart and Regenerative Urban Growth: A Literature Network Analysis</t>
  </si>
  <si>
    <t>bibliometric network; distance maps; smart and regenerative urban growth; urban ecology; urban metabolism</t>
  </si>
  <si>
    <t>10.3390/ijerph17072463</t>
  </si>
  <si>
    <t>Simboli, A; Taddeo, R; Raggi, A</t>
  </si>
  <si>
    <t>Simboli, Alberto; Taddeo, Raffaella; Raggi, Andrea</t>
  </si>
  <si>
    <t>The multiple dimensions of urban contexts in an industrial ecology perspective: an integrative framework</t>
  </si>
  <si>
    <t>INTERNATIONAL JOURNAL OF LIFE CYCLE ASSESSMENT</t>
  </si>
  <si>
    <t>Industrial ecology; Industrial symbiosis; metabolism; Urban economies; Urban metabolism; Urban systems</t>
  </si>
  <si>
    <t>REGIONAL-DEVELOPMENT; METABOLISM; SYMBIOSIS; PARKS; SYSTEMS</t>
  </si>
  <si>
    <t>0948-3349</t>
  </si>
  <si>
    <t>1614-7502</t>
  </si>
  <si>
    <t>10.1007/s11367-017-1411-y</t>
  </si>
  <si>
    <t>Metson, GS; Brownlie, WJ; Spears, BM</t>
  </si>
  <si>
    <t>Metson, Genevieve S.; Brownlie, Will J.; Spears, Bryan M.</t>
  </si>
  <si>
    <t>Towards net-zero phosphorus cities</t>
  </si>
  <si>
    <t>NPJ URBAN SUSTAINABILITY</t>
  </si>
  <si>
    <t>FOOD-CONSUMPTION; URBAN METABOLISM; NITROGEN; EUTROPHICATION; AGRICULTURE; STRATEGIES; NUTRIENTS; BLOOMS; WASTE; FLOWS</t>
  </si>
  <si>
    <t>2661-8001</t>
  </si>
  <si>
    <t>NOV 18</t>
  </si>
  <si>
    <t>10.1038/s42949-022-00076-8</t>
  </si>
  <si>
    <t>Environmental Studies; Urban Studies</t>
  </si>
  <si>
    <t>MEGA, V</t>
  </si>
  <si>
    <t>IMPROVING THE URBAN-ENVIRONMENT - EUROPEAN CHALLENGES</t>
  </si>
  <si>
    <t>Voskamp, IM; Visscher, MN; Vreugdenhil, C; Van Lammeren, RJA; Sutton, NB</t>
  </si>
  <si>
    <t>Voskamp, Ilse M.; Visscher, Megan N.; Vreugdenhil, Corne; Van Lammeren, Ron J. A.; Sutton, Nora B.</t>
  </si>
  <si>
    <t>Spatial, infrastructural and consumer characteristics underlying spatial variability in residential energy and water consumption in Amsterdam</t>
  </si>
  <si>
    <t>Urban metabolism; Residential consumption; Linear regression; Sustainable resource management</t>
  </si>
  <si>
    <t>URBAN METABOLISM; SYSTEMS; DEMAND; SUSTAINABILITY; REQUIREMENTS; SCALES</t>
  </si>
  <si>
    <t>2021 SEP</t>
  </si>
  <si>
    <t>10.1016/j.scs.2021.102977</t>
  </si>
  <si>
    <t>Whetstone, A; Kalmykova, Y; Rosado, L; Westin, AL</t>
  </si>
  <si>
    <t>Whetstone, Alice; Kalmykova, Yuliya; Rosado, Leonardo; Westin, Alexandra Lavers</t>
  </si>
  <si>
    <t>Informing Sustainable Consumption in Urban Districts: A Method for Transforming Household Expenditures into Physical Quantities</t>
  </si>
  <si>
    <t>urban metabolism; district material flow analysis; sustainable consumption; household consumption; consumption-based impact; environmental impact; sharing economy</t>
  </si>
  <si>
    <t>METABOLISM; SWEDEN; IMPACT</t>
  </si>
  <si>
    <t>10.3390/su12030802</t>
  </si>
  <si>
    <t>Ferrer, ALC; Thomé, AMT; Scavarda, AJ</t>
  </si>
  <si>
    <t>Carvalho Ferrer, Ana Luiza; Tavares Thome, Antonio Marcio; Scavarda, Annibal Jose</t>
  </si>
  <si>
    <t>Sustainable urban infrastructure: A review</t>
  </si>
  <si>
    <t>City governance; Urbanism; Urban metabolism; Ecology; Triple bottom line sustainability; Climate change</t>
  </si>
  <si>
    <t>CLIMATE-CHANGE; CITY; PERFORMANCE; IMPACTS; CITIES; GOVERNANCE; SYSTEMS; NETWORK; URBANIZATION; TECHNOLOGY</t>
  </si>
  <si>
    <t>10.1016/j.resconrec.2016.07.017</t>
  </si>
  <si>
    <t>Duval, A; Bahers, JB</t>
  </si>
  <si>
    <t>Duval, Annabelle; Bahers, Jean-Baptiste</t>
  </si>
  <si>
    <t>Flows as Makers and Breakers of Port-Territory Metabolic Relations: The Case of the Loire Estuary</t>
  </si>
  <si>
    <t>flows; port; port-city; territoriality; urban metabolism</t>
  </si>
  <si>
    <t>CITY INTERFACE; PATH DEPENDENCE; URBAN; SUSTAINABILITY; PERFORMANCE; SEAPORTS</t>
  </si>
  <si>
    <t>10.17645/up.v8i3.6757</t>
  </si>
  <si>
    <t>Bîrgovan, AL; Lakatos, ES; Szilagyi, A; Cioca, LI; Pacurariu, RL; Ciobanu, G; Rada, EC</t>
  </si>
  <si>
    <t>Birgovan, Andreea Loredana; Lakatos, Elena Simina; Szilagyi, Andrea; Cioca, Lucian Ionel; Pacurariu, Roxana Lavinia; Ciobanu, George; Rada, Elena Cristina</t>
  </si>
  <si>
    <t>How Should We Measure? A Review of Circular Cities Indicators</t>
  </si>
  <si>
    <t>circular economy; circular cities; circular indicators; smart urban metabolism</t>
  </si>
  <si>
    <t>SMART SUSTAINABLE CITIES; ECO-INDUSTRIAL PARKS; RESOURCE EFFICIENCY; ECONOMY DEVELOPMENT; SOLID-WASTE; CITY; PERFORMANCE; FRAMEWORK; DESIGN; SYSTEM</t>
  </si>
  <si>
    <t>10.3390/ijerph19095177</t>
  </si>
  <si>
    <t>Smit, Suzanne; Musango, Josephine K.; Kovacic, Zora; Brent, Alan C.</t>
  </si>
  <si>
    <t>Towards Measuring the Informal City: A Societal Metabolism Approach</t>
  </si>
  <si>
    <t>informal settlement; MuSIASEM; societal metabolism; South Africa; urban metabolism; urban slum</t>
  </si>
  <si>
    <t>URBAN METABOLISM; INTEGRATED ANALYSIS; ENERGY</t>
  </si>
  <si>
    <t>10.1111/jiec.12776</t>
  </si>
  <si>
    <t>Abdelalim, A; O'Brien, W; Shi, ZX</t>
  </si>
  <si>
    <t>Abdelalim, Aly; O'Brien, William; Shi, Zixiao</t>
  </si>
  <si>
    <t>Visualization of energy and water consumption and GHG emissions: A case study of a Canadian University Campus</t>
  </si>
  <si>
    <t>Energy use intensity; Greenhouse gas (GHG) emissions; Urban metabolism (UM); Material flow analysis (MFA); Visualization of materials and energy flows; Sankey diagram; Spatial-temporal analysis</t>
  </si>
  <si>
    <t>DEC 15</t>
  </si>
  <si>
    <t>10.1016/j.enbuild.2015.09.058</t>
  </si>
  <si>
    <t>Morris, ZB; Weissburg, M; Bras, B</t>
  </si>
  <si>
    <t>Morris, Zackery B.; Weissburg, Marc; Bras, Bert</t>
  </si>
  <si>
    <t>Ecological network analysis of urban-industrial ecosystems</t>
  </si>
  <si>
    <t>ecological modeling; ecological network analysis; industrial ecology; material flow analysis; urban metabolism</t>
  </si>
  <si>
    <t>MATERIAL FLOW-ANALYSIS; INPUT-OUTPUT TABLES; NITROGEN-BALANCE; METABOLIC SYSTEM; ENERGY; INFRASTRUCTURE; FRAMEWORK; PARKS</t>
  </si>
  <si>
    <t>10.1111/jiec.13043</t>
  </si>
  <si>
    <t>JUN 2020</t>
  </si>
  <si>
    <t>He, CY; Huang, GH; Liu, LR; Xu, XL; Li, YP</t>
  </si>
  <si>
    <t>He, Chengyu; Huang, Guohe; Liu, Lirong; Xu, Xinli; Li, Yongping</t>
  </si>
  <si>
    <t>Evolution of virtual water metabolic network in developing regions: A case study of Guangdong province</t>
  </si>
  <si>
    <t>Urban metabolism; Integral effect indexes; Virtual water; Ecological network analysis; Input-output model</t>
  </si>
  <si>
    <t>SOLID-WASTE METABOLISM; INPUT-OUTPUT-ANALYSIS; ECOLOGICAL NETWORK; URBAN METABOLISM; GHG EMISSIONS; ECONOMY; FOOTPRINT; SYSTEM; ENERGY; CHINA</t>
  </si>
  <si>
    <t>10.1016/j.ecolind.2019.105750</t>
  </si>
  <si>
    <t>Quintero, A; Zarzavilla, M; Tejedor-Flores, N; Mora, D; Austin, MC</t>
  </si>
  <si>
    <t>Quintero, Andrea; Zarzavilla, Marichell; Tejedor-Flores, Nathalia; Mora, Dafni; Chen Austin, Miguel</t>
  </si>
  <si>
    <t>Sustainability Assessment of the Anthropogenic System in Panama City: Application of Biomimetic Strategies towards Regenerative Cities</t>
  </si>
  <si>
    <t>BIOMIMETICS</t>
  </si>
  <si>
    <t>biomimicry; regenerative design; urban metabolism; green city; sustainability</t>
  </si>
  <si>
    <t>2313-7673</t>
  </si>
  <si>
    <t>10.3390/biomimetics6040064</t>
  </si>
  <si>
    <t>Engineering, Multidisciplinary; Materials Science, Biomaterials</t>
  </si>
  <si>
    <t>Kennedy, CA; Stewart, I; Facchini, A; Cersosimo, I; Mele, R; Chen, B; Uda, M; Kansal, A; Chiu, A; Kim, KG; Dubeux, C; La Rovere, EL; Cunha, B; Pincetl, S; Keirstead, J; Barles, S; Pusaka, S; Gunawan, J; Adegbile, M; Nazariha, M; Hoque, S; Marcotullio, PJ; Otharán, FG; Genena, T; Ibrahim, N; Farooqui, R; Cervantes, G; Sahin, AD</t>
  </si>
  <si>
    <t>Kennedy, Christopher A.; Stewart, Iain; Facchini, Angelo; Cersosimo, Igor; Mele, Renata; Chen, Bin; Uda, Mariko; Kansal, Arun; Chiu, Anthony; Kim, Kwi-gon; Dubeux, Carolina; La Rovere, Emilio Lebre; Cunha, Bruno; Pincetl, Stephanie; Keirstead, James; Barles, Sabine; Pusaka, Semerdanta; Gunawan, Juniati; Adegbile, Michael; Nazariha, Mehrdad; Hoque, Shamsul; Marcotullio, Peter J.; Gonzalez Otharan, Florencia; Genena, Tarek; Ibrahim, Nadine; Farooqui, Rizwan; Cervantes, Gemma; Sahin, Ahmet Duran</t>
  </si>
  <si>
    <t>Energy and material flows of megacities</t>
  </si>
  <si>
    <t>PROCEEDINGS OF THE NATIONAL ACADEMY OF SCIENCES OF THE UNITED STATES OF AMERICA</t>
  </si>
  <si>
    <t>sustainability; sustainable development; urbanization; urban metabolism; industrial ecology</t>
  </si>
  <si>
    <t>URBAN METABOLISM; GLOBAL CHANGE; CITIES; CONSUMPTION; FOOTPRINTS; WASTE; PEAK</t>
  </si>
  <si>
    <t>0027-8424</t>
  </si>
  <si>
    <t>1091-6490</t>
  </si>
  <si>
    <t>MAY 12</t>
  </si>
  <si>
    <t>10.1073/pnas.1504315112</t>
  </si>
  <si>
    <t>Younan, MN; El-Kholei, AO; Yassein, GA</t>
  </si>
  <si>
    <t>Younan, Mina N.; El-Kholei, Ahmed O.; Yassein, Ghada A.</t>
  </si>
  <si>
    <t>Urban metabolism and dynamic modeling: pioneering approaches for resilient planning in the Greater Cairo Region</t>
  </si>
  <si>
    <t>ENVIRONMENT DEVELOPMENT AND SUSTAINABILITY</t>
  </si>
  <si>
    <t>Causal loop diagram; Climate change; InVEST; MOLUSCE; LULC; Transportation</t>
  </si>
  <si>
    <t>LAND-USE CHANGE</t>
  </si>
  <si>
    <t>1387-585X</t>
  </si>
  <si>
    <t>1573-2975</t>
  </si>
  <si>
    <t>2023 OCT 17</t>
  </si>
  <si>
    <t>10.1007/s10668-023-03671-6</t>
  </si>
  <si>
    <t>Wang, XJ; Li, YX; Liu, NY; Zhang, Y</t>
  </si>
  <si>
    <t>Wang, Xinjing; Li, Yanxian; Liu, Ningyin; Zhang, Yan</t>
  </si>
  <si>
    <t>An urban material flow analysis framework and measurement method from the perspective of urban metabolism</t>
  </si>
  <si>
    <t>Urban metabolism; Material flow analysis; Bottom-up analysis; Framework</t>
  </si>
  <si>
    <t>JUN 1</t>
  </si>
  <si>
    <t>10.1016/j.jclepro.2020.120564</t>
  </si>
  <si>
    <t>Caputo, P; Pasetti, G; Ferrari, S</t>
  </si>
  <si>
    <t>Caputo, Paola; Pasetti, Giulia; Ferrari, Simone</t>
  </si>
  <si>
    <t>Implementation of an urban efficiency index to comprehend post-metropolitan territories-The case of Greater Milan in Italy</t>
  </si>
  <si>
    <t>Urban metabolism; Energy and environmental policies; Territorial planning; Urban utilities; Lombardy region</t>
  </si>
  <si>
    <t>BEIJING-TIANJIN-HEBEI; ENERGY-METABOLISM; CITIES</t>
  </si>
  <si>
    <t>10.1016/j.scs.2019.101565</t>
  </si>
  <si>
    <t>Villaseca, MR</t>
  </si>
  <si>
    <t>Villaseca, Maria Rallah</t>
  </si>
  <si>
    <t>Urban metabolism of ASEAN night markets based on biological principles</t>
  </si>
  <si>
    <t>CITY AND ENVIRONMENT INTERACTIONS</t>
  </si>
  <si>
    <t>Urban ecosystems; Material flow analysis; Street vending; Micro and small-to-medium enterprises; Living cities; Industrial ecology; Environmental economics</t>
  </si>
  <si>
    <t>2590-2520</t>
  </si>
  <si>
    <t>2021 JAN</t>
  </si>
  <si>
    <t>10.1016/j.cacint.2020.100055</t>
  </si>
  <si>
    <t>FEB 2021</t>
  </si>
  <si>
    <t>Environmental Sciences; Environmental Studies; Meteorology &amp; Atmospheric Sciences</t>
  </si>
  <si>
    <t>Van den Berghe, K; Vos, M</t>
  </si>
  <si>
    <t>Van den Berghe, Karel; Vos, Martijn</t>
  </si>
  <si>
    <t>Circular Area Design or Circular Area Functioning? A Discourse-Institutional Analysis of Circular Area Developments in Amsterdam and Utrecht, The Netherlands</t>
  </si>
  <si>
    <t>circular economy; discourse-institutional analysis; spatial planning; organization of space; space as a location; urban metabolism; Atlas.ti</t>
  </si>
  <si>
    <t>URBAN METABOLISM; ECONOMY; SUSTAINABILITY; REFLECTIONS; POLICY</t>
  </si>
  <si>
    <t>10.3390/su11184875</t>
  </si>
  <si>
    <t>Huang, SL; Chen, CW</t>
  </si>
  <si>
    <t>Huang, Shu-Li; Chen, Chia-Wen</t>
  </si>
  <si>
    <t>Urbanization and Socioeconomic Metabolism in Taipei</t>
  </si>
  <si>
    <t>emergy synthesis; industrial ecology; land use; material flow analysis; sprawl; urban metabolism</t>
  </si>
  <si>
    <t>EMERGY SYNTHESIS; FLOW-ANALYSIS; CITIES; TRANSFORMITY; ECONOMY; ECOLOGY; SYSTEMS; TAIWAN; POLICY</t>
  </si>
  <si>
    <t>10.1111/j.1530-9290.2008.00103.x</t>
  </si>
  <si>
    <t>Nagpure, AS; Tong, KK; Ramaswami, A</t>
  </si>
  <si>
    <t>Nagpure, Ajay Singh; Tong, Kangkang; Ramaswami, Anu</t>
  </si>
  <si>
    <t>Socially-differentiated urban metabolism methodology informs equity in coupled carbon-air pollution mitigation strategies: insights from three Indian cities</t>
  </si>
  <si>
    <t>air pollution emission inventory; infrastructure; GHG footprints; inequality; inclusive development; co-benefits; differentiated urban metabolism</t>
  </si>
  <si>
    <t>DELHI; EMISSIONS; FOOTPRINTS; INEQUALITY; INVENTORY; HEALTH; LIFE</t>
  </si>
  <si>
    <t>SEP 1</t>
  </si>
  <si>
    <t>10.1088/1748-9326/ac881e</t>
  </si>
  <si>
    <t>He, SQ; Chen, XP; Zhang, ZL; Wang, ZY; Hu, MR</t>
  </si>
  <si>
    <t>He, Shuqi; Chen, Xingpeng; Zhang, Zilong; Wang, Zhaoyue; Hu, Mengran</t>
  </si>
  <si>
    <t>RETRACTED: The Exploration of Urban Material Anabolism Based on RS and GIS Methods: Case Study in Jinchang, China (Retracted Article)</t>
  </si>
  <si>
    <t>REMOTE SENSING</t>
  </si>
  <si>
    <t>Article; Retracted Publication</t>
  </si>
  <si>
    <t>urban metabolism; anabolic; urban ecology; cumulative metabolic amount</t>
  </si>
  <si>
    <t>FLOW-ANALYSIS; METABOLISM; SUSTAINABILITY; REGRESSION; BALANCE; VIENNA; CITIES; ENERGY; LOWESS; MODEL</t>
  </si>
  <si>
    <t>2072-4292</t>
  </si>
  <si>
    <t>10.3390/rs12030370</t>
  </si>
  <si>
    <t>Environmental Sciences; Geosciences, Multidisciplinary; Remote Sensing; Imaging Science &amp; Photographic Technology</t>
  </si>
  <si>
    <t>Rojo, M; Mora, L</t>
  </si>
  <si>
    <t>Rojo, Maria; Mora, Luis</t>
  </si>
  <si>
    <t>Sustainable urban drainage planning as tools to improve the metabolism of the city of Merida-Venezuela.</t>
  </si>
  <si>
    <t>CIENCIA E INGENIERIA</t>
  </si>
  <si>
    <t>Urban Metabolism; Urban Infrastructure; Critical Infrastructure; Sustainable Urban Drainage; Industry 4.0; SWMM</t>
  </si>
  <si>
    <t>1316-7081</t>
  </si>
  <si>
    <t>2244-8780</t>
  </si>
  <si>
    <t>APR-JUL</t>
  </si>
  <si>
    <t>Engineering, Multidisciplinary</t>
  </si>
  <si>
    <t>Kenway, S; Gregory, A; McMahon, J</t>
  </si>
  <si>
    <t>Kenway, Steven; Gregory, Alan; McMahon, Joseph</t>
  </si>
  <si>
    <t>Urban Water Mass Balance Analysis</t>
  </si>
  <si>
    <t>industrial ecology; mass balance; performance indicator; urban metabolism; volumetric balance; water supply</t>
  </si>
  <si>
    <t>METABOLISM; CITIES</t>
  </si>
  <si>
    <t>10.1111/j.1530-9290.2011.00357.x</t>
  </si>
  <si>
    <t>Zhang, Y; Xia, LL; Fath, BD; Yang, ZF; Yin, XN; Su, MR; Liu, GY; Li, YX</t>
  </si>
  <si>
    <t>Zhang, Yan; Xia, Linlin; Fath, Brian D.; Yang, Zhifeng; Yin, Xinan; Su, Meirong; Liu, Gengyuan; Li, Yanxian</t>
  </si>
  <si>
    <t>Development of a spatially explicit network model of urban metabolism and analysis of the distribution of ecological relationships: case study of Beijing, China</t>
  </si>
  <si>
    <t>Urban metabolism; Carbon emission; Carbon sequestration; Ecological network analysis; Spatial analysis; Ecological relationships</t>
  </si>
  <si>
    <t>CARBON EMISSIONS; SOCIOECONOMIC METABOLISM; SYSTEM; FLUX; ECOSYSTEMS; SYNERGISM; NITROGEN; IMPACT; CYCLE; FORM</t>
  </si>
  <si>
    <t>JAN 20</t>
  </si>
  <si>
    <t>10.1016/j.jclepro.2015.06.052</t>
  </si>
  <si>
    <t>Cao, L; Li, L; Wu, Y; Zeng, WP</t>
  </si>
  <si>
    <t>Cao, Li; Li, Lin; Wu, Yi; Zeng, Weiping</t>
  </si>
  <si>
    <t>Does industrial convergence promote regional metabolism? Evidence from China</t>
  </si>
  <si>
    <t>Industrial convergence; Urban metabolism; Emergy; Tobit model</t>
  </si>
  <si>
    <t>URBAN METABOLISM; EFFICIENCY; EMERGY; AGGLOMERATION; CITIES; MEDIA</t>
  </si>
  <si>
    <t>NOV 10</t>
  </si>
  <si>
    <t>10.1016/j.jclepro.2020.123010</t>
  </si>
  <si>
    <t>Changing Urban Carbon Metabolism over Time: Historical Trajectory and Future Pathway</t>
  </si>
  <si>
    <t>INPUT-OUTPUT-ANALYSIS; NETWORK ENVIRON ANALYSIS; CO2 EMISSIONS; ENERGY-CONSUMPTION; DECOMPOSITION ANALYSIS; DISTRIBUTED CONTROL; GLOBAL CHANGE; BEIJING 2007; ECONOMY; PERSPECTIVE</t>
  </si>
  <si>
    <t>JUL 4</t>
  </si>
  <si>
    <t>10.1021/acs.est.7b01694</t>
  </si>
  <si>
    <t>McCulligh, C; Fregoso, GV</t>
  </si>
  <si>
    <t>McCulligh, Cindy; Vega Fregoso, Georgina</t>
  </si>
  <si>
    <t>Defiance from Down River: Deflection and Dispute in the Urban-Industrial Metabolism of Pollution in Guadalajara</t>
  </si>
  <si>
    <t>industry; water pollution; urban political ecology; Mexico</t>
  </si>
  <si>
    <t>POLITICAL ECOLOGY; AIR-POLLUTION; WATER; JUSTICE</t>
  </si>
  <si>
    <t>10.3390/su11226294</t>
  </si>
  <si>
    <t>Pincetl, S</t>
  </si>
  <si>
    <t>Pincetl, Stephanie</t>
  </si>
  <si>
    <t>Nature, urban development and sustainability - What new elements are needed for a more comprehensive understanding?</t>
  </si>
  <si>
    <t>Urban metabolism; Sustainability; Political ecology; Urban ecosystem services</t>
  </si>
  <si>
    <t>ECOSYSTEM SERVICES; POLITICAL-ECONOMY; ECOLOGY; BALTIMORE; PARKS</t>
  </si>
  <si>
    <t>S32</t>
  </si>
  <si>
    <t>S37</t>
  </si>
  <si>
    <t>10.1016/j.cities.2012.06.009</t>
  </si>
  <si>
    <t>Elliot, T; Levasseur, A</t>
  </si>
  <si>
    <t>Elliot, Thomas; Levasseur, Annie</t>
  </si>
  <si>
    <t>System dynamics life cycle-based carbon model for consumption changes in urban metabolism</t>
  </si>
  <si>
    <t>ENVIRONMENTAL IMPACTS; CLIMATE; STRATEGIES; FOOTPRINT</t>
  </si>
  <si>
    <t>2022 NOV</t>
  </si>
  <si>
    <t>10.1016/j.ecolmodel.2022.110010</t>
  </si>
  <si>
    <t>OCT 2022</t>
  </si>
  <si>
    <t>Silva, A; Augusto, B; Rafael, S; Reis, J; Lopes, M; Costa, S; Borrego, C</t>
  </si>
  <si>
    <t>Silva, Afonso; Augusto, Bruno; Rafael, Sandra; Reis, Johnny; Lopes, Myriam; Costa, Sergio; Borrego, Carlos</t>
  </si>
  <si>
    <t>Modelling of Regional Economic Metabolism</t>
  </si>
  <si>
    <t>CLIMATE</t>
  </si>
  <si>
    <t>regional metabolism; circular economy; sustainability; REMET-UA model</t>
  </si>
  <si>
    <t>URBAN METABOLISM; CIRCULAR ECONOMY</t>
  </si>
  <si>
    <t>2225-1154</t>
  </si>
  <si>
    <t>10.3390/cli8040052</t>
  </si>
  <si>
    <t>Meteorology &amp; Atmospheric Sciences</t>
  </si>
  <si>
    <t>Facchini, A; Kennedy, C; Stewart, L; Mele, R</t>
  </si>
  <si>
    <t>Facchini, Angelo; Kennedy, Chris; Stewart, Lain; Mele, Renata</t>
  </si>
  <si>
    <t>The energy metabolism of megacities</t>
  </si>
  <si>
    <t>Urban energy; Urban metabolism; Megacities; Urban energy systems</t>
  </si>
  <si>
    <t>URBAN METABOLISM; CITIES; CHINA; EMISSIONS; SYSTEMS; SECTOR; FUTURE; MODEL; CITY; SUSTAINABILITY</t>
  </si>
  <si>
    <t>JAN 15</t>
  </si>
  <si>
    <t>10.1016/j.apenergy.2016.09.025</t>
  </si>
  <si>
    <t>Marteleira, R; Pinto, G; Niza, S</t>
  </si>
  <si>
    <t>Marteleira, Rita; Pinto, Guilherme; Niza, Samuel</t>
  </si>
  <si>
    <t>Regional water flows - Assessing opportunities for sustainable management</t>
  </si>
  <si>
    <t>Urban metabolism; Urban water; Wastewater reuse; Rainwater harvesting</t>
  </si>
  <si>
    <t>WASTE-WATER; REUSE; RAINWATER</t>
  </si>
  <si>
    <t>10.1016/j.resconrec.2013.10.016</t>
  </si>
  <si>
    <t>Galychyn, O; Fath, BD; Shah, IH; Buonocore, E; Franzese, PP</t>
  </si>
  <si>
    <t>Galychyn, Oleksandr; Fath, B. D.; Shah, Izhar Hussain; Buonocore, Elvira; Franzese, Pier Paolo</t>
  </si>
  <si>
    <t>A multi-criteria framework for assessing urban socio-ecological systems: The emergy nexus of the urban economy and environment</t>
  </si>
  <si>
    <t>CLEANER ENVIRONMENTAL SYSTEMS</t>
  </si>
  <si>
    <t>Emergy accounting; Industrial ecology; Input-output analysis; Multi-criteria framework sustainable cities; Urban metabolism; Vienna</t>
  </si>
  <si>
    <t>ECOLOGICAL NETWORK ANALYSIS; INPUT-OUTPUT TABLES; MODEL DEVELOPMENT; CARBON EMISSIONS; ENERGY-COST; METABOLISM; PERSPECTIVE; TECHNOLOGY</t>
  </si>
  <si>
    <t>2666-7894</t>
  </si>
  <si>
    <t>2022 JUN</t>
  </si>
  <si>
    <t>10.1016/j.cesys.2022.100080</t>
  </si>
  <si>
    <t>Green &amp; Sustainable Science &amp; Technology; Engineering, Environmental; Environmental Sciences; Environmental Studies</t>
  </si>
  <si>
    <t>Zhang, Yan; Yang, Zhifeng; Yu, Xianyi</t>
  </si>
  <si>
    <t>Measurement and evaluation of interactions in complex urban ecosystem</t>
  </si>
  <si>
    <t>complex urban ecosystem; recycling degree; developmental degree; harmonious degree; interaction</t>
  </si>
  <si>
    <t>SUSTAINABILITY; METABOLISM; SERVICES; CITIES</t>
  </si>
  <si>
    <t>1-2</t>
  </si>
  <si>
    <t>10.1016/j.ecolmodel.2006.02.001</t>
  </si>
  <si>
    <t>Ioppolo, G; Cucurachi, S; Salomone, R; Shi, L; Yigitcanlar, T</t>
  </si>
  <si>
    <t>Ioppolo, Giuseppe; Cucurachi, Stefano; Salomone, Roberta; Shi, Lei; Yigitcanlar, Tan</t>
  </si>
  <si>
    <t>Integrating strategic environmental assessment and material flow accounting: a novel approach for moving towards sustainable urban futures</t>
  </si>
  <si>
    <t>Life cycle thinking (LCT); Material flow accounting (MFA); Strategic environmental assessment (SEA); Sustainable urban development; Urban metabolic governance; Urban metabolism (UM)</t>
  </si>
  <si>
    <t>LAND-USE; RESOURCE-MANAGEMENT; METABOLISM; SEA; INDICATORS; ENERGY; FRAMEWORK; CHINA; MODEL; TOOL</t>
  </si>
  <si>
    <t>10.1007/s11367-018-1494-0</t>
  </si>
  <si>
    <t>Currie, PK; Musango, JK; May, ND</t>
  </si>
  <si>
    <t>Currie, Paul Klugman; Musango, Josephine Kaviti; May, Nhlanhla Desire</t>
  </si>
  <si>
    <t>Urban metabolism: A review with reference to Cape Town</t>
  </si>
  <si>
    <t>Urban metabolism; Resource flows; Cape Town; Sustainability; Urban planning</t>
  </si>
  <si>
    <t>POLITICAL ECOLOGY; CITY; SUSTAINABILITY; CITIES; MODEL; FLOW; UNCERTAINTY; NITROGEN; BOGOTA; STOCKS</t>
  </si>
  <si>
    <t>10.1016/j.cities.2017.06.005</t>
  </si>
  <si>
    <t>Renouf, MA; Kenway, SJ</t>
  </si>
  <si>
    <t>Renouf, Marguerite A.; Kenway, Steven J.</t>
  </si>
  <si>
    <t>Evaluation Approaches for Advancing Urban Water Goals</t>
  </si>
  <si>
    <t>cities; industrial ecology; performance indicators; urban hydrology; urban water systems; water efficiency</t>
  </si>
  <si>
    <t>ECOLOGICAL NETWORK ANALYSIS; DECISION-SUPPORT TOOL; METABOLISM; CITIES; SYSTEMS; FOOTPRINT; ENERGY; CYCLE; CITY; SUSTAINABILITY</t>
  </si>
  <si>
    <t>10.1111/jiec.12456</t>
  </si>
  <si>
    <t>Farzinmoghadam, M; Mostafavi, N; Infield, EH; Hoque, S</t>
  </si>
  <si>
    <t>Farzinmoghadam, Mohamad; Mostafavi, Nariman; Infield, Elisabeth Hamin; Hoque, Simi</t>
  </si>
  <si>
    <t>DEVELOPING AN AUTOMATED METHOD FOR THE APPLICATION OF LIDAR IN IUMAT LAND-USE MODEL: ANALYSIS OF LAND-USE CHANGES USING BUILDING-FORM PARAMETERIZATION, GIS, AND ARTIFICIAL NEURAL NETWORKS</t>
  </si>
  <si>
    <t>JOURNAL OF GREEN BUILDING</t>
  </si>
  <si>
    <t>Land-Use Modeling; Spatial Analysis; LIDAR; Building form Extraction; Artificial Neural Networks</t>
  </si>
  <si>
    <t>URBAN VERTICAL GROWTH; CELLULAR-AUTOMATA; MEASURING SPRAWL; CLIMATE-CHANGE; SIMULATION; ENERGY; TOOL; DYNAMICS; REGION; TRAVEL</t>
  </si>
  <si>
    <t>1552-6100</t>
  </si>
  <si>
    <t>1943-4618</t>
  </si>
  <si>
    <t>WIN</t>
  </si>
  <si>
    <t>Hoekman, P; von Blottnitz, H</t>
  </si>
  <si>
    <t>Hoekman, Paul; von Blottnitz, Harro</t>
  </si>
  <si>
    <t>Cape Town's Metabolism Insights from a Material Flow Analysis</t>
  </si>
  <si>
    <t>material flow analysis (MFA); urban metabolism; domestic material consumption (DMC); economy-wide material flow analysis (EW-MFA); societal metabolism; direct material input (DMI)</t>
  </si>
  <si>
    <t>MATERIAL EFFICIENCY; PATTERNS; TRANSITION; COUNTRIES; TRENDS; CHINA; WIDE</t>
  </si>
  <si>
    <t>10.1111/jiec.12508</t>
  </si>
  <si>
    <t>Evaluation of urban metabolism based on emergy synthesis: A case study for Beijing (China)</t>
  </si>
  <si>
    <t>Emergy synthesis; Urban metabolism; Flux and structures; Intensity and efficiency; Density</t>
  </si>
  <si>
    <t>FLOW-ANALYSIS; HONG-KONG; ECOSYSTEM; CITIES; SUSTAINABILITY; TRANSFORMITY; INFORMATION; NITROGEN; TORONTO; CITY</t>
  </si>
  <si>
    <t>JUL 17</t>
  </si>
  <si>
    <t>13-14</t>
  </si>
  <si>
    <t>10.1016/j.ecolmodel.2009.04.002</t>
  </si>
  <si>
    <t>Voskamp, IM; Stremke, S; Spiller, M; Perrotti, D; van der Hoek, JP; Rijnaarts, HHM</t>
  </si>
  <si>
    <t>Voskamp, Ilse M.; Stremke, Sven; Spiller, Marc; Perrotti, Daniela; van der Hoek, Jan Peter; Rijnaarts, Huub H. M.</t>
  </si>
  <si>
    <t>Enhanced Performance of the Eurostat Method for Comprehensive Assessment of Urban Metabolism</t>
  </si>
  <si>
    <t>Amsterdam; circular economy; industrial ecology; resource management; sustainable city; urban planning</t>
  </si>
  <si>
    <t>ENERGY; CITIES; MEGACITIES</t>
  </si>
  <si>
    <t>10.1111/jiec.12461</t>
  </si>
  <si>
    <t>Kasper, C; Brandt, J; Lindschulte, K; Giseke, U</t>
  </si>
  <si>
    <t>Kasper, Christoph; Brandt, Juliane; Lindschulte, Katharina; Giseke, Undine</t>
  </si>
  <si>
    <t>The urban food system approach: thinking in spatialized systems</t>
  </si>
  <si>
    <t>AGROECOLOGY AND SUSTAINABLE FOOD SYSTEMS</t>
  </si>
  <si>
    <t>Food infrastructure; spatialization; systemic approach; urban agriculture (UA); urban food system (UFS); urban metabolism</t>
  </si>
  <si>
    <t>2168-3565</t>
  </si>
  <si>
    <t>2168-3573</t>
  </si>
  <si>
    <t>10.1080/21683565.2017.1334737</t>
  </si>
  <si>
    <t>Agriculture, Multidisciplinary; Green &amp; Sustainable Science &amp; Technology</t>
  </si>
  <si>
    <t>Li, Y; Beeton, RJS; Sigler, T; Halog, A</t>
  </si>
  <si>
    <t>Li, Ying; Beeton, R. J. S.; Sigler, Thomas; Halog, Anthony</t>
  </si>
  <si>
    <t>Modelling the transition toward urban sustainability: a case study of the industrial city of Jinchang, China</t>
  </si>
  <si>
    <t>Urban sustainability; Urban transition; Industrial cities; Material flows; Cleaner production; Human response</t>
  </si>
  <si>
    <t>AIR-POLLUTION; HEALTH; URBANIZATION; ENVIRONMENT; FRAMEWORK; METABOLISM; CITIES; ENERGY; DPSIR; ROAD</t>
  </si>
  <si>
    <t>OCT 15</t>
  </si>
  <si>
    <t>A</t>
  </si>
  <si>
    <t>10.1016/j.jclepro.2015.10.053</t>
  </si>
  <si>
    <t>Elliot, T; Goldstein, B; Gomez-Baggethun, E; Proenca, V; Rugani, B</t>
  </si>
  <si>
    <t>Elliot, Thomas; Goldstein, Benjamin; Gomez-Baggethun, Erik; Proenca, Vania; Rugani, Benedetto</t>
  </si>
  <si>
    <t>Ecosystem service deficits of European cities</t>
  </si>
  <si>
    <t>Ecosystem service de ficit; Climate change; Biodiversity; Habitat loss; Sustainable urban planning; Ecosystem services; Urban metabolism; Life cycle assessment; Urban land teleconnections</t>
  </si>
  <si>
    <t>URBAN METABOLISM; NATURES CONTRIBUTIONS; POLITICAL ECOLOGY; CLIMATE-CHANGE; BIODIVERSITY; SUSTAINABILITY; IMPACTS; POLICY; CARBON; MODEL</t>
  </si>
  <si>
    <t>2022 SEP 1</t>
  </si>
  <si>
    <t>10.1016/j.scitotenv.2022.155875</t>
  </si>
  <si>
    <t>Zhang, Y; Li, YX; Zheng, HM</t>
  </si>
  <si>
    <t>Zhang, Yan; Li, Yanxian; Zheng, Hongmei</t>
  </si>
  <si>
    <t>Ecological network analysis of energy metabolism in the Beijing-Tianjin-Hebei (Jing-Jin-Ji) urban agglomeration</t>
  </si>
  <si>
    <t>Urban metabolism; Ecological network analysis; Input-output analysis; Integrated energy; Jing-Jin-Ji</t>
  </si>
  <si>
    <t>INPUT-OUTPUT MODEL; SYSTEM; PERSPECTIVE; CONSUMPTION; BALANCE; TABLES; CITY</t>
  </si>
  <si>
    <t>MAY 10</t>
  </si>
  <si>
    <t>10.1016/j.ecolmodel.2017.02.015</t>
  </si>
  <si>
    <t>Walker, RV; Beck, MB; Hall, JW; Dawson, RJ; Heidrich, O</t>
  </si>
  <si>
    <t>Walker, R. Villarroel; Beck, M. B.; Hall, J. W.; Dawson, R. J.; Heidrich, O.</t>
  </si>
  <si>
    <t>Identifying key technology and policy strategies for sustainable cities: A case study of London</t>
  </si>
  <si>
    <t>ENVIRONMENTAL DEVELOPMENT</t>
  </si>
  <si>
    <t>Backcasting; Inverse analysis; Resource-flow model; Sensitivity analysis; Urban metabolism; Water-food-energy nexus</t>
  </si>
  <si>
    <t>URBAN METABOLISM; SEWAGE-SLUDGE; HUMAN URINE; SYSTEMS; MANAGEMENT; FOOTPRINTS; ENERGY; HOUSEHOLDS; INNOVATION; PYROLYSIS</t>
  </si>
  <si>
    <t>2211-4645</t>
  </si>
  <si>
    <t>2211-4653</t>
  </si>
  <si>
    <t>10.1016/j.envdev.2016.11.006</t>
  </si>
  <si>
    <t>Zhang, Y; Yang, ZF; Fath, BD; Li, SS</t>
  </si>
  <si>
    <t>Zhang, Yan; Yang, Zhifeng; Fath, Brian D.; Li, Shengsheng</t>
  </si>
  <si>
    <t>Ecological network analysis of an urban energy metabolic system: Model development, and a case study of four Chinese cities</t>
  </si>
  <si>
    <t>Urban metabolism; Energy metabolism; Network analysis; Throughflow analysis; Utility analysis</t>
  </si>
  <si>
    <t>SECTOR; DIVERSITY; HEAT; CITY</t>
  </si>
  <si>
    <t>AUG 10</t>
  </si>
  <si>
    <t>10.1016/j.ecolmodel.2010.05.006</t>
  </si>
  <si>
    <t>Tainter, JA</t>
  </si>
  <si>
    <t>Tainter, Joseph A.</t>
  </si>
  <si>
    <t>Cahokia: Urbanization, Metabolism, and Collapse</t>
  </si>
  <si>
    <t>Cahokia; collapse; complexity; Mississippian; urban metabolism; urbanization</t>
  </si>
  <si>
    <t>10.3389/frsc.2019.00006</t>
  </si>
  <si>
    <t>Gonella, F</t>
  </si>
  <si>
    <t>Gonella, Francesco</t>
  </si>
  <si>
    <t>The Smart Narrative of a Smart City</t>
  </si>
  <si>
    <t>Smart City; city narrative; ICT; sustainability; complex systems; systems thinking; emergy analysis</t>
  </si>
  <si>
    <t>URBAN SYSTEMS; SUSTAINABILITY; MECHANISMS</t>
  </si>
  <si>
    <t>10.3389/frsc.2019.00009</t>
  </si>
  <si>
    <t>Zhang, Y; Zheng, HM; Yang, ZF; Li, JJ; Yin, XN; Liu, GY; Su, MR</t>
  </si>
  <si>
    <t>Zhang, Yan; Zheng, Hongmei; Yang, Zhifeng; Li, Jinjian; Yin, Xinan; Liu, Gengyuan; Su, Meirong</t>
  </si>
  <si>
    <t>Analysis of urban energy consumption in carbon metabolic processes and its structural attributes: a case study for Beijing</t>
  </si>
  <si>
    <t>Urban metabolism; Carbon footprint; Energy structure; Network analysis; Beijing</t>
  </si>
  <si>
    <t>ECOLOGICAL NETWORK ANALYSIS; GREENHOUSE-GAS EMISSIONS; CO2 EMISSIONS; DECOMPOSITION ANALYSIS; ECONOMIC-GROWTH; MODEL DEVELOPMENT; DRIVING FACTORS; CHINA; SYSTEM; EFFICIENCY</t>
  </si>
  <si>
    <t>10.1016/j.jclepro.2014.07.075</t>
  </si>
  <si>
    <t>Pincetl, S; Graham, R; Murphy, S; Sivaraman, D</t>
  </si>
  <si>
    <t>Pincetl, Stephanie; Graham, Robert; Murphy, Sinnott; Sivaraman, Deepak</t>
  </si>
  <si>
    <t>Analysis of High-Resolution Utility Data for Understanding Energy Use in Urban Systems: The Case of Los Angeles, California</t>
  </si>
  <si>
    <t>building energy; electricity; energy conservation; resource efficiency; sustainable city; urban metabolism</t>
  </si>
  <si>
    <t>MODELING TECHNIQUES; END-USE; METABOLISM; CONSUMPTION; CITIES; SUSTAINABILITY; EMISSIONS; CLIMATE; SECTOR; CITY</t>
  </si>
  <si>
    <t>10.1111/jiec.12299</t>
  </si>
  <si>
    <t>Connecting energy services, carriers and flows: Rethinking household energy metabolism in Cape Town, South Africa</t>
  </si>
  <si>
    <t>ENERGY RESEARCH &amp; SOCIAL SCIENCE</t>
  </si>
  <si>
    <t>Urban metabolism; Household energy metabolism; Household energy consumption; Sustainable energy; Energy consumption; Energy behaviour</t>
  </si>
  <si>
    <t>URBAN METABOLISM; ELECTRICITY CONSUMPTION; FRAMEWORK; MODEL; SUSTAINABILITY; PROFILE; CITIES; NEXUS</t>
  </si>
  <si>
    <t>2214-6296</t>
  </si>
  <si>
    <t>2214-6326</t>
  </si>
  <si>
    <t>10.1016/j.erss.2019.101313</t>
  </si>
  <si>
    <t>Zhang, Y; Zhang, XL; Zhao, XY</t>
  </si>
  <si>
    <t>Zhang, Yan; Zhang, Xiaolin; Zhao, Xinyue</t>
  </si>
  <si>
    <t>Analysis of the ecological relationships and hierarchical structure of Beijing's nitrogen metabolic system</t>
  </si>
  <si>
    <t>Urban metabolism; Nitrogen flows; Ecological network analysis; Ecological relationships; Beijing</t>
  </si>
  <si>
    <t>NEUSE RIVER ESTUARY; ECO-INDUSTRIAL PARK; NETWORK ANALYSIS; MODEL DEVELOPMENT; 7-COMPARTMENT MODEL; DISTRIBUTED CONTROL; CARBON EMISSIONS; URBAN METABOLISM; ECOSYSTEMS; ENERGY</t>
  </si>
  <si>
    <t>10.1016/j.ecolind.2018.06.039</t>
  </si>
  <si>
    <t>Cousins, JJ; Newell, JP</t>
  </si>
  <si>
    <t>Cousins, Joshua J.; Newell, Joshua P.</t>
  </si>
  <si>
    <t>A political-industrial ecology of water supply infrastructure for Los Angeles</t>
  </si>
  <si>
    <t>Urban political ecology; Industrial ecology; Urban metabolism; Carbon footprints; Water resources; Life cycle assessment</t>
  </si>
  <si>
    <t>LIFE-CYCLE ASSESSMENT; ENVIRONMENTAL ASSESSMENT; ELECTRICITY CONSUMPTION; SUSTAINABLE DEVELOPMENT; URBAN METABOLISM; GRID ELECTRICITY; SCALAR POLITICS; CITY; CLIMATE; CARBON</t>
  </si>
  <si>
    <t>10.1016/j.geoforum.2014.10.011</t>
  </si>
  <si>
    <t>Stephan, A; Crawford, RH; Bunster, V; Warren-Myers, G; Moosavi, S</t>
  </si>
  <si>
    <t>Stephan, Andre; Crawford, Robert H.; Bunster, Victor; Warren-Myers, Georgia; Moosavi, Sareh</t>
  </si>
  <si>
    <t>Towards a multiscale framework for modeling and improving the life cycle environmental performance of built stocks</t>
  </si>
  <si>
    <t>bottom-up; buildings; industrial ecology; life cycle assessment; material flow analysis; urban metabolism</t>
  </si>
  <si>
    <t>ENERGY ANALYSIS; RESIDENTIAL BUILDINGS; URBAN METABOLISM; EMBODIED ENERGY; ASSESSMENT LCA; REQUIREMENTS; SECTOR; UNCERTAINTY; CHALLENGES; FOOTPRINT</t>
  </si>
  <si>
    <t>10.1111/jiec.13254</t>
  </si>
  <si>
    <t>Zhang, H; Wang, XR; Hob, HH; Yong, Y</t>
  </si>
  <si>
    <t>Zhang, Hao; Wang, Xiangrong; Hob, Hon H.; Yong, Yi</t>
  </si>
  <si>
    <t>Eco-health evaluation for the Shanghai metropolitan area during the recent industrial transformation (1990-2003)</t>
  </si>
  <si>
    <t>Shanghai metropolitan area; China; environment; sustainable development; the Yangtze River basin</t>
  </si>
  <si>
    <t>METABOLISM; IMPACT</t>
  </si>
  <si>
    <t>10.1016/j.jenvman.2007.05.008</t>
  </si>
  <si>
    <t>Ramaswami, A; Weible, C; Main, D; Heikkila, T; Siddiki, S; Duvall, A; Pattison, A; Bernard, M</t>
  </si>
  <si>
    <t>Ramaswami, Anu; Weible, Christopher; Main, Deborah; Heikkila, Tanya; Siddiki, Saba; Duvall, Andrew; Pattison, Andrew; Bernard, Meghan</t>
  </si>
  <si>
    <t>A Social-Ecological-Infrastructural Systems Framework for Interdisciplinary Study of Sustainable City Systems An Integrative Curriculum Across Seven Major Disciplines</t>
  </si>
  <si>
    <t>cities; curricula; industrial ecology; infrastructure; urban metabolism; urban systems</t>
  </si>
  <si>
    <t>POLICY CHANGE; US CITIES; CARBON; ENERGY; METABOLISM; FOOTPRINTS; ECONOMICS; HEALTH; WEDGES; CYCLE</t>
  </si>
  <si>
    <t>10.1111/j.1530-9290.2012.00566.x</t>
  </si>
  <si>
    <t>Zhang, Y; Yang, ZF; Liu, GY; Yu, XY</t>
  </si>
  <si>
    <t>Zhang, Yan; Yang, Zhifeng; Liu, Gengyuan; Yu, Xiangyi</t>
  </si>
  <si>
    <t>Emergy analysis of the urban metabolism of Beijing</t>
  </si>
  <si>
    <t>Urban ecosystem; Metabolic flows; Emergy analysis; Emergy indices; Beijing</t>
  </si>
  <si>
    <t>FLOW-ANALYSIS; HONG-KONG; SUSTAINABILITY; CITIES; TRANSFORMITY; INFORMATION; ECOSYSTEMS; NITROGEN; TORONTO; SYSTEMS</t>
  </si>
  <si>
    <t>JUL 24</t>
  </si>
  <si>
    <t>10.1016/j.ecolmodel.2010.09.017</t>
  </si>
  <si>
    <t>Göswein, V; Krones, J; Celentano, G; Fernández, JE; Habert, G</t>
  </si>
  <si>
    <t>Goeswein, Verena; Krones, Jonathan; Celentano, Giulia; Fernandez, John E.; Habert, Guillaume</t>
  </si>
  <si>
    <t>Embodied GHGs in a Fast Growing City: Looking at the Evolution of a Dwelling Stock using Structural Element Breakdown and Policy Scenarios</t>
  </si>
  <si>
    <t>Africa; building materials; greenhouse gas (GHG) emissions; industrial ecology; stock dynamic; urban metabolism</t>
  </si>
  <si>
    <t>MATERIAL FLOW-ANALYSIS; BUILDING-STOCK; URBAN METABOLISM; ENERGY-CONSUMPTION; CONSTRUCTION; RENOVATION; FRAMEWORK; CEMENT; MODEL; TIME</t>
  </si>
  <si>
    <t>10.1111/jiec.12700</t>
  </si>
  <si>
    <t>Gierlinger, S</t>
  </si>
  <si>
    <t>Gierlinger, Sylvia</t>
  </si>
  <si>
    <t>Food and feed supply and waste disposal in the industrialising city of Vienna (1830-1913): a special focus on urban nitrogen flows</t>
  </si>
  <si>
    <t>Urban metabolism; Socio-ecological transition; Nitrogen; Food; Long-term socio-ecological research; Vienna</t>
  </si>
  <si>
    <t>RIVER SYSTEMS; PARIS; METABOLISM; CONSUMPTION; PRINT</t>
  </si>
  <si>
    <t>10.1007/s10113-014-0653-5</t>
  </si>
  <si>
    <t>Balogh, S; Hall, CAS; Gamils, DV; Popov, AM; Rose, RT</t>
  </si>
  <si>
    <t>Balogh, Stephen; Hall, Charles A. S.; Gamils, Drew V.; Popov, Alexander M.; Rose, Ryan T.</t>
  </si>
  <si>
    <t>Examining the historical and present energy metabolism of a Rust Belt City: Syracuse, NY 1840-2005</t>
  </si>
  <si>
    <t>Urban metabolism; Energy; Food; Respiration; Production</t>
  </si>
  <si>
    <t>URBAN METABOLISM; WOODY BIOMASS; PATTERNS; NITROGEN; GROWTH; LIMITS; FLOWS; PARIS; STATE; EROI</t>
  </si>
  <si>
    <t>10.1007/s11252-013-0342-z</t>
  </si>
  <si>
    <t>Xia, LL; Fath, BD; Scharler, UM; Zhang, Y</t>
  </si>
  <si>
    <t>Xia, Linlin; Fath, Brian D.; Scharler, Ursula M.; Zhang, Yan</t>
  </si>
  <si>
    <t>Spatial variation in the ecological relationships among the components of Beijing's carbon metabolic system</t>
  </si>
  <si>
    <t>Urban metabolism; Ecological relationships; Ecological network analysis; Spatial analysis; Land-use and cover change; Carbon emission</t>
  </si>
  <si>
    <t>URBAN METABOLISM; NETWORK ANALYSIS; NITROGEN; EMISSIONS; FORESTS; CHINA</t>
  </si>
  <si>
    <t>10.1016/j.scitotenv.2015.11.110</t>
  </si>
  <si>
    <t>Li, J; Zhang, Y; Liu, NY; Fath, BD; Hao, Y</t>
  </si>
  <si>
    <t>Li, Juan; Zhang, Yan; Liu, Ningyin; Fath, Brian D.; Hao, Yan</t>
  </si>
  <si>
    <t>Flow analysis of the carbon metabolic processes in Beijing using carbon imbalance and external dependence indices</t>
  </si>
  <si>
    <t>Urban metabolism; Carbon metabolism; Carbon imbalance; External dependence; Beijing</t>
  </si>
  <si>
    <t>URBAN METABOLISM; ECOLOGICAL RELATIONSHIPS; EMERGY SYNTHESIS; NETWORK MODEL; CHINA; CYCLE; EMISSIONS; SYSTEMS; ENERGY; CITIES</t>
  </si>
  <si>
    <t>10.1016/j.jclepro.2018.07.306</t>
  </si>
  <si>
    <t>Urban Metabolism of Paris and Its Region</t>
  </si>
  <si>
    <t>construction materials; industrial ecology; material flow analysis (MFA); regional MFA; urbanization; urban sprawl</t>
  </si>
  <si>
    <t>10.1111/j.1530-9290.2009.00169.x</t>
  </si>
  <si>
    <t>Zanon, BD; Roeffen, B; Czapiewska, KM; de Graaf-Van Dinther, RE; Mooij, PR</t>
  </si>
  <si>
    <t>Zanon, B. Dal Bo; Roeffen, B.; Czapiewska, K. M.; de Graaf-Van Dinther, R. E.; Mooij, P. R.</t>
  </si>
  <si>
    <t>Potential of floating production for delta and coastal cities</t>
  </si>
  <si>
    <t>Land scarcity; Floating urbanization; Water-food-energy nexus; Coastal cities; Climate adaptation; Resilience</t>
  </si>
  <si>
    <t>ENVIRONMENTAL IMPACTS; URBAN METABOLISM; MICROALGAE; CO2; CULTIVATION; MANAGEMENT; BIODIESEL; ECOLOGY</t>
  </si>
  <si>
    <t>10.1016/j.jclepro.2017.03.048</t>
  </si>
  <si>
    <t>Water resource synergy management in response to climate change in China: From the perspective of urban metabolism</t>
  </si>
  <si>
    <t>Climate change; Urban metabolism; Water management; Synergy management; Water-energy-carbon nexus</t>
  </si>
  <si>
    <t>GAS GHG EMISSIONS; ENERGY EFFICIENCY; CARBON NEXUS; POWER-GENERATION; CHANGE IMPACTS; LAND-USE; SYSTEMS; ELECTRICITY; MITIGATION; INTENSITY</t>
  </si>
  <si>
    <t>10.1016/j.resconrec.2020.105095</t>
  </si>
  <si>
    <t>Xu, XL; Huang, GH; Liu, LR; Li, JZ; Zhai, MY</t>
  </si>
  <si>
    <t>Xu, Xinli; Huang, Guohe; Liu, Lirong; Li, Jizhe; Zhai, Mengyu</t>
  </si>
  <si>
    <t>A mitigation simulation method for urban NOx emissions based on input-output analysis</t>
  </si>
  <si>
    <t>NOx emissions; Sector classification; Mitigation simulations; Urban metabolism</t>
  </si>
  <si>
    <t>ECOLOGICAL NETWORK ANALYSIS; SUPPLY CHAIN MANAGEMENT; CARBON EMISSIONS; ENERGY-CONSUMPTION; MODEL DEVELOPMENT; DRIVING FORCES; GHG EMISSIONS; METABOLISM; CHINA; POLLUTION</t>
  </si>
  <si>
    <t>MAR 10</t>
  </si>
  <si>
    <t>10.1016/j.jclepro.2019.119338</t>
  </si>
  <si>
    <t>Fu, CL; Fath, BDD; Daigo, I; Zhang, Y; Deng, TJ</t>
  </si>
  <si>
    <t>Fu, Chenling; Fath, Brian D. D.; Daigo, Ichiro; Zhang, Yan; Deng, Tianjie</t>
  </si>
  <si>
    <t>Tracking urban metabolism flows through the lifecycle of buildings, infrastructure, and durable goods at material, product, and sector levels</t>
  </si>
  <si>
    <t>Stock building materials; Urban metabolism; Flow-stock transformation; Material flow analysis; Sustainable development goals</t>
  </si>
  <si>
    <t>IN-USE STOCKS; COPPER; 20TH-CENTURY; COMMODITIES; IMPACTS; MODEL; SPAN</t>
  </si>
  <si>
    <t>2022 FEB 15</t>
  </si>
  <si>
    <t>10.1016/j.jclepro.2022.130402</t>
  </si>
  <si>
    <t>JAN 2022</t>
  </si>
  <si>
    <t>Tan, LM; Arbabi, H; Brockway, PE; Tingley, DD; Mayfield, M</t>
  </si>
  <si>
    <t>Tan, Ling Min; Arbabi, Hadi; Brockway, Paul E.; Tingley, Danielle Densley; Mayfield, Martin</t>
  </si>
  <si>
    <t>An ecological-thermodynamic approach to urban metabolism: Measuring resource utilization with open system network effectiveness analysis</t>
  </si>
  <si>
    <t>Urban metabolism; Extended exergy accounting; Open system network; Ecological network analysis; Urban sustainability</t>
  </si>
  <si>
    <t>INPUT-OUTPUT-ANALYSIS; ENERGY-WATER NEXUS; CHEMICAL EXERGY; FLOW-ANALYSIS; CITIES; ENVIRON; EMERGY; ECOSYSTEMS; EFFICIENCY; INSIGHTS</t>
  </si>
  <si>
    <t>NOV 15</t>
  </si>
  <si>
    <t>10.1016/j.apenergy.2019.113618</t>
  </si>
  <si>
    <t>Agudelo-Vera, CM; Mels, A; Keesman, K; Rijnaarts, H</t>
  </si>
  <si>
    <t>Agudelo-Vera, Claudia Marcela; Mels, Adriaan; Keesman, Karel; Rijnaarts, Huub</t>
  </si>
  <si>
    <t>The Urban Harvest Approach as an Aid for Sustainable Urban Resource Planning</t>
  </si>
  <si>
    <t>industrial ecology; resource management; sustainability; urban metabolism; water balance; water reuse</t>
  </si>
  <si>
    <t>MATERIAL FLOW-ANALYSIS; WATER-RESOURCES; WASTE-WATER; MANAGEMENT; CITIES; DESIGN; METABOLISM</t>
  </si>
  <si>
    <t>10.1111/j.1530-9290.2012.00561.x</t>
  </si>
  <si>
    <t>Cousins, JJ</t>
  </si>
  <si>
    <t>Cousins, Joshua J.</t>
  </si>
  <si>
    <t>Volume control: Stormwater and the politics of urban metabolism</t>
  </si>
  <si>
    <t>Stormwater; Urban metabolism; Urban political ecology; Political-industrial ecology</t>
  </si>
  <si>
    <t>MARKET ENVIRONMENTALISM; INDUSTRIAL ECOLOGY; MATERIAL WORLDS; FLOW-ANALYSIS; WATER; RESOURCE; ENERGY; SUSTAINABILITY; GEOGRAPHIES; CITY</t>
  </si>
  <si>
    <t>10.1016/j.geoforum.2016.09.020</t>
  </si>
  <si>
    <t>Papageorgiou, A; Sinha, R; Frostell, B; Sundberg, C</t>
  </si>
  <si>
    <t>Papageorgiou, Asterios; Sinha, Rajib; Frostell, Bjorn; Sundberg, Cecilia</t>
  </si>
  <si>
    <t>A new physical accounting model for material flows in urban systems with application to the Stockholm Royal Seaport District</t>
  </si>
  <si>
    <t>bottom-up; industrial ecology; material flow analysis; physical input output table; Stockholm Royal Seaport; urban metabolism</t>
  </si>
  <si>
    <t>2020 JUN</t>
  </si>
  <si>
    <t>10.1111/jiec.12963</t>
  </si>
  <si>
    <t>NOV 2019</t>
  </si>
  <si>
    <t>Chang, NB; Hossain, U; Valencia, A; Qiu, JX; Kapucu, N</t>
  </si>
  <si>
    <t>Chang, Ni-Bin; Hossain, Uzzal; Valencia, Andrea; Qiu, Jiangxiao; Kapucu, Naim</t>
  </si>
  <si>
    <t>The role of food-energy-water nexus analyses in urban growth models for urban sustainability: A review of synergistic framework</t>
  </si>
  <si>
    <t>Urban growth model; Food-energy-water nexus; Urban planning; Regional planning; Urban sustainability; Cellular automata</t>
  </si>
  <si>
    <t>CELLULAR-AUTOMATA MODEL; LAND-USE CHANGE; ECOSYSTEM SERVICES; CLIMATE-CHANGE; INPUT-OUTPUT; MARKOV-CHAIN; LOGISTIC-REGRESSION; METROPOLITAN-AREAS; SCENARIO ANALYSIS; SYSTEM DYNAMICS</t>
  </si>
  <si>
    <t>10.1016/j.scs.2020.102486</t>
  </si>
  <si>
    <t>Urban Metabolism of Bangalore City: A Water Mass Balance Analysis</t>
  </si>
  <si>
    <t>alternative water resources; system boundary; water performance indicator; water reuse; urban water accounting; urban water planning</t>
  </si>
  <si>
    <t>NITROGEN-BALANCE; CITIES; TORONTO</t>
  </si>
  <si>
    <t>10.1111/jiec.12705</t>
  </si>
  <si>
    <t>Rojas-Ramírez, JJP</t>
  </si>
  <si>
    <t>Pablo Rojas-Ramirez, Jose Juan</t>
  </si>
  <si>
    <t>PERIURBANITY IN METROPOLITAN ZONES OF GUADALAJARA AND OCOTLAN, JALISCO</t>
  </si>
  <si>
    <t>BITACORA URBANO TERRITORIAL</t>
  </si>
  <si>
    <t>metropolitan zones; urban meta-bolism; perurbanity; Tonala; poncitlan</t>
  </si>
  <si>
    <t>0124-7913</t>
  </si>
  <si>
    <t>2027-145X</t>
  </si>
  <si>
    <t>JAN-APR</t>
  </si>
  <si>
    <t>10.15446/bitacora.v29n1.67254</t>
  </si>
  <si>
    <t>Pinho, P; Oliveira, V; Cruz, SS; Barbosa, M</t>
  </si>
  <si>
    <t>Pinho, Paulo; Oliveira, Vitor; Cruz, Sara Santos; Barbosa, Magda</t>
  </si>
  <si>
    <t>Metabolic Impact Assessment for urban planning</t>
  </si>
  <si>
    <t>urban metabolism; impact assessment; environmental planning; evaluation methodology; urban form; urban development</t>
  </si>
  <si>
    <t>IMPLEMENTATION; SUCCESS; PLANS</t>
  </si>
  <si>
    <t>MAR 1</t>
  </si>
  <si>
    <t>10.1080/09640568.2012.657953</t>
  </si>
  <si>
    <t>Fu, CL; Deng, TJ; Zhang, Y</t>
  </si>
  <si>
    <t>Fu, Chenling; Deng, Tianjie; Zhang, Yan</t>
  </si>
  <si>
    <t>Urban metabolic flow in China's megacities doubled by material stock accumulation since the 21st century</t>
  </si>
  <si>
    <t>IN-USE STOCKS; GLOBAL DEMAND; IRON SOURCE; MULTILEVEL CYCLE; COPPER; 20TH-CENTURY; EMISSIONS; OUTLOOK; ECONOMY; SCRAP</t>
  </si>
  <si>
    <t>OCT 19</t>
  </si>
  <si>
    <t>10.1038/s42949-023-00132-x</t>
  </si>
  <si>
    <t>Czapiewski, K; Mazurek, D; Traczyk, A; Wójcik, M</t>
  </si>
  <si>
    <t>Czapiewski, Konrad; Mazurek, Damian; Traczyk, Anna; Wojcik, Marcin</t>
  </si>
  <si>
    <t>WASTE MATERIAL FLOW ANALYSIS IN THE LODZ METROPOLITAN AREA</t>
  </si>
  <si>
    <t>EUROPEAN SPATIAL RESEARCH AND POLICY</t>
  </si>
  <si>
    <t>municipal solic waste; waste management; Lodz Metropolitan Area</t>
  </si>
  <si>
    <t>CIRCULAR ECONOMY; SOLID-WASTE</t>
  </si>
  <si>
    <t>1231-1952</t>
  </si>
  <si>
    <t>1896-1525</t>
  </si>
  <si>
    <t>10.18778/1231-1952.27.2.07</t>
  </si>
  <si>
    <t>Wei, H; Cui, SH; Yarime, M; Hashimoto, S; Managi, S</t>
  </si>
  <si>
    <t>Wei, Huang; Cui Shenghui; Yarime, Masaru; Hashimoto, Seiji; Managi, Shunsuke</t>
  </si>
  <si>
    <t>Improving urban metabolism study for sustainable urban transformation</t>
  </si>
  <si>
    <t>ENVIRONMENTAL TECHNOLOGY &amp; INNOVATION</t>
  </si>
  <si>
    <t>Sustainability of the city; Urbanization; Metabolic system; China</t>
  </si>
  <si>
    <t>ENERGY-CONSUMPTION; RAPID URBANIZATION; PHOSPHORUS-METABOLISM; WATER-QUALITY; RIVER DELTA; CO-CREATION; CHINA; HEALTH; FLOW; PATTERNS</t>
  </si>
  <si>
    <t>2352-1864</t>
  </si>
  <si>
    <t>10.1016/j.eti.2015.04.004</t>
  </si>
  <si>
    <t>Biotechnology &amp; Applied Microbiology; Engineering, Environmental; Environmental Sciences</t>
  </si>
  <si>
    <t>Pacione, M</t>
  </si>
  <si>
    <t>The future of the city - Cities of the future</t>
  </si>
  <si>
    <t>GEOGRAPHY</t>
  </si>
  <si>
    <t>0016-7487</t>
  </si>
  <si>
    <t>2043-6564</t>
  </si>
  <si>
    <t>Browne, D; O'Regan, B; Moles, R</t>
  </si>
  <si>
    <t>Browne, David; O'Regan, Bernadette; Moles, Richard</t>
  </si>
  <si>
    <t>Assessment of total urban metabolism and metabolic inefficiency in an Irish city-region</t>
  </si>
  <si>
    <t>POLICY SCENARIOS; HONG-KONG; 2ND LAW; CITIES; ENERGY; SUSTAINABILITY; THERMODYNAMICS; ECONOMICS; SYSTEMS; LIMITS</t>
  </si>
  <si>
    <t>10.1016/j.wasman.2009.05.008</t>
  </si>
  <si>
    <t>Obersteg, A; Arlati, A; Knieling, J</t>
  </si>
  <si>
    <t>Obersteg, Andreas; Arlati, Alessandro; Knieling, Jorg</t>
  </si>
  <si>
    <t>MAKING CITIES CIRCULAR: EXPERIENCES FROM THE LIVING LAB HAMBURG-ALTONA</t>
  </si>
  <si>
    <t>circular economy; urban regions; Multi-level governance; living labs; urban metabolism</t>
  </si>
  <si>
    <t>GOVERNANCE; ECONOMY</t>
  </si>
  <si>
    <t>10.18778/1231-1952.27.2.05</t>
  </si>
  <si>
    <t>Zucaro, A; Ripa, M; Mellino, S; Ascione, M; Ulgiati, S</t>
  </si>
  <si>
    <t>Zucaro, Amalia; Ripa, Maddalena; Mellino, Salvatore; Ascione, Marco; Ulgiati, Sergio</t>
  </si>
  <si>
    <t>Urban resource use and environmental performance indicators. An application of decomposition analysis</t>
  </si>
  <si>
    <t>Urban metabolism; LCA; Emergy; Decomposition analysis</t>
  </si>
  <si>
    <t>ENERGY-CONSUMPTION; SUSTAINABILITY; EMISSIONS; EMERGY; TRANSFORMITY; QUALITY; TIANJIN; GROWTH; SPACE; CITY</t>
  </si>
  <si>
    <t>10.1016/j.ecolind.2014.04.022</t>
  </si>
  <si>
    <t>Li, YX; Zhang, Y; Hao, Y; Wang, XJ</t>
  </si>
  <si>
    <t>Li, Yanxian; Zhang, Yan; Hao, Yan; Wang, Xinjing</t>
  </si>
  <si>
    <t>Exploring the processes in an urban material metabolism and interactions among sectors: An experimental study of Beijing, China</t>
  </si>
  <si>
    <t>Urban metabolism; Material flow analysis; Network analysis; Relationship analysis; Beijing</t>
  </si>
  <si>
    <t>ECOLOGICAL NETWORK ANALYSIS; SYSTEM MODEL DEVELOPMENT; INPUT-OUTPUT TABLES; STRUCTURAL CHARACTERISTICS; ENERGY-METABOLISM; NITROGEN-BALANCE; EMERGY SYNTHESIS; CITY; TORONTO; CITIES</t>
  </si>
  <si>
    <t>10.1016/j.ecolind.2018.12.019</t>
  </si>
  <si>
    <t>Toboso-Chavero, S; Villalba, G; Durany, XG; Madrid-López, C</t>
  </si>
  <si>
    <t>Toboso-Chavero, Susana; Villalba, Gara; Gabarrell Durany, Xavier; Madrid-Lopez, Cristina</t>
  </si>
  <si>
    <t>More than the sum of the parts: System analysis of the usability of roofs in housing estates</t>
  </si>
  <si>
    <t>industrial ecology; rainwater harvesting; renewable energy; roof mosaic; urban agriculture; urban metabolism</t>
  </si>
  <si>
    <t>CLIMATE-CHANGE ADAPTATION; LIFE-CYCLE ASSESSMENT; ENERGY-FOOD NEXUS; URBAN METABOLISM; RENEWABLE ENERGY; CITIES; CITY; IMPLEMENTATION; AGRICULTURE; MUSIASEM</t>
  </si>
  <si>
    <t>2021 OCT</t>
  </si>
  <si>
    <t>10.1111/jiec.13114</t>
  </si>
  <si>
    <t>MAR 2021</t>
  </si>
  <si>
    <t>Zhang, Z; Liu, J; Xiao, CY; Chen, GH</t>
  </si>
  <si>
    <t>Zhang, Zi; Liu, Jie; Xiao, Chengyu; Chen, Guanghao</t>
  </si>
  <si>
    <t>Making waves: Enhancing sustainability and resilience in coastal cities through the incorporation of seawater into urban metabolism</t>
  </si>
  <si>
    <t>WATER RESEARCH</t>
  </si>
  <si>
    <t>Seawater; Sanitation; Cooling; Water-energy nexus; Sustainability; Resilience</t>
  </si>
  <si>
    <t>CARBON NEXUS; WATER</t>
  </si>
  <si>
    <t>0043-1354</t>
  </si>
  <si>
    <t>1879-2448</t>
  </si>
  <si>
    <t>AUG 15</t>
  </si>
  <si>
    <t>10.1016/j.watres.2023.120140</t>
  </si>
  <si>
    <t>JUN 2023</t>
  </si>
  <si>
    <t>Liu, NY; Zhang, Y; Fath, BD</t>
  </si>
  <si>
    <t>Liu, Ningyin; Zhang, Yan; Fath, Brian D.</t>
  </si>
  <si>
    <t>The material metabolism characteristics and growth patterns of the central cities of China's Beijing-Tianjin-Hebei region</t>
  </si>
  <si>
    <t>Urban metabolism; Material flow analysis; Urban metabolic consumption; Driving factors; Decoupling analysis; Beijing-Tianjin-Hebei region</t>
  </si>
  <si>
    <t>MATERIAL FLOW-ANALYSIS; ECOLOGICAL NETWORK ANALYSIS; DECOUPLING ECONOMIC-GROWTH; SYSTEM MODEL DEVELOPMENT; CARBON-DIOXIDE EMISSION; DECOMPOSITION ANALYSIS; URBAN METABOLISM; CO2 EMISSIONS; SOCIOECONOMIC METABOLISM; ENERGY-CONSUMPTION</t>
  </si>
  <si>
    <t>2021 MAY 15</t>
  </si>
  <si>
    <t>10.1016/j.ecolmodel.2021.109532</t>
  </si>
  <si>
    <t>Goldstein, B; Birkved, M; Fernández, J; Hauschild, M</t>
  </si>
  <si>
    <t>Goldstein, Benjamin; Birkved, Morten; Fernandez, John; Hauschild, Michael</t>
  </si>
  <si>
    <t>Surveying the Environmental Footprint of Urban Food Consumption</t>
  </si>
  <si>
    <t>agriculture; cities; food consumption; foodprint; industrial ecology; urban metabolism</t>
  </si>
  <si>
    <t>GREENHOUSE-GAS EMISSION; MATERIAL FLOW-ANALYSIS; LIFE-CYCLE; SOLID-WASTE; LAND-USE; METABOLISM; CITY; PHOSPHORUS; NITROGEN; ENERGY</t>
  </si>
  <si>
    <t>10.1111/jiec.12384</t>
  </si>
  <si>
    <t>Leduc, WRWA; Van Kann, FMG</t>
  </si>
  <si>
    <t>Leduc, Wouter R. W. A.; Van Kann, Ferry M. G.</t>
  </si>
  <si>
    <t>Spatial planning based on urban energy harvesting toward productive urban regions</t>
  </si>
  <si>
    <t>Urban harvest approach; Urban planning; Renewable energy; Urban metabolism; Urban exergy; Resource management</t>
  </si>
  <si>
    <t>INDUSTRIAL ECOLOGY; SUSTAINABLE DEVELOPMENT; MANAGEMENT; RESOURCES; PRINCIPLES; SYSTEMS; EXERGY; CITIES; DESIGN; MODEL</t>
  </si>
  <si>
    <t>10.1016/j.jclepro.2012.09.014</t>
  </si>
  <si>
    <t>van Leeuwen, CJ; Frijns, J; van Wezel, A; van de Ven, FHM</t>
  </si>
  <si>
    <t>van Leeuwen, Cornelis J.; Frijns, Jos; van Wezel, Annemarie; van de Ven, Frans H. M.</t>
  </si>
  <si>
    <t>City Blueprints: 24 Indicators to Assess the Sustainability of the Urban Water Cycle</t>
  </si>
  <si>
    <t>WATER RESOURCES MANAGEMENT</t>
  </si>
  <si>
    <t>Sustainability; Water management; Climate change; Urban metabolism; Water footprint; City blueprint</t>
  </si>
  <si>
    <t>ECOSYSTEM SERVICES; MANAGEMENT; METABOLISM; VALUATION; WORLD</t>
  </si>
  <si>
    <t>0920-4741</t>
  </si>
  <si>
    <t>1573-1650</t>
  </si>
  <si>
    <t>10.1007/s11269-012-0009-1</t>
  </si>
  <si>
    <t>Wu, ZH; Xia, LL; Zhong, JY; Zhang, Y</t>
  </si>
  <si>
    <t>Wu, Zihao; Xia, Linlin; Zhong, Junye; Zhang, Yan</t>
  </si>
  <si>
    <t>An urban metabolism framework purpose to assess the dynamics of linear alkylbenzenes (LABs) discharge flows and driving forces at the city level in Guangdong province, China</t>
  </si>
  <si>
    <t>Linear alkylbenzenes (LABs); Molecular markers; Urban agglomeration; Urban metabolism; Dynamics and drivers</t>
  </si>
  <si>
    <t>PEARL RIVER DELTA; MOLECULAR MARKERS; COASTAL AREA; POLLUTION; ESTUARY; SEWAGE; SEDIMENTS; BAY</t>
  </si>
  <si>
    <t>2024 FEB 1</t>
  </si>
  <si>
    <t>10.1016/j.envpol.2023.123089</t>
  </si>
  <si>
    <t>Zucaro, A; Maselli, G; Ulgiati, S</t>
  </si>
  <si>
    <t>Zucaro, Amalia; Maselli, Gabriella; Ulgiati, Sergio</t>
  </si>
  <si>
    <t>Insights in Urban Resource Management: A Comprehensive Understanding of Unexplored Patterns</t>
  </si>
  <si>
    <t>urban resource management; urban metabolism; sustainable resource use; circular economy; well-being</t>
  </si>
  <si>
    <t>ECOSYSTEM SERVICES; URBANIZATION; METABOLISM; EFFICIENCY; STRATEGY; SYSTEM; NEXUS; LAND</t>
  </si>
  <si>
    <t>FEB 3</t>
  </si>
  <si>
    <t>10.3389/frsc.2021.807735</t>
  </si>
  <si>
    <t>Wang, XJ; Zhang, Y; Yu, XY</t>
  </si>
  <si>
    <t>Wang, Xinjing; Zhang, Yan; Yu, Xiangyi</t>
  </si>
  <si>
    <t>Characteristics of Tianjin's material metabolism from the perspective of ecological network analysis</t>
  </si>
  <si>
    <t>Urban material metabolism; Ecological network analysis; Inputs and outputs; Key nodes; Ecological relationships; Tianjin</t>
  </si>
  <si>
    <t>MULTIREGIONAL INPUT-OUTPUT; ENERGY-WATER NEXUS; URBAN METABOLISM; INDUSTRIAL PARK; FLOW-ANALYSIS; SYSTEM; MODEL; EMISSIONS; TABLES</t>
  </si>
  <si>
    <t>DEC 1</t>
  </si>
  <si>
    <t>10.1016/j.jclepro.2019.118115</t>
  </si>
  <si>
    <t>Langemeyer, J; Madrid-Lopez, C; Beltran, AM; Mendez, GV</t>
  </si>
  <si>
    <t>Langemeyer, Johannes; Madrid-Lopez, Cristina; Beltran, Angelica Mendoza; Mendez, Gara Villalba</t>
  </si>
  <si>
    <t>Urban agriculture ? A necessary pathway towards urban resilience and global sustainability?</t>
  </si>
  <si>
    <t>Urban agriculture; Food resilience; Urban metabolism; Environmental externalities; Ecosystem services</t>
  </si>
  <si>
    <t>FOOD; GARDENS; CITIES; URBANIZATION; IMPACTS; MODELS</t>
  </si>
  <si>
    <t>10.1016/j.landurbplan.2021.104055</t>
  </si>
  <si>
    <t>Páez, A</t>
  </si>
  <si>
    <t>Paez, Armando</t>
  </si>
  <si>
    <t>Energy-urban transition: The Mexican case</t>
  </si>
  <si>
    <t>ENERGY POLICY</t>
  </si>
  <si>
    <t>Energy transition; Post-petroleum cities; Mexican cities</t>
  </si>
  <si>
    <t>OIL; CITIES; COMPLEXITY</t>
  </si>
  <si>
    <t>0301-4215</t>
  </si>
  <si>
    <t>1873-6777</t>
  </si>
  <si>
    <t>10.1016/j.enpol.2010.07.053</t>
  </si>
  <si>
    <t>Economics; Energy &amp; Fuels; Environmental Sciences; Environmental Studies</t>
  </si>
  <si>
    <t>Kumdokrub, T; Carson, S; You, FQ</t>
  </si>
  <si>
    <t>Kumdokrub, Tikumporn; Carson, Sarah; You, Fengqi</t>
  </si>
  <si>
    <t>Cornell university campus metabolism and circular economy using a living laboratory approach to study major resource and material flows</t>
  </si>
  <si>
    <t>Circular economy; Urban metabolism; Energy; Food waste; Construction materials; Living laboratory; Food-water-energy nexus</t>
  </si>
  <si>
    <t>ENERGY-SYSTEMS; FOOD NEXUS; WATER; WASTE; MANAGEMENT</t>
  </si>
  <si>
    <t>2023 OCT 1</t>
  </si>
  <si>
    <t>10.1016/j.jclepro.2023.138469</t>
  </si>
  <si>
    <t>AUG 2023</t>
  </si>
  <si>
    <t>Hamlin, C</t>
  </si>
  <si>
    <t>Hamlin, Christopher</t>
  </si>
  <si>
    <t>The city as a chemical system? The chemist as urban environmental professional in France and Britain, 1780-1880</t>
  </si>
  <si>
    <t>chemistry as profession; urban planning; recycling; expert witnessing; nuisances</t>
  </si>
  <si>
    <t>PUBLIC-HEALTH; ENGLAND; SEWAGE; VICTORIANS; HISTORY</t>
  </si>
  <si>
    <t>10.1177/0096144207301416</t>
  </si>
  <si>
    <t>Goldstein, BP; Herbol, M; Figueroa, MJ</t>
  </si>
  <si>
    <t>Goldstein, Benjamin P.; Herbol, Mads; Figueroa, Maria J.</t>
  </si>
  <si>
    <t>Gaps in tools assessing the energy implications of renovation versus rebuilding decisions</t>
  </si>
  <si>
    <t>LIFE-CYCLE ENERGY; URBAN METABOLISM; SUSTAINABILITY; REGENERATION; SYSTEMS</t>
  </si>
  <si>
    <t>10.1016/j.cosust.2013.03.005</t>
  </si>
  <si>
    <t>Caldera, C; Ostorero, C; Manni, V; Galli, A; Valzano, LS</t>
  </si>
  <si>
    <t>Caldera, Carlo; Ostorero, Carlo; Manni, Valentino; Galli, Andrea; Valzano, Luca Saverio</t>
  </si>
  <si>
    <t>Cities in transformation. Computational urban planning through big data analytics</t>
  </si>
  <si>
    <t>City sensing; Datafication; Big Data analytics; Computational urban planning; Adaptive and inclusive urban planning</t>
  </si>
  <si>
    <t>10.13128/techne-10686</t>
  </si>
  <si>
    <t>Carrato-Gómez, A; Roig-Segovia, E</t>
  </si>
  <si>
    <t>Carrato-Gomez, Alfredo; Roig-Segovia, Eduardo</t>
  </si>
  <si>
    <t>From the sustainable city to the hub city: obsolescence and renewal of urban indicators</t>
  </si>
  <si>
    <t>CIUDAD Y TERRITORIO-ESTUDIOS TERRITORIALES-CYTET</t>
  </si>
  <si>
    <t>Sustainable development; Smart city; Urban metabolism; Hub city; Digital twin</t>
  </si>
  <si>
    <t>SMART CITIES; METABOLISM; COMMUNITIES; LESSONS; ENERGY</t>
  </si>
  <si>
    <t>1133-4762</t>
  </si>
  <si>
    <t>10.37230/CyTET.2022.213.3</t>
  </si>
  <si>
    <t>Gustafson, S</t>
  </si>
  <si>
    <t>Gustafson, Seth</t>
  </si>
  <si>
    <t>We dredge because it doesn't work: urban political ecology and the uneven geographies of sediment metabolism</t>
  </si>
  <si>
    <t>Urban political ecology; urban metabolism; dredging; metabolic rift; sediment</t>
  </si>
  <si>
    <t>INFRASTRUCTURE</t>
  </si>
  <si>
    <t>2021 SEP 14</t>
  </si>
  <si>
    <t>10.1080/02723638.2020.1748296</t>
  </si>
  <si>
    <t>APR 2020</t>
  </si>
  <si>
    <t>Colucci, D; Sacco, PL</t>
  </si>
  <si>
    <t>Colucci, Dalila; Sacco, Pier Luigi</t>
  </si>
  <si>
    <t>A Glint of Lights in the Fog: Invisible Cities and the Riddles of Planning Practice</t>
  </si>
  <si>
    <t>Italo Calvino; Invisible Cities; planning; urban complexity; narrative; urban embedding</t>
  </si>
  <si>
    <t>URBAN METABOLISM; CITY; PLACE; CONSERVATION; SUBJECTIVITY; EPISTEMOLOGY; ARCHITECTURE; REFLECTIONS; CALVINO; DESIGN</t>
  </si>
  <si>
    <t>2021 JUN 30</t>
  </si>
  <si>
    <t>10.1177/0739456X211027638</t>
  </si>
  <si>
    <t>JUN 2021</t>
  </si>
  <si>
    <t>Coccia, M</t>
  </si>
  <si>
    <t>Coccia, Mario</t>
  </si>
  <si>
    <t>Metabolism of Public Research Organizations: How Do Laboratories Consume State Subsidies?</t>
  </si>
  <si>
    <t>PUBLIC ORGANIZATION REVIEW</t>
  </si>
  <si>
    <t>Research laboratories; Research organizations; R&amp; D investments; Research funding; Research sector; Cost analysis; Cost of personnel; Economics of science; State subsidy; Metabolism; R&amp; D management</t>
  </si>
  <si>
    <t>RESEARCH-AND-DEVELOPMENT; DEVELOPMENT PERFORMANCE; POLITICAL-ECONOMY; URBAN METABOLISM; RESEARCH UNITS; RESEARCH LABS; BEHAVIOR; MODEL; MOTIVATION; MANAGEMENT</t>
  </si>
  <si>
    <t>1566-7170</t>
  </si>
  <si>
    <t>1573-7098</t>
  </si>
  <si>
    <t>10.1007/s11115-018-0421-y</t>
  </si>
  <si>
    <t>Public Administration</t>
  </si>
  <si>
    <t>Berruti, G; Palestino, MF</t>
  </si>
  <si>
    <t>Berruti, Gilda; Palestino, Maria Federica</t>
  </si>
  <si>
    <t>WASTELANDS AS AN OPPORTUNITY FOR MANAGING NAPLES' SUSTAINABLE TRANSITION</t>
  </si>
  <si>
    <t>wastescape regeneration; multilevel governance; waste circularity; transition management</t>
  </si>
  <si>
    <t>10.18778/1231-1952.27.2.03</t>
  </si>
  <si>
    <t>Rath, S; Swain, P</t>
  </si>
  <si>
    <t>Rath, Swatiprava; Swain, Pranaya</t>
  </si>
  <si>
    <t>Narrating Waste Chronicles Through Urban Ethnography: A Tale of Bhubaneswar</t>
  </si>
  <si>
    <t>URBANITIES-JOURNAL OF URBAN ETHNOGRAPHY</t>
  </si>
  <si>
    <t>Urban ethnography; municipal solid waste; urban metabolism; hybrid phenomena; political ecology</t>
  </si>
  <si>
    <t>2239-5725</t>
  </si>
  <si>
    <t>Anthropology</t>
  </si>
  <si>
    <t>Fenner, R; O'Donnell, E; Ahilan, S; Dawson, D; Kapetas, L; Krivtsov, V; Ncube, S; Vercruysse, K</t>
  </si>
  <si>
    <t>Fenner, Richard; O'Donnell, Emily; Ahilan, Sangaralingam; Dawson, David; Kapetas, Leon; Krivtsov, Vladimir; Ncube, Sikhululekile; Vercruysse, Kim</t>
  </si>
  <si>
    <t>Achieving Urban Flood Resilience in an Uncertain Future</t>
  </si>
  <si>
    <t>WATER</t>
  </si>
  <si>
    <t>blue-green infrastructure; flood risk management; sustainable; drainage systems; resilience; systems</t>
  </si>
  <si>
    <t>2073-4441</t>
  </si>
  <si>
    <t>10.3390/w11051082</t>
  </si>
  <si>
    <t>Environmental Sciences; Water Resources</t>
  </si>
  <si>
    <t>Borrett, SR</t>
  </si>
  <si>
    <t>Borrett, Stuart R.</t>
  </si>
  <si>
    <t>Throughflow centrality is a global indicator of the functional importance of species in ecosystems</t>
  </si>
  <si>
    <t>Input-output analysis; Food web; Trophic dynamics; Social network analysis; Ecological network analysis; Materials flow analysis; Foundational species</t>
  </si>
  <si>
    <t>ECOLOGICAL NETWORK ANALYSIS; NEUSE RIVER ESTUARY; HABITAT PATCHES; RESOURCE HOMOGENIZATION; POSITIONAL IMPORTANCE; 7-COMPARTMENT MODEL; DISTRIBUTED CONTROL; URBAN METABOLISM; NITROGEN FLOW; ENERGY-FLOW</t>
  </si>
  <si>
    <t>10.1016/j.ecolind.2013.03.014</t>
  </si>
  <si>
    <t>Zhang, LJ; Liu, GJ; Qin, YC</t>
  </si>
  <si>
    <t>Zhang Lijun; Liu Gangjun; Qin Yaochen</t>
  </si>
  <si>
    <t>Multi-scale integrated assessment of urban energy use and CO2 emissions</t>
  </si>
  <si>
    <t>JOURNAL OF GEOGRAPHICAL SCIENCES</t>
  </si>
  <si>
    <t>complex ecosystem; urban metabolism; carbon-based energy; CO2 emissions; accounting methods</t>
  </si>
  <si>
    <t>CARBON FOOTPRINT; CONSUMPTION; METABOLISM; CITIES; CITY; SCALE</t>
  </si>
  <si>
    <t>1009-637X</t>
  </si>
  <si>
    <t>1861-9568</t>
  </si>
  <si>
    <t>10.1007/s11442-014-1111-5</t>
  </si>
  <si>
    <t>Geography, Physical</t>
  </si>
  <si>
    <t>Rama, M; Entrena-Barbero, E; Dias, AC; Moreira, MT; Feijoo, G; González-García, S</t>
  </si>
  <si>
    <t>Rama, Manuel; Entrena-Barbero, Eduardo; Claudia Dias, Ana; Teresa Moreira, Maria; Feijoo, Gumersindo; Gonzalez-Garcia, Sara</t>
  </si>
  <si>
    <t>Evaluating the carbon footprint of a Spanish city through environmentally extended input output analysis and comparison with life cycle assessment</t>
  </si>
  <si>
    <t>Greenhouse gas emissions; Spain; Sustainable city; Urban environmental management; Urban metabolism</t>
  </si>
  <si>
    <t>MATERIAL FLOW-ANALYSIS; URBAN METABOLISM; SYSTEM; LCA</t>
  </si>
  <si>
    <t>2021 MAR 25</t>
  </si>
  <si>
    <t>10.1016/j.scitotenv.2020.143133</t>
  </si>
  <si>
    <t>Penazzi, S; Accorsi, R; Manzini, R</t>
  </si>
  <si>
    <t>Penazzi, Stefano; Accorsi, Riccardo; Manzini, Riccardo</t>
  </si>
  <si>
    <t>Planning low carbon urban-rural ecosystems: An integrated transport land-use model</t>
  </si>
  <si>
    <t>Transportation; Spatial-planning; Land-use; Food; Energy; Urban logistics</t>
  </si>
  <si>
    <t>ENVIRONMENTAL PERFORMANCE; ECOLOGICAL RELATIONSHIPS; RESIDENTIAL DENSITY; USE ALLOCATION; VEHICLE USAGE; METABOLISM; CITIES; CITY; FRAMEWORK; EMISSIONS</t>
  </si>
  <si>
    <t>OCT 20</t>
  </si>
  <si>
    <t>10.1016/j.jclepro.2019.06.252</t>
  </si>
  <si>
    <t>Newell, JP; Goldstein, B; Foster, A</t>
  </si>
  <si>
    <t>Newell, Joshua P.; Goldstein, Benjamin; Foster, Alec</t>
  </si>
  <si>
    <t>A 40-year review of food-energy-water nexus literature and its application to the urban scale</t>
  </si>
  <si>
    <t>food; energy; water; nexus; urban metabolism; literature review</t>
  </si>
  <si>
    <t>LAND-USE; ENVIRONMENTAL IMPACTS; SYSTEM DYNAMICS; VALUE CHAIN; METABOLISM; ECOLOGY; CONSUMPTION; INTERDISCIPLINARY; SUSTAINABILITY; BIODIESEL</t>
  </si>
  <si>
    <t>10.1088/1748-9326/ab0767</t>
  </si>
  <si>
    <t>Petit-Boix, A; Llorach-Massana, P; Sanjuan-Delmás, D; Sierra-Pérez, J; Vinyes, E; Gabarrell, X; Rieradevall, J; Sanyé-Mengual, E</t>
  </si>
  <si>
    <t>Petit-Boix, Anna; Llorach-Massana, Pere; Sanjuan-Delmas, David; Sierra-Perez, Jorge; Vinyes, Elisabet; Gabarrell, Xavier; Rieradevall, Joan; Sanye-Mengual, Esther</t>
  </si>
  <si>
    <t>Application of life cycle thinking towards sustainable cities: A review</t>
  </si>
  <si>
    <t>Sustainability; Life cycle assessment; Urban metabolism; Sustainable policy; Life cycle thinking</t>
  </si>
  <si>
    <t>GREENHOUSE-GAS EMISSIONS; OFFSETTING CARBON EMISSIONS; WASTE PREVENTION ACTIVITIES; DRINKING-WATER TRANSPORT; ENVIRONMENTAL ASSESSMENT; URBAN METABOLISM; ENERGY USE; DISTRIBUTION NETWORK; IMPACT ASSESSMENT; DECISION-MAKING</t>
  </si>
  <si>
    <t>10.1016/j.jclepro.2017.08.030</t>
  </si>
  <si>
    <t>Roy, NC; Thangaraj, V</t>
  </si>
  <si>
    <t>Roy, Neha Chhabra; Thangaraj, Viswanathan</t>
  </si>
  <si>
    <t>Dynamic interaction of urban development and rural-urban migration: an application of integrated urban metabolism analysis tool (IUMAT) for sustainable city planning</t>
  </si>
  <si>
    <t>DIGITAL POLICY REGULATION AND GOVERNANCE</t>
  </si>
  <si>
    <t>Urban development; Alternative scenarios; IUMAT model; Migration forces; Rural urban migration; Strategic city planning</t>
  </si>
  <si>
    <t>SMART GROWTH; POLICY; STATE; CHALLENGES; SCENARIOS; RAJASTHAN; ECOSYSTEM; LESSONS; SYSTEM; ENUGU</t>
  </si>
  <si>
    <t>2398-5038</t>
  </si>
  <si>
    <t>2398-5046</t>
  </si>
  <si>
    <t>2022 APR 6</t>
  </si>
  <si>
    <t>10.1108/DPRG-06-2020-0085</t>
  </si>
  <si>
    <t>Information Science &amp; Library Science</t>
  </si>
  <si>
    <t>Firmansyah, I; Spiller, M; de Ruijter, FJ; Carsjens, GJ; Zeeman, G</t>
  </si>
  <si>
    <t>Firmansyah, I.; Spiller, M.; de Ruijter, F. J.; Carsjens, G. J.; Zeeman, G.</t>
  </si>
  <si>
    <t>Assessment of nitrogen and phosphorus flows in agricultural and urban systems in a small island under limited data availability</t>
  </si>
  <si>
    <t>Substance Flow Analysis (SFA); Nitrogen; Phosphorus; Small island system; Urban-agriculture; Urban metabolism</t>
  </si>
  <si>
    <t>FOOD-PRODUCTION; LANDFILL LEACHATE; WASTE-WATER; STRUVITE CRYSTALLIZATION; ENVIRONMENTAL IMPACTS; DEVELOPING STATES; NUTRIENT FLOWS; CONSUMPTION; MANAGEMENT; EUTROPHICATION</t>
  </si>
  <si>
    <t>10.1016/j.scitotenv.2016.08.159</t>
  </si>
  <si>
    <t>Rallo, RF; Zucaro, A</t>
  </si>
  <si>
    <t>Rallo, Renato F.; Zucaro, Amalia</t>
  </si>
  <si>
    <t>Assessing the Energy Metabolism of Urban Systems: A Comparison of Napoli and Hong Kong Through the MuSIASEM Approach</t>
  </si>
  <si>
    <t>JOURNAL OF ENVIRONMENTAL ACCOUNTING AND MANAGEMENT</t>
  </si>
  <si>
    <t>Urban metabolism; MuSIASEM; Energy; Urban sustainability; Science of cities</t>
  </si>
  <si>
    <t>INTEGRATED ANALYSIS; REPRESENTATIONS; SCALE</t>
  </si>
  <si>
    <t>2325-6192</t>
  </si>
  <si>
    <t>2325-6206</t>
  </si>
  <si>
    <t>10.5890/JEAM.2019.06.005</t>
  </si>
  <si>
    <t>Green &amp; Sustainable Science &amp; Technology</t>
  </si>
  <si>
    <t>Lu, Y; Chen, B; Hayat, T; Alsaedi, A</t>
  </si>
  <si>
    <t>Lu, Yi; Chen, Bin; Hayat, Tasawar; Alsaedi, Ahmed</t>
  </si>
  <si>
    <t>Communal carbon metabolism: methodology and case study</t>
  </si>
  <si>
    <t>Carbon metabolism; Urban community; Carbon emission; Household consumption; Structural analysis</t>
  </si>
  <si>
    <t>GREENHOUSE-GAS EMISSIONS; LIFE-CYCLE ASSESSMENT; URBAN METABOLISM; ENERGY; CHINA; NEIGHBORHOOD; CONSUMPTION; HOUSEHOLDS; FOOTPRINT; DIOXIDE</t>
  </si>
  <si>
    <t>S315</t>
  </si>
  <si>
    <t>S321</t>
  </si>
  <si>
    <t>10.1016/j.jclepro.2015.10.137</t>
  </si>
  <si>
    <t>Ruiz-Puente, C</t>
  </si>
  <si>
    <t>Ruiz-Puente, Carmen</t>
  </si>
  <si>
    <t>Proposal of a Conceptual Model to Represent Urban-Industrial Systems from the Analysis of Existing Worldwide Experiences</t>
  </si>
  <si>
    <t>complex systems; industrial ecology; urban-industrial symbiosis; urban-industrial systems; urban metabolism</t>
  </si>
  <si>
    <t>SYMBIOSIS; BENEFITS; SUZHOU; CITY</t>
  </si>
  <si>
    <t>10.3390/su13169292</t>
  </si>
  <si>
    <t>Schott, D</t>
  </si>
  <si>
    <t>Urban environmental history: what lessons are there to be learnt?</t>
  </si>
  <si>
    <t>BOREAL ENVIRONMENT RESEARCH</t>
  </si>
  <si>
    <t>PERSPECTIVE</t>
  </si>
  <si>
    <t>1239-6095</t>
  </si>
  <si>
    <t>DEC 14</t>
  </si>
  <si>
    <t>Ziebell, AC; Singh, VK</t>
  </si>
  <si>
    <t>Ziebell, Arnfried Cardoso; Singh, Vivek Kumar</t>
  </si>
  <si>
    <t>Energy indicator in sustainable urban energy metabolism and challenges</t>
  </si>
  <si>
    <t>PROCEEDINGS OF THE INSTITUTION OF CIVIL ENGINEERS-ENERGY</t>
  </si>
  <si>
    <t>energy; sustainability; town &amp; city planning</t>
  </si>
  <si>
    <t>1751-4223</t>
  </si>
  <si>
    <t>1751-4231</t>
  </si>
  <si>
    <t>10.1680/jener.17.00010</t>
  </si>
  <si>
    <t>Heynen, N</t>
  </si>
  <si>
    <t>Heynen, Nik</t>
  </si>
  <si>
    <t>Urban political ecology I: The urban century</t>
  </si>
  <si>
    <t>cities; political ecology; urban geography; urban metabolism; urban political ecology (UPE)</t>
  </si>
  <si>
    <t>AIR-POLLUTION; WATER; CITY; URBANIZATION; METABOLISM; SECURITY; GARDENS; NATURES; JUSTICE; FUTURE</t>
  </si>
  <si>
    <t>10.1177/0309132513500443</t>
  </si>
  <si>
    <t>Maiolo, M; Capano, G; De Cicco, R</t>
  </si>
  <si>
    <t>Maiolo, Mario; Capano, Gilda; De Cicco, Rita</t>
  </si>
  <si>
    <t>Metabolic Approach for Estimating the Environmental Loads Associated with Water Distribution Network of Rende: Life Cyle Assessment Application with Impact 2002</t>
  </si>
  <si>
    <t>Metabolic model; Sustainable water management; Material; energy flows; Life cycle assessment; Metabolism cost</t>
  </si>
  <si>
    <t>URBAN METABOLISM; CYCLE ASSESSMENT</t>
  </si>
  <si>
    <t>10.13044/j.sdewes.d8.0323</t>
  </si>
  <si>
    <t>Molina-Prieto, LF; Suárez-Serrano, M; Villa-Camacho, ME</t>
  </si>
  <si>
    <t>Fernando Molina-Prieto, Luis; Suarez-Serrano, Monica; Eugenia Villa-Camacho, Maria</t>
  </si>
  <si>
    <t>Multidisciplinary loop for urban sustainability</t>
  </si>
  <si>
    <t>REVISTA DE ARQUITECTURA</t>
  </si>
  <si>
    <t>Resilient cities; inclusive development; sustainable urban development; urban environmental management; urban planning; environmental psychology</t>
  </si>
  <si>
    <t>METABOLISM; SYSTEM; CITY</t>
  </si>
  <si>
    <t>10.14718/RevArq.2019.21.2.2048</t>
  </si>
  <si>
    <t>Zhai, MY; Huang, GH; Liu, LR; Zhang, X</t>
  </si>
  <si>
    <t>Zhai, Mengyu; Huang, Guohe; Liu, Lirong; Zhang, Xin</t>
  </si>
  <si>
    <t>Ecological network analysis of an energy metabolism system based on input-output tables: Model development and case study for Guangdong</t>
  </si>
  <si>
    <t>Energy metabolism system; Ecological network analysis; Input-output analysis; Guangdong</t>
  </si>
  <si>
    <t>CARBON EMISSIONS; URBAN METABOLISM; SUPPLY SECURITY; WATER FOOTPRINT; GLOBAL CHANGE; LAND-USE; CONSUMPTION; PROVINCE; SUSTAINABILITY; MANAGEMENT</t>
  </si>
  <si>
    <t>10.1016/j.jclepro.2019.04.039</t>
  </si>
  <si>
    <t>Neves, D; Baptista, P; Gomes, R; Cunha, S; Sandoval-Reyes, M; Fernandes, DV; Rolim, C; Silva, CA</t>
  </si>
  <si>
    <t>Neves, Diana; Baptista, Patricia; Gomes, Ricardo; Cunha, Sonia; Sandoval-Reyes, Mexitli; Fernandes, Diana Vieira; Rolim, Catarina; Silva, Carlos A.</t>
  </si>
  <si>
    <t>MetaExplorer: Collaborative development of urban metabolism platform for decision making support</t>
  </si>
  <si>
    <t>ENERGY STRATEGY REVIEWS</t>
  </si>
  <si>
    <t>Data analysis; Data visualisation; Urban planning; Energy transition; Cross-sectorial analysis</t>
  </si>
  <si>
    <t>MODELING PLATFORM; ENERGY; FRAMEWORK; CONSUMPTION; STRATEGIES; LESSONS</t>
  </si>
  <si>
    <t>2211-467X</t>
  </si>
  <si>
    <t>2211-4688</t>
  </si>
  <si>
    <t>10.1016/j.esr.2022.101041</t>
  </si>
  <si>
    <t>Sreeharsha, RV; Mohan, SV</t>
  </si>
  <si>
    <t>Sreeharsha, Rachapudi Venkata; Mohan, S. Venkata</t>
  </si>
  <si>
    <t>Symbiotic integration of bioprocesses to design a self-sustainable life supporting ecosystem in a circular economy framework</t>
  </si>
  <si>
    <t>BIORESOURCE TECHNOLOGY</t>
  </si>
  <si>
    <t>Urban Ecology; Microalgae; Ecological Engineering; Carbon fixation; Industrial Ecology</t>
  </si>
  <si>
    <t>ELEVATED CO2; PHOTOSYSTEM-II; WASTE-WATER; CHLOROPHYLL FLUORESCENCE; URBAN METABOLISM; ORGANIC FRACTION; FARMING SYSTEMS; GAS-EXCHANGE; PHOTOSYNTHESIS; SPACE</t>
  </si>
  <si>
    <t>0960-8524</t>
  </si>
  <si>
    <t>1873-2976</t>
  </si>
  <si>
    <t>10.1016/j.biortech.2021.124712</t>
  </si>
  <si>
    <t>Agricultural Engineering; Biotechnology &amp; Applied Microbiology; Energy &amp; Fuels</t>
  </si>
  <si>
    <t>Lookingbill, TR; Kaushal, SS; Elmore, AJ; Gardner, R; Eshleman, KN; Hilderbrand, RH; Morgan, RP; Boynton, WR; Palmer, MA; Dennison, WC</t>
  </si>
  <si>
    <t>Lookingbill, Todd R.; Kaushal, Sujay S.; Elmore, Andrew J.; Gardner, Robert; Eshleman, Keith N.; Hilderbrand, Robert H.; Morgan, Raymond P.; Boynton, Walter R.; Palmer, Margaret A.; Dennison, William C.</t>
  </si>
  <si>
    <t>Altered Ecological Flows Blur Boundaries in Urbanizing Watersheds</t>
  </si>
  <si>
    <t>ECOLOGY AND SOCIETY</t>
  </si>
  <si>
    <t>catchment ecology; Chesapeake Bay; interdisciplinary science; large river; Potomac River; restoration; urban metabolism</t>
  </si>
  <si>
    <t>LAND-USE CHANGE; CHESAPEAKE BAY; UNITED-STATES; HISTORICAL TRENDS; N-RETENTION; RIVER-BASIN; NITROGEN; MANAGEMENT; URBANIZATION; RESTORATION</t>
  </si>
  <si>
    <t>1708-3087</t>
  </si>
  <si>
    <t>Ecology; Environmental Studies</t>
  </si>
  <si>
    <t>Fung, M; Kennedy, CA</t>
  </si>
  <si>
    <t>An integrated macroeconomic model for assessing urban sustainability</t>
  </si>
  <si>
    <t>GREATER TORONTO AREA; HONG-KONG; LAND-USE; METABOLISM; CITIES; FRAMEWORK; ECOSYSTEM</t>
  </si>
  <si>
    <t>10.1068/b31113</t>
  </si>
  <si>
    <t>Li, SS; Zhang, Y; Yang, ZF; Liu, H; Zhang, JY</t>
  </si>
  <si>
    <t>Li, Shengsheng; Zhang, Yan; Yang, Zhifeng; Liu, Hong; Zhang, Jinyun</t>
  </si>
  <si>
    <t>Ecological relationship analysis of the urban metabolic system of Beijing, China</t>
  </si>
  <si>
    <t>Systematic ecology; Urban metabolism; Ecological networks; Relationship analysis; Utility analysis; Synergism; Beijing</t>
  </si>
  <si>
    <t>NETWORK ANALYSIS; FLOW; ECOSYSTEMS; NITROGEN; CITIES; ENERGY; MODEL; AREA</t>
  </si>
  <si>
    <t>10.1016/j.envpol.2012.07.010</t>
  </si>
  <si>
    <t>The Energy for Growing and Maintaining Cities</t>
  </si>
  <si>
    <t>Urban energy; Urban economics; Maintenance and growth; Scaling; Urban metabolism; Sustainable cities</t>
  </si>
  <si>
    <t>NONLINEAR-REGRESSION; CONFIDENCE-INTERVALS; MONTE-CARLO; GROWTH; METABOLISM; LIFE; LAWS; AIR</t>
  </si>
  <si>
    <t>10.1007/s13280-012-0350-x</t>
  </si>
  <si>
    <t>Zhou, P; Chang, Y</t>
  </si>
  <si>
    <t>Zhou, Peng; Chang, Yuan</t>
  </si>
  <si>
    <t>Automated classification of building structures for urban built environment identification using machine learning</t>
  </si>
  <si>
    <t>JOURNAL OF BUILDING ENGINEERING</t>
  </si>
  <si>
    <t>Urban form; Built environment; Building structures; Geographic information system; Automated classification; Machine learning</t>
  </si>
  <si>
    <t>2352-7102</t>
  </si>
  <si>
    <t>10.1016/j.jobe.2021.103008</t>
  </si>
  <si>
    <t>Ramos, RD; Barros, MNM; Rufino, IAA; da Costa, FF; Cordao, MJD</t>
  </si>
  <si>
    <t>Ramos Filho, Rivaildo da Silva; Barros Filho, Mauro Normando Macedo; Rufino, Iana Alexandra Alves; da Costa, Fagner Franca; Cordao, Maria Jose de Sousa</t>
  </si>
  <si>
    <t>Urban water insecurity drivers in the Brazilian semi-arid</t>
  </si>
  <si>
    <t>WATER SUPPLY</t>
  </si>
  <si>
    <t>Brazilian semi-arid; flow duration curve; scale issues; urban water security index; water supply</t>
  </si>
  <si>
    <t>1606-9749</t>
  </si>
  <si>
    <t>1607-0798</t>
  </si>
  <si>
    <t>10.2166/ws.2023.015</t>
  </si>
  <si>
    <t>JAN 2023</t>
  </si>
  <si>
    <t>Baker, AC</t>
  </si>
  <si>
    <t>Baker, Andrew C.</t>
  </si>
  <si>
    <t>Metropolitan Growth Along the Nation's River: Power, Waste, and Environmental Politics in a Northern Virginia County, 1943-1971</t>
  </si>
  <si>
    <t>Urban metabolism; urban imperialism; metropolitan region; Potomac River; Washington, DC; Army Corps of Engineers; water pollution; water supply</t>
  </si>
  <si>
    <t>10.1177/0096144215601054</t>
  </si>
  <si>
    <t>Lin, T; Gibson, V; Cui, SH; Yu, CP; Chen, SH; Ye, ZL; Zhu, YG</t>
  </si>
  <si>
    <t>Lin, Tao; Gibson, Valerie; Cui, Shenghui; Yu, Chang-Ping; Chen, Shaohua; Ye, Zhilong; Zhu, Yong-Guan</t>
  </si>
  <si>
    <t>Managing urban nutrient biogeochemistry for sustainable urbanization</t>
  </si>
  <si>
    <t>Urban metabolism; Nitrogen; Phosphorus; Biogeochemistry; Sustainable urbanization</t>
  </si>
  <si>
    <t>WASTE-WATER; COMMUNITY STRUCTURE; NITROGEN FOOTPRINT; FOOD-CONSUMPTION; CHINA FOOD; METABOLISM; PHOSPHORUS; SECURITY; AGRICULTURE; MANAGEMENT</t>
  </si>
  <si>
    <t>10.1016/j.envpol.2014.03.038</t>
  </si>
  <si>
    <t>Buck, NT; While, A</t>
  </si>
  <si>
    <t>Taylor Buck, Nick; While, Aidan</t>
  </si>
  <si>
    <t>The urban bioeconomy: extracting value from the ecological and biophysical</t>
  </si>
  <si>
    <t>cities; environmental value; bioeconomy; circular economy; value from waste</t>
  </si>
  <si>
    <t>ECOSYSTEM SERVICES; CITY; INNOVATION; POLICIES; ECONOMY; FOOD; PERSPECTIVES; AGRICULTURE; TRANSITION; CHALLENGE</t>
  </si>
  <si>
    <t>2021 JAN 28</t>
  </si>
  <si>
    <t>10.1080/09640568.2020.1763931</t>
  </si>
  <si>
    <t>JUL 2020</t>
  </si>
  <si>
    <t>Opschoor, H</t>
  </si>
  <si>
    <t>Opschoor, Hans</t>
  </si>
  <si>
    <t>Local sustainable development and carbon neutrality in cities in developing and emerging countries</t>
  </si>
  <si>
    <t>sustainable cities; low-carbon cities; urban development; climate change</t>
  </si>
  <si>
    <t>XIAMEN</t>
  </si>
  <si>
    <t>PII 938524076</t>
  </si>
  <si>
    <t>10.1080/13504509.2011.570800</t>
  </si>
  <si>
    <t>Kampelmann, S</t>
  </si>
  <si>
    <t>Kampelmann, Stephan</t>
  </si>
  <si>
    <t>Knock on wood: Business models for urban wood could overcome financing and governance challenges faced by nature-based solutions</t>
  </si>
  <si>
    <t>URBAN FORESTRY &amp; URBAN GREENING</t>
  </si>
  <si>
    <t>Brussels; Case studies; Circular economy; Local wood; Montreal; Natural resource management; Sustainable business models; Urban economy; Urban forests; Urban wood movement; Urban metabolism</t>
  </si>
  <si>
    <t>INNOVATION</t>
  </si>
  <si>
    <t>1618-8667</t>
  </si>
  <si>
    <t>1610-8167</t>
  </si>
  <si>
    <t>2021 JUL</t>
  </si>
  <si>
    <t>10.1016/j.ufug.2021.127108</t>
  </si>
  <si>
    <t>APR 2021</t>
  </si>
  <si>
    <t>Plant Sciences; Environmental Studies; Forestry; Urban Studies</t>
  </si>
  <si>
    <t>Gorostiza, S; March, H; Sauri, D</t>
  </si>
  <si>
    <t>Gorostiza, Santiago; March, Hug; Sauri, David</t>
  </si>
  <si>
    <t>Urban Ecology Under Fire: Water Supply in Madrid During the Spanish Civil War (1936-1939)</t>
  </si>
  <si>
    <t>ANTIPODE</t>
  </si>
  <si>
    <t>urban water management; infrastructure disruptions; Urban Political Ecology; Spanish Civil War; Madrid</t>
  </si>
  <si>
    <t>POLITICAL ECOLOGY; GEOGRAPHY; CITY</t>
  </si>
  <si>
    <t>0066-4812</t>
  </si>
  <si>
    <t>1467-8330</t>
  </si>
  <si>
    <t>10.1111/anti.12111</t>
  </si>
  <si>
    <t>van der Hoek, JP; Struker, A; de Danschutter, JEM</t>
  </si>
  <si>
    <t>van der Hoek, J. P.; Struker, A.; de Danschutter, J. E. M.</t>
  </si>
  <si>
    <t>Amsterdam as a sustainable European metropolis: integration of water, energy and material flows</t>
  </si>
  <si>
    <t>Circular economy; energy; sustainability; urban metabolism; waste; water</t>
  </si>
  <si>
    <t>DRINKING-WATER; URBAN; METABOLISM; CYCLE</t>
  </si>
  <si>
    <t>10.1080/1573062X.2015.1076858</t>
  </si>
  <si>
    <t>Arboleda, M</t>
  </si>
  <si>
    <t>Arboleda, Martn</t>
  </si>
  <si>
    <t>The biopolitical production of the city: urban political ecology in the age of immaterial labour</t>
  </si>
  <si>
    <t>ENVIRONMENT AND PLANNING D-SOCIETY &amp; SPACE</t>
  </si>
  <si>
    <t>immaterial labour; urban political ecology; Michael Hardt; Antonio Negri; urban metabolism; biopolitics</t>
  </si>
  <si>
    <t>JUSTICE</t>
  </si>
  <si>
    <t>0263-7758</t>
  </si>
  <si>
    <t>1472-3433</t>
  </si>
  <si>
    <t>10.1068/d13188p</t>
  </si>
  <si>
    <t>Environmental Studies; Geography</t>
  </si>
  <si>
    <t>Wood(s): Imagining How a Materials Bank can Catalyse Circular Timber Flows in Leuven, Belgium</t>
  </si>
  <si>
    <t>Leuven; wood materials bank; Brabant forests; circular city; urban and landscape development</t>
  </si>
  <si>
    <t>2021 SEP 24</t>
  </si>
  <si>
    <t>10.1080/13264826.2021.1973049</t>
  </si>
  <si>
    <t>SEP 2021</t>
  </si>
  <si>
    <t>Huber, MT; Currie, TM</t>
  </si>
  <si>
    <t>Huber, Matthew T.; Currie, Timothy M.</t>
  </si>
  <si>
    <t>The urbanization of an idea: Imagining nature through urban growth boundary policy in Portland, Oregon</t>
  </si>
  <si>
    <t>urbanization; imaginary; nature; urban growth boundary; Portland (Oregon)</t>
  </si>
  <si>
    <t>ENTREPRENEURIAL CITY; SPACES; NEOLIBERALISM; POLITICS; SCALE; GREEN</t>
  </si>
  <si>
    <t>NOV-DEC</t>
  </si>
  <si>
    <t>10.2747/0272-3638.28.8.705</t>
  </si>
  <si>
    <t>Fonseca, FC; Pérez, RR; Rodríguez, JP; Bernal, JFP; Cárcel-Carrasco, J</t>
  </si>
  <si>
    <t>Fonseca, Fabiola Colmenero; Perez, Ramiro Rodriguez; Rodriguez, Juana Perlaza; Bernal, Juan Francisco Palomino; Carcel-Carrasco, Javier</t>
  </si>
  <si>
    <t>Sustainable Built Environments: Building Information Modeling, Biomaterials, and Regenerative Practices in Mexico</t>
  </si>
  <si>
    <t>BIM; multi-scale analysis of society and ecosystem metabolism (MuSIASEM); circular urbanism; green building; materials catalog</t>
  </si>
  <si>
    <t>URBAN METABOLISM; CITIES</t>
  </si>
  <si>
    <t>10.3390/buildings14010202</t>
  </si>
  <si>
    <t>Fang, CL; Ren, YF</t>
  </si>
  <si>
    <t>Fang ChuangLin; Ren Yufei</t>
  </si>
  <si>
    <t>Analysis of emergy-based metabolic efficiency and environmental pressure on the local coupling and telecoupling between urbanization and the eco-environment in the Beijing-Tianjin-Hebei urban agglomeration</t>
  </si>
  <si>
    <t>SCIENCE CHINA-EARTH SCIENCES</t>
  </si>
  <si>
    <t>Urbanization; Eco-environment; Local coupling and telecoupling; Total metabolic emergy value; Metabolic emergy intensity; Environmental pressure; Beijing-Tianjin-Hebei urban agglomeration</t>
  </si>
  <si>
    <t>SUSTAINABILITY; KUZNETS; ENERGY</t>
  </si>
  <si>
    <t>1674-7313</t>
  </si>
  <si>
    <t>1869-1897</t>
  </si>
  <si>
    <t>10.1007/s11430-016-9038-6</t>
  </si>
  <si>
    <t>Geosciences, Multidisciplinary</t>
  </si>
  <si>
    <t>Pietta, A; Tononi, M</t>
  </si>
  <si>
    <t>Pietta, Antonella; Tononi, Marco</t>
  </si>
  <si>
    <t>Re-Naturing the City: Linking Urban Political Ecology and Cultural Ecosystem Services</t>
  </si>
  <si>
    <t>urban nature; urban political ecology; urban metabolism; cultural ecosystem services; participatory mapping; re-naturalized areas</t>
  </si>
  <si>
    <t>BROWNFIELD DEVELOPMENT; PARTICIPATION; CITIES; LANDSCAPES; PERCEPTION; PARKS; BIODIVERSITY; GOVERNANCE; FRAMEWORK; CITIZENS</t>
  </si>
  <si>
    <t>10.3390/su13041786</t>
  </si>
  <si>
    <t>Ohms, P; Andersen, C; Landgren, M; Birkved, M</t>
  </si>
  <si>
    <t>Ohms, Pernille; Andersen, Camilla; Landgren, Mathilde; Birkved, Morten</t>
  </si>
  <si>
    <t>Decision support for large-scale remediation strategies by fused urban metabolism and life cycle assessment</t>
  </si>
  <si>
    <t>Decision support; Hazardous building materials; PCBs; Remediation techniques; Renovation; UM-LCA</t>
  </si>
  <si>
    <t>10.1007/s11367-018-1445-9</t>
  </si>
  <si>
    <t>Zhang, L; Lin, XH; Xiao, Y; Lin, ZY</t>
  </si>
  <si>
    <t>Zhang, Lu; Lin, Xuehan; Xiao, Yao; Lin, Zhiyue</t>
  </si>
  <si>
    <t>Spatial and structural characteristics of the ecological network of carbon metabolism of cultivated land based on land use and cover change: a case study of Nanchang, China</t>
  </si>
  <si>
    <t>Carbon metabolism of cultivated land (CMCL); Land use and cover change (LUCC); Ecological network analysis (ENA); Dual carbon goals; Carbon reduction</t>
  </si>
  <si>
    <t>URBAN METABOLISM; SEQUESTRATION; EMISSIONS; PATTERNS; INPUT; MODEL; CONSOLIDATION; URBANIZATION; AGRICULTURE; ENHANCEMENT</t>
  </si>
  <si>
    <t>1614-7499</t>
  </si>
  <si>
    <t>2023 MAR</t>
  </si>
  <si>
    <t>10.1007/s11356-022-24307-8</t>
  </si>
  <si>
    <t>Hritonenko, V; Yatsenko, Y</t>
  </si>
  <si>
    <t>Hritonenko, Victoria; Yatsenko, Yuri</t>
  </si>
  <si>
    <t>Sustainable adaptation and mitigation in regions and cities: Review of decision-support methods</t>
  </si>
  <si>
    <t>RESOURCES CONSERVATION &amp; RECYCLING ADVANCES</t>
  </si>
  <si>
    <t>Environmental adaptation; Pollution mitigation; Decision support; Regional management; Urban economics</t>
  </si>
  <si>
    <t>CLIMATE-CHANGE; URBAN METABOLISM; TRADE-OFFS; ECOLOGICAL FOOTPRINTS; CO2 EMISSIONS; POLICY; IMPLEMENTATION; PRODUCTIVITY; CONSUMPTION; POPULATION</t>
  </si>
  <si>
    <t>2667-3789</t>
  </si>
  <si>
    <t>10.1016/j.rcradv.2022.200066</t>
  </si>
  <si>
    <t>Lu, Y; Chen, B</t>
  </si>
  <si>
    <t>Lu, Yi; Chen, Bin</t>
  </si>
  <si>
    <t>Urban ecological footprint prediction based on the Markov chain</t>
  </si>
  <si>
    <t>Ecological footprint; Urban metabolism; Land metabolism; System dynamics</t>
  </si>
  <si>
    <t>LAND-USE CHANGE; INPUT-OUTPUT-ANALYSIS; ECONOMIC-SYSTEMS; ENERGY-CONSUMPTION; CHINESE SOCIETY; DYNAMIC-MODEL; TIME-SERIES; METABOLISM; CITIES; REGIONS</t>
  </si>
  <si>
    <t>10.1016/j.jclepro.2016.03.034</t>
  </si>
  <si>
    <t>Vázquez-Rodríguez, GA</t>
  </si>
  <si>
    <t>Vazquez-Rodriguez, Gabriela-Alejandra</t>
  </si>
  <si>
    <t>Community Action Against the garbagization of Hidalgo, Mexico</t>
  </si>
  <si>
    <t>LETRAS VERDES</t>
  </si>
  <si>
    <t>environmental conflicts; environmental justice; municipal solid waste; sacrifice zones; urban metabolism; wastewater</t>
  </si>
  <si>
    <t>1390-6631</t>
  </si>
  <si>
    <t>10.17141/letrasverdes.34.2023.5960</t>
  </si>
  <si>
    <t>Ergun, D; Gorgolewski, M</t>
  </si>
  <si>
    <t>Ergun, Deniz; Gorgolewski, Mark</t>
  </si>
  <si>
    <t>Inventorying Toronto's single detached housing stocks to examine the availability of clay brick for urban mining</t>
  </si>
  <si>
    <t>Recycle; Reuse; Urban metabolism; Urban mining</t>
  </si>
  <si>
    <t>METABOLISM; AGGREGATE; CONSTRUCTION; CONCRETE; CITIES</t>
  </si>
  <si>
    <t>10.1016/j.wasman.2015.03.036</t>
  </si>
  <si>
    <t>Zhang, A</t>
  </si>
  <si>
    <t>Zhang, Amy</t>
  </si>
  <si>
    <t>CIRCULARITY AND ENCLOSURES: Metabolizing Waste with the Black Soldier Fly</t>
  </si>
  <si>
    <t>CULTURAL ANTHROPOLOGY</t>
  </si>
  <si>
    <t>waste; metabolism; cities; the circular economy; multispecies ethnography; China; urban political ecology; biocapital</t>
  </si>
  <si>
    <t>URBAN; INFRASTRUCTURE; BIOPOLITICS; ECOLOGIES; POLITICS; LABOR; MEAT</t>
  </si>
  <si>
    <t>0886-7356</t>
  </si>
  <si>
    <t>1548-1360</t>
  </si>
  <si>
    <t>10.14506/ca35.1.08</t>
  </si>
  <si>
    <t>Eisenmenger, N; Warr, B; Magerl, A</t>
  </si>
  <si>
    <t>Eisenmenger, Nina; Warr, Benjamin; Magerl, Andreas</t>
  </si>
  <si>
    <t>Trends in Austrian Resource Efficiency An Exergy and Useful Work Analysis in Comparison to Material Use, CO2 Emissions, and Land Use</t>
  </si>
  <si>
    <t>Austria; exergy; energy analysis; resource efficiency; resource productivity; sustainable resource use</t>
  </si>
  <si>
    <t>MATERIAL FLOW-ANALYSIS; URBAN METABOLISM; UNCERTAINTY</t>
  </si>
  <si>
    <t>10.1111/jiec.12474</t>
  </si>
  <si>
    <t>Spang, ES; Loge, FJ</t>
  </si>
  <si>
    <t>Spang, Edward S.; Loge, Frank J.</t>
  </si>
  <si>
    <t>A High-Resolution Approach to Mapping Energy Flows through Water Infrastructure Systems</t>
  </si>
  <si>
    <t>energy efficiency; industrial ecology; systems analysis; urban metabolism; water conservation; water-energy nexus</t>
  </si>
  <si>
    <t>10.1111/jiec.12240</t>
  </si>
  <si>
    <t>Akpabio, EM; Udom, ES</t>
  </si>
  <si>
    <t>Akpabio, Emmanuel M.; Udom, Ekerette S.</t>
  </si>
  <si>
    <t>'Borehole Race' and the Dilemma of Governing the 'Ungoverned': Understanding the Urban Political Ecology of Groundwater Exploitation in Nigeria</t>
  </si>
  <si>
    <t>SOCIETY &amp; NATURAL RESOURCES</t>
  </si>
  <si>
    <t>Akwa Ibom State; environmental changes; groundwater resources; Nigeria; political ecology; Uyo</t>
  </si>
  <si>
    <t>0894-1920</t>
  </si>
  <si>
    <t>1521-0723</t>
  </si>
  <si>
    <t>10.1080/08941920.2018.1475586</t>
  </si>
  <si>
    <t>Development Studies; Environmental Studies; Regional &amp; Urban Planning; Sociology</t>
  </si>
  <si>
    <t>López-Mesa, B</t>
  </si>
  <si>
    <t>Lopez-Mesa, Belinda</t>
  </si>
  <si>
    <t>FROM FOSSIL FUEL SOCIETY TO LOW-CARBON SOCIETY: SMART CITIES AS A FACILITATING STRATEGY</t>
  </si>
  <si>
    <t>ARBOR-CIENCIA PENSAMIENTO Y CULTURA</t>
  </si>
  <si>
    <t>Decarbonisation; digitalisation; industrial revolutions; energy transition; smart city</t>
  </si>
  <si>
    <t>0210-1963</t>
  </si>
  <si>
    <t>1988-303X</t>
  </si>
  <si>
    <t>JAN-JUN</t>
  </si>
  <si>
    <t>a636</t>
  </si>
  <si>
    <t>10.3989/arbor.2022.803-804003</t>
  </si>
  <si>
    <t>Humanities, Multidisciplinary</t>
  </si>
  <si>
    <t>Gutiérez-Antinopai, F; Barton, JR</t>
  </si>
  <si>
    <t>Gutierrez-Antinopai, Felipe; Barton, Jonathan R.</t>
  </si>
  <si>
    <t>How much consumption does well-being entail? An urban geography based on a Sustainability Index for municipalities in Chile</t>
  </si>
  <si>
    <t>REVISTA DE GEOGRAFIA NORTE GRANDE</t>
  </si>
  <si>
    <t>urban sustainability; indicator system; well-being; consumption; municipal</t>
  </si>
  <si>
    <t>QUALITY-OF-LIFE; ECONOMIC-GROWTH; METABOLISM; EMISSION</t>
  </si>
  <si>
    <t>0379-8682</t>
  </si>
  <si>
    <t>0718-3402</t>
  </si>
  <si>
    <t>Geography; Geography, Physical</t>
  </si>
  <si>
    <t>Dharia, NV</t>
  </si>
  <si>
    <t>Dharia, Namita Vijay</t>
  </si>
  <si>
    <t>EMBODIED URBANISMS: Corruption and the Ecologies of Eating and Excreting in India's Real Estate Economies</t>
  </si>
  <si>
    <t>construction; labor; corruption; urban metabolism; body</t>
  </si>
  <si>
    <t>METABOLIC RIFT; POLITICS; WASTE; STATES; WORLD; SPACE; LIFE</t>
  </si>
  <si>
    <t>10.14506/ca36.4.11</t>
  </si>
  <si>
    <t>Duan, CC; Chen, B; Feng, KS; Liu, Z; Hayat, T; Alsaedi, A; Ahmad, B</t>
  </si>
  <si>
    <t>Duan, Cuncun; Chen, Bin; Feng, Kuishuang; Liu, Zhu; Hayat, Tasawar; Alsaedi, Ahmed; Ahmad, Bashir</t>
  </si>
  <si>
    <t>Interregional carbon flows of China</t>
  </si>
  <si>
    <t>Carbon emission; Ecological network analysis; Input-output model</t>
  </si>
  <si>
    <t>INPUT-OUTPUT-ANALYSIS; ECOLOGICAL NETWORK ANALYSIS; LIFE-CYCLE ASSESSMENT; NEUSE RIVER ESTUARY; INTERNATIONAL-TRADE; DISTRIBUTED CONTROL; ENVIRONMENTAL IMPACTS; 7-COMPARTMENT MODEL; URBAN METABOLISM; NITROGEN FLOW</t>
  </si>
  <si>
    <t>10.1016/j.apenergy.2018.01.028</t>
  </si>
  <si>
    <t>Norra, S</t>
  </si>
  <si>
    <t>Norra, Stefan</t>
  </si>
  <si>
    <t>Urban geochemistry news in brief</t>
  </si>
  <si>
    <t>ENVIRONMENTAL EARTH SCIENCES</t>
  </si>
  <si>
    <t>1866-6280</t>
  </si>
  <si>
    <t>1866-6299</t>
  </si>
  <si>
    <t>10.1007/s12665-013-2866-1</t>
  </si>
  <si>
    <t>Environmental Sciences; Geosciences, Multidisciplinary; Water Resources</t>
  </si>
  <si>
    <t>Martin-Gómez, AM; Avila-Gutiérrez, MJ; Lama-Ruiz, JR; Aguayo-González, F</t>
  </si>
  <si>
    <t>Martin-Gomez, Alejandro M.; Avila-Gutierrez, Maria Jesus; Lama-Ruiz, Juan Ramon; Aguayo-Gonzalez, Francisco</t>
  </si>
  <si>
    <t>Industrial Metabolism: A Multilevel Characterization for Designing Sustainable Manufacturing Systems</t>
  </si>
  <si>
    <t>MACHINES</t>
  </si>
  <si>
    <t>industrial metabolism; biological analogy; circularity design; multilevel organization; sustainable manufacturing system</t>
  </si>
  <si>
    <t>SUBSTANCE FLOW-ANALYSIS; NETWORK ANALYSIS; CIRCULAR ECONOMY; ENVIRONMENTAL SUSTAINABILITY; QUANTITATIVE ASSESSMENT; SYMBIOSIS NETWORKS; ECOLOGY PRINCIPLES; SOCIAL METABOLISM; URBAN METABOLISM; ECO-EFFICIENCY</t>
  </si>
  <si>
    <t>2075-1702</t>
  </si>
  <si>
    <t>10.3390/machines12010016</t>
  </si>
  <si>
    <t>Engineering, Electrical &amp; Electronic; Engineering, Mechanical</t>
  </si>
  <si>
    <t>Timmerman, P; White, R</t>
  </si>
  <si>
    <t>Megahydropolis: coastal cities in the context of global environmental change</t>
  </si>
  <si>
    <t>GLOBAL ENVIRONMENTAL CHANGE-HUMAN AND POLICY DIMENSIONS</t>
  </si>
  <si>
    <t>coastal city; ecosystem approach; urban metabolism; climate change; coastal zone management</t>
  </si>
  <si>
    <t>0959-3780</t>
  </si>
  <si>
    <t>10.1016/S0959-3780(97)00009-5</t>
  </si>
  <si>
    <t>Environmental Sciences; Environmental Studies; Geography</t>
  </si>
  <si>
    <t>Mohan, SV; Amulya, K; Modestra, JA</t>
  </si>
  <si>
    <t>Mohan, S. Venkata; Amulya, K.; Modestra, J. Annie</t>
  </si>
  <si>
    <t>Urban biocycles - Closing metabolic loops for resilient and regenerative ecosystem: A perspective</t>
  </si>
  <si>
    <t>Urban metabolism; Smart cities; Biorefinery; Circular economy; Circular practices</t>
  </si>
  <si>
    <t>CIRCULAR BIOECONOMY; PHOSPHORUS RECOVERY; WASTE; ENERGY; RESTORATION; WATER; ECONOMY; SYSTEMS; CITIES</t>
  </si>
  <si>
    <t>10.1016/j.biortech.2020.123098</t>
  </si>
  <si>
    <t>Zhang, Y; Liu, H; Chen, B</t>
  </si>
  <si>
    <t>Zhang, Yan; Liu, Hong; Chen, Bin</t>
  </si>
  <si>
    <t>Comprehensive evaluation of the structural characteristics of an urban metabolic system: Model development and a case study of Beijing</t>
  </si>
  <si>
    <t>Urban ecology; Urban metabolism; Material flow accounting; Structural characteristics; Evaluation; Beijing</t>
  </si>
  <si>
    <t>CITIES; FLOW; CITY</t>
  </si>
  <si>
    <t>10.1016/j.ecolmodel.2012.08.017</t>
  </si>
  <si>
    <t>Doussard, C; Rowe, PG; Detavernier, P; Guo, BY</t>
  </si>
  <si>
    <t>Doussard, Claire; Rowe, Peter G.; Detavernier, Pauline; Guo, Boya</t>
  </si>
  <si>
    <t>Metabolism and Urban Design: Insights from the Champs-Elysées, Paris</t>
  </si>
  <si>
    <t>metabolism; urban design; urban development; water; energy; material</t>
  </si>
  <si>
    <t>FRAMEWORK; ENERGY</t>
  </si>
  <si>
    <t>10.3390/su16020603</t>
  </si>
  <si>
    <t>Scialpi, G; Perrotti, D</t>
  </si>
  <si>
    <t>Scialpi, Giulia; Perrotti, Daniela</t>
  </si>
  <si>
    <t>The use of urban biowaste and excavated soil in the construction sector: A literature review</t>
  </si>
  <si>
    <t>Waste materials; urban metabolism; urban mining; circular economy; biowaste; excavated soil</t>
  </si>
  <si>
    <t>MUNICIPAL SOLID-WASTE; CIRCULAR ECONOMY; COFFEE GROUNDS; EARTH CONSTRUCTION; DEMOLITION WASTE; ORGANIC WASTE; AGRO-WASTE; RICE HUSK; CEMENT; CLAY</t>
  </si>
  <si>
    <t>0734242X211000430</t>
  </si>
  <si>
    <t>10.1177/0734242X211000430</t>
  </si>
  <si>
    <t>Konara, KMGK; Tokai, A</t>
  </si>
  <si>
    <t>Konara, Konara Mudiyanselage Gayani Kaushalya; Tokai, Akihiro</t>
  </si>
  <si>
    <t>Integrated evaluation of energy system in Sri Lanka: a multidimensional sustainability perspective</t>
  </si>
  <si>
    <t>INTERNATIONAL JOURNAL OF SUSTAINABLE ENERGY</t>
  </si>
  <si>
    <t>Sustainable energy; sustainability indicator; sustainability evaluation; AHP; developing country; CO2 emission</t>
  </si>
  <si>
    <t>MULTICRITERIA DECISION-ANALYSIS; URBAN METABOLISM; ELECTRICITY-GENERATION; SOLAR-ENERGY; INDICATORS; SECURITY; POLICY; TECHNOLOGIES; INDEX; ISSUES</t>
  </si>
  <si>
    <t>1478-6451</t>
  </si>
  <si>
    <t>1478-646X</t>
  </si>
  <si>
    <t>2022 OCT 21</t>
  </si>
  <si>
    <t>10.1080/14786451.2022.2039140</t>
  </si>
  <si>
    <t>Venkatesh, G</t>
  </si>
  <si>
    <t>Venkatesh, G.</t>
  </si>
  <si>
    <t>An Analysis of Stocks and Flows Associated with Water Consumption in Indian Households</t>
  </si>
  <si>
    <t>electricity; energy use; environmental impact; industrial ecology; material flow analysis (MFA); soaps</t>
  </si>
  <si>
    <t>URBAN METABOLISM; ENERGY</t>
  </si>
  <si>
    <t>10.1111/j.1530-9290.2012.00530.x</t>
  </si>
  <si>
    <t>Athanassiadis, A; Christis, M; Bouillard, P; Vercalsteren, A; Crawford, RH; Khan, AZ</t>
  </si>
  <si>
    <t>Athanassiadis, Aristide; Christis, Maarten; Bouillard, Philippe; Vercalsteren, An; Crawford, Robert H.; Khan, Ahmed Z.</t>
  </si>
  <si>
    <t>Comparing a territorial-based and a consumption-based approach to assess the local and global environmental performance of cities</t>
  </si>
  <si>
    <t>Urban metabolism (UM); Multi-region input-output analysis (MRIO); Environmental footprint of cities; Direct and indirect flows; Local and global consumption; EW-MFA</t>
  </si>
  <si>
    <t>INPUT-OUTPUT-ANALYSIS; URBAN METABOLISM; FLOW-ANALYSIS; CARBON; CITY; EMISSIONS; INSIGHTS; IMPACTS; BALANCE; TABLES</t>
  </si>
  <si>
    <t>10.1016/j.jclepro.2016.10.068</t>
  </si>
  <si>
    <t>Kenway, SJ; Lant, PA; Priestley, A; Daniels, P</t>
  </si>
  <si>
    <t>Kenway, S. J.; Lant, P. A.; Priestley, A.; Daniels, P.</t>
  </si>
  <si>
    <t>The connection between water and energy in cities: a review</t>
  </si>
  <si>
    <t>water energy nexus; review; urban metabolism; cities</t>
  </si>
  <si>
    <t>10.2166/wst.2011.070</t>
  </si>
  <si>
    <t>Ipsen, KL; Zimmermann, RK; Nielsen, PS; Birkved, M</t>
  </si>
  <si>
    <t>Ipsen, Kikki Lambrecht; Zimmermann, Regitze Kjaer; Nielsen, Per Sieverts; Birkved, Morten</t>
  </si>
  <si>
    <t>Environmental assessment of Smart City Solutions using a coupled urban metabolismlife cycle impact assessment approach</t>
  </si>
  <si>
    <t>Burden shifting; Life cycle assessment; Smart City; UM-LCA; Urban design; Urban metabolism; Urban systems</t>
  </si>
  <si>
    <t>WASTE COLLECTION SYSTEM; ENERGY SAVINGS; GREEN ROOFS; WATER; TECHNOLOGIES</t>
  </si>
  <si>
    <t>10.1007/s11367-018-1453-9</t>
  </si>
  <si>
    <t>Bahers, JB; Kim, J</t>
  </si>
  <si>
    <t>Bahers, Jean-Baptiste; Kim, Junbeum</t>
  </si>
  <si>
    <t>Regional approach of waste electrical and electronic equipment (WEEE) management in France</t>
  </si>
  <si>
    <t>Waste electrical and electronic equipment (WEEE); Recovery and recycling chain; Waste management; Metabolism; Regional approach</t>
  </si>
  <si>
    <t>EXTENDED PRODUCER RESPONSIBILITY; MATERIAL FLOW-ANALYSIS; URBAN METABOLISM; TREATMENT FIRMS; PRECIOUS-METAL; SWITZERLAND; RECOVERY; SYSTEMS; CHINA; CHAIN</t>
  </si>
  <si>
    <t>10.1016/j.resconrec.2017.10.016</t>
  </si>
  <si>
    <t>Han, WY; Geng, Y; Lu, YSY; Wilson, J; Sun, L; Satoshi, O; Geldron, A; Qian, YY</t>
  </si>
  <si>
    <t>Han, Wenyi; Geng, Yong; Lu, Yangsiyu; Wilson, Jeffrey; Sun, Lu; Satoshi, Onishi; Geldron, Alain; Qian, Yiying</t>
  </si>
  <si>
    <t>Urban metabolism of megacities: A comparative analysis of Shanghai, Tokyo, London and Paris to inform low carbon and sustainable development pathways</t>
  </si>
  <si>
    <t>Societal metabolism; Mega city; MuSIASEM; Human time; Sustainability; Governance</t>
  </si>
  <si>
    <t>MULTISCALE INTEGRATED ANALYSIS; SOCIETAL METABOLISM; ENERGY-METABOLISM; HIERARCHY THEORY; CITIES; ECOLOGY; CHINA</t>
  </si>
  <si>
    <t>JUL 15</t>
  </si>
  <si>
    <t>10.1016/j.energy.2018.05.073</t>
  </si>
  <si>
    <t>Shmelev, S; Brook, HR</t>
  </si>
  <si>
    <t>Shmelev, Stanislav; Brook, Harrison Roger</t>
  </si>
  <si>
    <t>Macro Sustainability across Countries: Key Sector Environmentally Extended Input-Output Analysis</t>
  </si>
  <si>
    <t>environmentally extended input-output analysis; sustainability assessment; multi-criteria decision aid; ELECTRE III; China; USA; France; Germany; Sweden; Austria</t>
  </si>
  <si>
    <t>MULTICRITERIA DECISION-ANALYSIS; LIFE-CYCLE ASSESSMENT; STRUCTURAL-CHANGE; RENEWABLE ENERGY; URBAN METABOLISM; INDUSTRIAL ECOLOGY; ECONOMIC-STRUCTURE; UNBALANCED GROWTH; FRAMEWORK; CRITERIA</t>
  </si>
  <si>
    <t>10.3390/su132111657</t>
  </si>
  <si>
    <t>Westin, AL; Rosado, L; Kalmykova, Y; Patrício, J</t>
  </si>
  <si>
    <t>Lavers Westin, Alexandra; Rosado, Leonardo; Kalmykova, Yuliya; Patricio, Joao</t>
  </si>
  <si>
    <t>Methods for Downscaling National Material Consumption Data to the Regional and Municipal Levels</t>
  </si>
  <si>
    <t>industrial ecology; regional consumption; environmental impact; urban metabolism; municipal consumption; sustainable development goals</t>
  </si>
  <si>
    <t>INPUT-OUTPUT-ANALYSIS; ENVIRONMENTAL IMPACTS; CARBON; FOOTPRINT</t>
  </si>
  <si>
    <t>10.3390/su12208336</t>
  </si>
  <si>
    <t>Cristiano, S; Zucaro, A; Liu, GY; Ulgiati, S; Gonella, F</t>
  </si>
  <si>
    <t>Cristiano, Silvio; Zucaro, Amalia; Liu, Gengyuan; Ulgiati, Sergo; Gonella, Francesco</t>
  </si>
  <si>
    <t>On the Systemic Features of Urban Systems. A Look at Material Flows and Cultural Dimensions to Address Post-Growth Resilience and Sustainability</t>
  </si>
  <si>
    <t>material and immaterial drivers; post-growth; resilience and sustainability; urban metabolism; systems thinking; urban ecology; sustainable planning and design; cities</t>
  </si>
  <si>
    <t>ENVIRONMENTAL JUSTICE; CITY; AVAILABILITY; GEOBIOSPHERE; PERSPECTIVE; RESOURCES; WATER</t>
  </si>
  <si>
    <t>10.3389/frsc.2020.00012</t>
  </si>
  <si>
    <t>Burn, S; Maheepala, S; Sharma, A</t>
  </si>
  <si>
    <t>Burn, Stewart; Maheepala, Shiroma; Sharma, Ashok</t>
  </si>
  <si>
    <t>Utilising integrated urban water management to assess the viability of decentralised water solutions</t>
  </si>
  <si>
    <t>alternative solutions; decentralisation; EUMM; IUWM; metabolic models; total water cycle</t>
  </si>
  <si>
    <t>DECISION-SUPPORT; OPTIONS; SYSTEMS</t>
  </si>
  <si>
    <t>10.2166/wst.2012.071</t>
  </si>
  <si>
    <t>Ormerod, KJ</t>
  </si>
  <si>
    <t>Ormerod, Kerri Jean</t>
  </si>
  <si>
    <t>Toilet power: potable water reuse and the situated meaning of sustainability in the southwestern United States</t>
  </si>
  <si>
    <t>JOURNAL OF POLITICAL ECOLOGY</t>
  </si>
  <si>
    <t>infrastructure; urban metabolism; Q methodology; water recycling; composting toilet</t>
  </si>
  <si>
    <t>HYDROSOCIAL RELATIONS; POLITICAL ECOLOGY; SUBJECTIVITY; INFRASTRUCTURE; TECHNOLOGY; SANITATION; INSIGHTS</t>
  </si>
  <si>
    <t>1073-0451</t>
  </si>
  <si>
    <t>10.2458/v26i1.23257</t>
  </si>
  <si>
    <t>Singh, AK; Narain, V</t>
  </si>
  <si>
    <t>Singh, Aditya Kumar; Narain, Vishal</t>
  </si>
  <si>
    <t>Lost in transition: Perspectives, processes and transformations in Periurbanizing India</t>
  </si>
  <si>
    <t>Periurbanisation; Ecological foot print; Urbanization; Governance; Continuum; Urban fringe; Periphery; Social relations; Institutions; Urban metabolism; Wastewater irrigation; Infrastructure; Formality; Informality; Urban planning; Rural Planning; Emerging countries; India; South asia; Global south</t>
  </si>
  <si>
    <t>ENVIRONMENTAL JUSTICE; LAND-USE; URBAN; WATER; CITY; GOVERNANCE; INTERFACE; IMPACT; LANDSCAPES; COCHABAMBA</t>
  </si>
  <si>
    <t>10.1016/j.cities.2019.102494</t>
  </si>
  <si>
    <t>Kennedy, C; Steinberger, J; Gasson, B; Hansen, Y; Hillman, T; Havránek, M; Pataki, D; Phdungsilp, A; Ramaswami, A; Mendez, GV</t>
  </si>
  <si>
    <t>Kennedy, Christopher; Steinberger, Julia; Gasson, Barrie; Hansen, Yvonne; Hillman, Timothy; Havránek, Miroslav; Pataki, Diane; Phdungsilp, Aumnad; Ramaswami, Anu; Villalba Mendez, Gara</t>
  </si>
  <si>
    <t>Methodology for inventorying greenhouse gas emissions from global cities</t>
  </si>
  <si>
    <t>Urban metabolism; Life-cycle analysis; Climate change</t>
  </si>
  <si>
    <t>ENERGY-REQUIREMENTS; MASS-BALANCE; METABOLISM; HOUSEHOLDS; SYSTEM; CITY</t>
  </si>
  <si>
    <t>10.1016/j.enpol.2009.08.050</t>
  </si>
  <si>
    <t>Kenway, SJ; Lant, P; Priestley, T</t>
  </si>
  <si>
    <t>Kenway, S. J.; Lant, P.; Priestley, T.</t>
  </si>
  <si>
    <t>Quantifying water-energy links and related carbon emissions in cities</t>
  </si>
  <si>
    <t>energy; future cities; greenhouse gas; urban metabolism; water; water-sensitive city</t>
  </si>
  <si>
    <t>10.2166/wcc.2011.005</t>
  </si>
  <si>
    <t>Haberl, H; Wiedenhofer, D; Pauliuk, S; Krausmann, F; Müller, DB; Fischer-Kowalski, M</t>
  </si>
  <si>
    <t>Haberl, Helmut; Wiedenhofer, Dominik; Pauliuk, Stefan; Krausmann, Fridolin; Mueller, Daniel B.; Fischer-Kowalski, Marina</t>
  </si>
  <si>
    <t>Contributions of sociometabolic research to sustainability science</t>
  </si>
  <si>
    <t>NATURE SUSTAINABILITY</t>
  </si>
  <si>
    <t>MULTISCALE INTEGRATED ANALYSIS; ECOSYSTEM METABOLISM MUSIASEM; LIFE-CYCLE ASSESSMENT; INDUSTRIAL ECOLOGY; MATERIAL FLOWS; CLIMATE-CHANGE; ENVIRONMENTAL PERFORMANCE; SOCIOECONOMIC METABOLISM; MATERIAL EFFICIENCY; SOCIAL METABOLISM</t>
  </si>
  <si>
    <t>2398-9629</t>
  </si>
  <si>
    <t>10.1038/s41893-019-0225-2</t>
  </si>
  <si>
    <t>Zhang, Y; Liu, H; Fath, BD</t>
  </si>
  <si>
    <t>Zhang, Yan; Liu, Hong; Fath, Brian D.</t>
  </si>
  <si>
    <t>Synergism analysis of an urban metabolic system: Model development and a case study for Beijing, China</t>
  </si>
  <si>
    <t>Urban ecology; Urban metabolism; Ecological network analysis; Material flow analysis; Beijing</t>
  </si>
  <si>
    <t>ECOLOGICAL NETWORK ANALYSIS; EMERGY SYNTHESIS; ENERGY</t>
  </si>
  <si>
    <t>10.1016/j.ecolmodel.2013.10.003</t>
  </si>
  <si>
    <t>Putri, PW; Moulaert, F</t>
  </si>
  <si>
    <t>Putri, Prathiwi W.; Moulaert, Frank</t>
  </si>
  <si>
    <t>Spatial Practices and the Institutionalization of Water Sanitation Services in Southern Metropolises: The case of Jakarta and its Kampung Kojan</t>
  </si>
  <si>
    <t>water (sanitation) services; informality; urban metabolism; waterscape; institutionalization; Southern metropolises; Jakarta</t>
  </si>
  <si>
    <t>URBAN; REFLECTIONS; INFORMALITY; SCALE; INFRASTRUCTURE; SETTLEMENTS; NETWORKS; CRISIS; DEBATE; SPACES</t>
  </si>
  <si>
    <t>10.1111/1468-2427.12549</t>
  </si>
  <si>
    <t>Kneitz, A</t>
  </si>
  <si>
    <t>Kneitz, Agnes</t>
  </si>
  <si>
    <t>German Water Infrastructure in China: Colonial Qingdao 1898-1914</t>
  </si>
  <si>
    <t>NTM</t>
  </si>
  <si>
    <t>China; German Empire; Infrastructure; Water; Forestry</t>
  </si>
  <si>
    <t>0036-6978</t>
  </si>
  <si>
    <t>1420-9144</t>
  </si>
  <si>
    <t>10.1007/s00048-017-0159-6</t>
  </si>
  <si>
    <t>History &amp; Philosophy Of Science</t>
  </si>
  <si>
    <t>Cities in the age of the Anthropocene: Climate change agents and the potential for mitigation</t>
  </si>
  <si>
    <t>ANTHROPOCENE</t>
  </si>
  <si>
    <t>Anthropocene; Cities; Globalization; Fossil fuels; Well-being; Ethics</t>
  </si>
  <si>
    <t>URBAN METABOLISM; CITY; POLITICS; GROWTH; STATE; WATER; RISE</t>
  </si>
  <si>
    <t>2213-3054</t>
  </si>
  <si>
    <t>10.1016/j.ancene.2017.08.001</t>
  </si>
  <si>
    <t>Environmental Sciences; Geography, Physical; Geosciences, Multidisciplinary</t>
  </si>
  <si>
    <t>Russell, M; Gianoli, A; Grafakos, S</t>
  </si>
  <si>
    <t>Russell, Max; Gianoli, Alberto; Grafakos, Stelios</t>
  </si>
  <si>
    <t>Getting the ball rolling: an exploration of the drivers and barriers towards the implementation of bottom-up circular economy initiatives in Amsterdam and Rotterdam</t>
  </si>
  <si>
    <t>transition to circular economy; urban circular economic systems; circular economy implementation drivers; circular economy implementation barriers</t>
  </si>
  <si>
    <t>WASTE MANAGEMENT; URBAN METABOLISM; GREEN ECONOMY; CITY; CHINA; SUSTAINABILITY; TRANSITIONS; PERSPECTIVE; CONSUMPTION; SYSTEMS</t>
  </si>
  <si>
    <t>2020 SEP 18</t>
  </si>
  <si>
    <t>10.1080/09640568.2019.1690435</t>
  </si>
  <si>
    <t>DEC 2019</t>
  </si>
  <si>
    <t>Zhang, Y; Li, YG; Liu, GY; Hao, Y</t>
  </si>
  <si>
    <t>Zhang, Yan; Li, Yaoguang; Liu, Gengyuan; Hao, Yan</t>
  </si>
  <si>
    <t>CO2 metabolic flow analysis in global trade based on ecological network analysis</t>
  </si>
  <si>
    <t>Global trade; Ecological network analysis; Metabolic flow; Direct and indirect effects; Important path</t>
  </si>
  <si>
    <t>INTERNATIONAL-TRADE; CARBON METABOLISM; URBAN METABOLISM; CONSUMPTION; EMISSIONS; CYCLE</t>
  </si>
  <si>
    <t>10.1016/j.jclepro.2017.08.244</t>
  </si>
  <si>
    <t>Connolly, C</t>
  </si>
  <si>
    <t>Connolly, Creighton</t>
  </si>
  <si>
    <t>Urban Political Ecology Beyond Methodological Cityism</t>
  </si>
  <si>
    <t>methodological cityism; planetary urbanization; the site multiple; urban metabolism; urban political ecology</t>
  </si>
  <si>
    <t>GEORGE TOWN; LANDSCAPES; CITIES; BOUNDARIES; INTERFACE; NETWORKS; WASTE; EDGE</t>
  </si>
  <si>
    <t>10.1111/1468-2427.12710</t>
  </si>
  <si>
    <t>Chelleri, L; Waters, JJ; Olazabal, M; Minucci, G</t>
  </si>
  <si>
    <t>Chelleri, Lorenzo; Waters, James J.; Olazabal, Marta; Minucci, Guido</t>
  </si>
  <si>
    <t>Resilience trade-offs: addressing multiple scales and temporal aspects of urban resilience</t>
  </si>
  <si>
    <t>ENVIRONMENT AND URBANIZATION</t>
  </si>
  <si>
    <t>climate change adaptation; resilience trade-offs; scales; sustainability transition; urban resilience</t>
  </si>
  <si>
    <t>SOCIAL-ECOLOGICAL RESILIENCE; CLIMATE-CHANGE; GLOBAL CHANGE; ADAPTATION; VULNERABILITY; WATER; GLOBALIZATION; ADAPTABILITY; PERSPECTIVE; MANAGEMENT</t>
  </si>
  <si>
    <t>0956-2478</t>
  </si>
  <si>
    <t>1746-0301</t>
  </si>
  <si>
    <t>10.1177/0956247814550780</t>
  </si>
  <si>
    <t>Wielemaker, R; Wilken, C; Chen, WS; Oenema, O; Weijma, J</t>
  </si>
  <si>
    <t>Wielemaker, Rosanne; Wilken, Carolin; Chen, Wei-Shan; Oenema, Oene; Weijma, Jan</t>
  </si>
  <si>
    <t>Resource Dynamo: A GIS model to match urban nutrient supply with agricultural demand</t>
  </si>
  <si>
    <t>Nutrient recycling; Optimization; Geographic information systems (GIS); Urban metabolism; Resource recovery; Urine</t>
  </si>
  <si>
    <t>WASTE-WATER; RECYCLING NUTRIENTS; HUMAN EXCRETA; SYSTEMS; BALANCE; CITIES; LAND; MAP</t>
  </si>
  <si>
    <t>JUN 10</t>
  </si>
  <si>
    <t>10.1016/j.jclepro.2020.120789</t>
  </si>
  <si>
    <t>Arbabi, H; Meyers, G; Tan, LM; Mayfield, M</t>
  </si>
  <si>
    <t>Arbabi, Hadi; Meyers, Gregory; Tan, Ling-Min; Mayfield, Martin</t>
  </si>
  <si>
    <t>Comment on Bettignies et al. The Scale-Dependent Behaviour of Cities: A Cross-Cities Multiscale Driver Analysis of Urban Energy Use. Sustainability 2019, 11, 3246</t>
  </si>
  <si>
    <t>urban energy drivers; urban metabolism; urban scaling; scaling; energy; power law; multiscale analysis; cross-city analysis</t>
  </si>
  <si>
    <t>10.3390/su14074230</t>
  </si>
  <si>
    <t>Qian, Q; Liu, HY; Zheng, XQ</t>
  </si>
  <si>
    <t>Qian, Qian; Liu, Haiyan; Zheng, Xinqi</t>
  </si>
  <si>
    <t>A Regional Sustainable Intensive Land Use Evaluation Based on Ecological Constraints: A Case Study in Jinan City</t>
  </si>
  <si>
    <t>regional sustainable development; intensification variable; intensive land use evaluation model; ecological constraint</t>
  </si>
  <si>
    <t>URBAN METABOLISM; INDEX; CHINA</t>
  </si>
  <si>
    <t>10.3390/su11051434</t>
  </si>
  <si>
    <t>Paiho, S; Mäki, E; Wessberg, N; Paavola, M; Tuominen, P; Antikainen, M; Heikkilä, J; Rozado, CA; Jung, N</t>
  </si>
  <si>
    <t>Paiho, Satu; Maki, Elina; Wessberg, Nina; Paavola, Martta; Tuominen, Pekka; Antikainen, Maria; Heikkila, Jouko; Rozado, Carmen Antuna; Jung, Nusrat</t>
  </si>
  <si>
    <t>Towards circular cities-Conceptualizing core aspects</t>
  </si>
  <si>
    <t>Cities; Concepts; Circular economy; Indicators; Energy and material streams; Circular business models</t>
  </si>
  <si>
    <t>WASTE-TO-ENERGY; URBAN METABOLISM; CLIMATE-CHANGE; CITY LEVEL; LAND-USE; ECONOMY; SYSTEM; WATER; NEXUS; SUSTAINABILITY</t>
  </si>
  <si>
    <t>10.1016/j.scs.2020.102143</t>
  </si>
  <si>
    <t>Morganti, M; Pages-Ramon, A; Coch, H; Isalgue, A</t>
  </si>
  <si>
    <t>Morganti, Michele; Pages-Ramon, Anna; Coch, Helena; Isalgue, Antonio</t>
  </si>
  <si>
    <t>Buildingmass and Energy Demand in Conventional Housing Typologies of the Mediterranean City</t>
  </si>
  <si>
    <t>urban indicators; building energy performance; housing typology; heating and cooling demand; built mass</t>
  </si>
  <si>
    <t>SCALING LAWS; RESIDENTIAL BUILDINGS; PERFORMANCE; ARCHETYPES; TECHNOMASS; CONSUMPTION; FORM</t>
  </si>
  <si>
    <t>JUL 1</t>
  </si>
  <si>
    <t>10.3390/su11133540</t>
  </si>
  <si>
    <t>Transition to Smart and Regenerative Urban Places (SRUP): Contributions to a New Conceptual Framework</t>
  </si>
  <si>
    <t>LAND</t>
  </si>
  <si>
    <t>smart city; circular economy; urban metabolism; sustainability; resilience</t>
  </si>
  <si>
    <t>CIRCULAR ECONOMY; SYSTEMS; METABOLISM; CITIES; CITY; SUSTAINABILITY; BARRIERS; DESIGN</t>
  </si>
  <si>
    <t>2073-445X</t>
  </si>
  <si>
    <t>10.3390/land10010002</t>
  </si>
  <si>
    <t>Hachaichi, M; Talandier, M</t>
  </si>
  <si>
    <t>Hachaichi, Mohamed; Talandier, Magali</t>
  </si>
  <si>
    <t>Assessing the ecological performance of French territories using a spatially-nested approach</t>
  </si>
  <si>
    <t>Biocapacity; Ecological footprint; Ecological indicator; Ecological transition; France</t>
  </si>
  <si>
    <t>URBAN METABOLISM; FOOTPRINT; CAPACITY</t>
  </si>
  <si>
    <t>2023 NOV</t>
  </si>
  <si>
    <t>10.1016/j.ecolind.2023.110947</t>
  </si>
  <si>
    <t>SEP 2023</t>
  </si>
  <si>
    <t>Wolfram, M; Frantzeskaki, N; Maschmeyer, S</t>
  </si>
  <si>
    <t>Wolfram, Marc; Frantzeskaki, Niki; Maschmeyer, Steffen</t>
  </si>
  <si>
    <t>Cities, systems and sustainability: status and perspectives of research on urban transformations</t>
  </si>
  <si>
    <t>TRANSITIONS; RESILIENCE; INFRASTRUCTURE; ADAPTATION; GOVERNANCE; FRAMEWORK; DESIGN; CARBON; LEARN</t>
  </si>
  <si>
    <t>10.1016/j.cosust.2017.01.014</t>
  </si>
  <si>
    <t>Xu, DX; Zhang, Y; Yang, ZF</t>
  </si>
  <si>
    <t>Xu, Dongxiao; Zhang, Yan; Yang, Zhifeng</t>
  </si>
  <si>
    <t>From Geospatial to Temporal Separation: A Review on Carbon Accounting Endogenizing Fixed Capital</t>
  </si>
  <si>
    <t>ECOSYSTEM HEALTH AND SUSTAINABILITY</t>
  </si>
  <si>
    <t>STRUCTURAL DECOMPOSITION ANALYSIS; INPUT-OUTPUT DATABASE; CO2 EMISSIONS; INTERNATIONAL-TRADE; FINAL CONSUMPTION; URBAN METABOLISM; CHINA; ENERGY; STOCKS; FOOTPRINT</t>
  </si>
  <si>
    <t>2096-4129</t>
  </si>
  <si>
    <t>2332-8878</t>
  </si>
  <si>
    <t>JAN 18</t>
  </si>
  <si>
    <t>10.34133/ehs.0002</t>
  </si>
  <si>
    <t>Ecology; Environmental Sciences</t>
  </si>
  <si>
    <t>Rath, S; Swain, PK</t>
  </si>
  <si>
    <t>Rath, Swatiprava; Swain, Pranay Kumar</t>
  </si>
  <si>
    <t>Investigating waste in the ambit of environmental sociology in Bhubaneswar, India</t>
  </si>
  <si>
    <t>ENVIRONMENTAL SOCIOLOGY</t>
  </si>
  <si>
    <t>Urban space; waste; solid waste; environmental sociology; political ecology; actor-network theory</t>
  </si>
  <si>
    <t>ACTOR-NETWORK THEORY; POLITICAL ECOLOGY</t>
  </si>
  <si>
    <t>2325-1042</t>
  </si>
  <si>
    <t>2024 FEB 2</t>
  </si>
  <si>
    <t>10.1080/23251042.2024.2307671</t>
  </si>
  <si>
    <t>FEB 2024</t>
  </si>
  <si>
    <t>Kovacic, Z; Smit, S; Musango, JK; Brent, AC; Giampietro, M</t>
  </si>
  <si>
    <t>Kovacic, Zora; Smit, Suzanne; Musango, Josephine Kaviti; Brent, Alan Colin; Giampietro, Mario</t>
  </si>
  <si>
    <t>Probing uncertainty levels of electrification in informal urban settlements: A case from South Africa</t>
  </si>
  <si>
    <t>HABITAT INTERNATIONAL</t>
  </si>
  <si>
    <t>Complexity; Slums; Upgrading; Urban metabolism; Energy; Cities</t>
  </si>
  <si>
    <t>POLICY; SCIENCE; ENERGY; LAND</t>
  </si>
  <si>
    <t>0197-3975</t>
  </si>
  <si>
    <t>1873-5428</t>
  </si>
  <si>
    <t>10.1016/j.habitatint.2016.06.002</t>
  </si>
  <si>
    <t>Development Studies; Environmental Studies; Regional &amp; Urban Planning; Urban Studies</t>
  </si>
  <si>
    <t>Yang, DW; Kao, WTM; Zhang, GQ; Zhang, NY</t>
  </si>
  <si>
    <t>Yang, Dewei; Kao, William Tze Ming; Zhang, Guoqin; Zhang, Nanyang</t>
  </si>
  <si>
    <t>Evaluating spatiotemporal differences and sustainability of Xiamen urban metabolism using emergy synthesis</t>
  </si>
  <si>
    <t>Emergy indicators; Land-use change; Metabolic efficiency; Metabolic pressure; Socio-economic metabolism; Xiamen</t>
  </si>
  <si>
    <t>LAND-USE; SOCIOECONOMIC METABOLISM; ECOSYSTEM HEALTH; FLOW-ANALYSIS; CHINA; CITIES; AUSTRIA; CONSUMPTION; SOCIETAL; SUPPORT</t>
  </si>
  <si>
    <t>10.1016/j.ecolmodel.2013.09.014</t>
  </si>
  <si>
    <t>Cao, L; Zhou, ZB; Wu, Y; Huang, Y; Cao, GH</t>
  </si>
  <si>
    <t>Cao, Li; Zhou, Zhongbao; Wu, Yi; Huang, Yue; Cao, Guohong</t>
  </si>
  <si>
    <t>Is metabolism in all regions of China performing well? - Evidence from a new DEA-Malmquist productivity approach</t>
  </si>
  <si>
    <t>Economic-ecosystem; Eco-efficiency; DEA Malmquist productivity approach; Emergy</t>
  </si>
  <si>
    <t>SUSTAINABLE DEVELOPMENT; EMERGY EVALUATION; URBAN METABOLISM; ENERGY; MODEL; WATER</t>
  </si>
  <si>
    <t>10.1016/j.ecolind.2019.105487</t>
  </si>
  <si>
    <t>Deng, TJ; Fu, CL; Zhang, Y</t>
  </si>
  <si>
    <t>Deng, Tianjie; Fu, Chenling; Zhang, Yan</t>
  </si>
  <si>
    <t>What is the connection of urban material stock and socioeconomic factors? A case study in Chinese cities</t>
  </si>
  <si>
    <t>Material stock; Material flow analysis; Socioeconomic factors; City; Urban metabolism</t>
  </si>
  <si>
    <t>IN-USE STOCKS; FLOWS; BUILDINGS; DYNAMICS; INFRASTRUCTURES; URBANIZATION; ACCUMULATION; METABOLISM; ECONOMY</t>
  </si>
  <si>
    <t>2022 OCT</t>
  </si>
  <si>
    <t>10.1016/j.resconrec.2022.106494</t>
  </si>
  <si>
    <t>JUL 2022</t>
  </si>
  <si>
    <t>Zhang, BQ; Su, S; Zhu, YM; Li, XD</t>
  </si>
  <si>
    <t>Zhang, Bingqing; Su, Shu; Zhu, Yimin; Li, Xiaodong</t>
  </si>
  <si>
    <t>An LCA-based environmental impact assessment model for regulatory planning</t>
  </si>
  <si>
    <t>Territorial LCA; neighborhood scale LCA; urban planning; built environment; land use</t>
  </si>
  <si>
    <t>LIFE-CYCLE ASSESSMENT; URBAN METABOLISM; FOOTPRINT; MANAGEMENT; CHINA; FRAMEWORK</t>
  </si>
  <si>
    <t>10.1016/j.eiar.2020.106406</t>
  </si>
  <si>
    <t>Marvin, S; Medd, W</t>
  </si>
  <si>
    <t>Metabolisms of obecity:: flows of fat through bodies, cities, and sewers</t>
  </si>
  <si>
    <t>ENVIRONMENT AND PLANNING A-ECONOMY AND SPACE</t>
  </si>
  <si>
    <t>0308-518X</t>
  </si>
  <si>
    <t>1472-3409</t>
  </si>
  <si>
    <t>10.1068/a37272</t>
  </si>
  <si>
    <t>Liang, S; Zhang, TZ; Wang, YF; Jia, XP</t>
  </si>
  <si>
    <t>Liang, Sai; Zhang, Tianzhu; Wang, Yafei; Jia, Xiaoping</t>
  </si>
  <si>
    <t>Sustainable urban materials management for air pollutants mitigation based on urban physical input-output model</t>
  </si>
  <si>
    <t>China; Air pollutants; Input-output model; Life cycle; Urban metabolism</t>
  </si>
  <si>
    <t>LIFE-CYCLE ASSESSMENT; ENERGY; INDUSTRY; TABLES; METABOLISM; FRAMEWORK; SYSTEM; SUZHOU</t>
  </si>
  <si>
    <t>10.1016/j.energy.2012.03.038</t>
  </si>
  <si>
    <t>Huuhka, S; Kolkwitz, M</t>
  </si>
  <si>
    <t>Huuhka, Satu; Kolkwitz, Mario</t>
  </si>
  <si>
    <t>Stocks and flows of buildings: Analysis of existing, demolished, and constructed buildings in Tampere, Finland, 2000-2018</t>
  </si>
  <si>
    <t>buildings; cities; industrial ecology; material flow analysis (MFA); urban metabolism; urban planning</t>
  </si>
  <si>
    <t>2021 AUG</t>
  </si>
  <si>
    <t>10.1111/jiec.13107</t>
  </si>
  <si>
    <t>Inostroza, L; Zepp, H</t>
  </si>
  <si>
    <t>Inostroza, Luis; Zepp, Harald</t>
  </si>
  <si>
    <t>The metabolic urban network: Urbanisation as hierarchically ordered space of flows</t>
  </si>
  <si>
    <t>Technomass; Urban metabolism; Urban ecosystem; Material cycles; Circular economy</t>
  </si>
  <si>
    <t>TECHNOMASS; LANDSCAPES; TIME</t>
  </si>
  <si>
    <t>10.1016/j.cities.2020.103029</t>
  </si>
  <si>
    <t>Pérez-Sánchez, L; Giampietro, M; Velasco-Fernández, R; Ripa, M</t>
  </si>
  <si>
    <t>Perez-Sanchez, Laura; Giampietro, Mario; Velasco-Fernandez, Raul; Ripa, Maddalena</t>
  </si>
  <si>
    <t>Characterizing the metabolic pattern of urban systems using MuSIASEM: The case of Barcelona</t>
  </si>
  <si>
    <t>End-use matrix; Urban metabolism; MuSIASEM; Energy; Cities; Time allocation</t>
  </si>
  <si>
    <t>MULTISCALE INTEGRATED ANALYSIS; SOCIETAL METABOLISM</t>
  </si>
  <si>
    <t>10.1016/j.enpol.2018.09.028</t>
  </si>
  <si>
    <t>Andreoni, V</t>
  </si>
  <si>
    <t>Andreoni, Valeria</t>
  </si>
  <si>
    <t>A multiscale integrated analysis of the COVID-19 restrictions: The energy metabolism of UK and the related socio-economic changes</t>
  </si>
  <si>
    <t>MuSIASEM; Lockdown restrictions; Economic downturn; Energy use; Human activity; Green recovery</t>
  </si>
  <si>
    <t>SOCIETAL METABOLISM; URBAN METABOLISM; MUSIASEM; ECONOMY</t>
  </si>
  <si>
    <t>2022 AUG 20</t>
  </si>
  <si>
    <t>10.1016/j.jclepro.2022.132616</t>
  </si>
  <si>
    <t>JUN 2022</t>
  </si>
  <si>
    <t>Amenta, L; Qu, L</t>
  </si>
  <si>
    <t>Amenta, Libera; Qu, Lei</t>
  </si>
  <si>
    <t>Experimenting with Circularity When Designing Contemporary Regions: Adaptation Strategies for More Resilient and Regenerative Metropolitan Areas of Amsterdam and Naples Developed in University Studio Settings</t>
  </si>
  <si>
    <t>'research by design'; resilient cities; wastescapes; adaptive reuse; urban metabolism; circular economy</t>
  </si>
  <si>
    <t>10.3390/su12114549</t>
  </si>
  <si>
    <t>Vodounon, HST; Houédakor, KZ; Amoussou, E; Tingbé, EMA; Nantob, M; Ayitchéhou, KL; Enoumodji, MKNB</t>
  </si>
  <si>
    <t>Totin Vodounon, Henri Sourou; Houedakor, Koko Zebeto; Amoussou, Ernest; Azalou Tingbe, Emilia M.; Nantob, Mafobatchie; Ayitchehou, Kpadedji Lambert; Enoumodji, M. K. Nabola-Bounou</t>
  </si>
  <si>
    <t>Contributing to the achievement of sustainable development goals: knowledge on water, sanitation and health risk in Cotonou and Lome cities</t>
  </si>
  <si>
    <t>Sustainable development goals; sanitation; health risks; ecohealth model; coastal cities</t>
  </si>
  <si>
    <t>ECOHEALTH; EDUCATION; SCIENCE; SDGS</t>
  </si>
  <si>
    <t>2022 FEB 17</t>
  </si>
  <si>
    <t>10.1080/13504509.2021.1936270</t>
  </si>
  <si>
    <t>Pow, CP</t>
  </si>
  <si>
    <t>Pow, C. P.</t>
  </si>
  <si>
    <t>Sensing visceral urban politics and metabolic exclusion in a Chinese neighbourhood</t>
  </si>
  <si>
    <t>TRANSACTIONS OF THE INSTITUTE OF BRITISH GEOGRAPHERS</t>
  </si>
  <si>
    <t>sensory urbanism; cultural politics; China; urban exclusion; metabolic inequalities</t>
  </si>
  <si>
    <t>GEOGRAPHY; SPACE; BACK; FOOD</t>
  </si>
  <si>
    <t>0020-2754</t>
  </si>
  <si>
    <t>1475-5661</t>
  </si>
  <si>
    <t>10.1111/tran.12161</t>
  </si>
  <si>
    <t>Miller, SA; Moysey, S; Sharp, B; Alfaro, J</t>
  </si>
  <si>
    <t>Miller, Shelie A.; Moysey, Stephen; Sharp, Benjamin; Alfaro, Jose</t>
  </si>
  <si>
    <t>A Stochastic Approach to Model Dynamic Systems in Life Cycle Assessment</t>
  </si>
  <si>
    <t>agent-based modeling; Bayes' theorem; emerging systems; industrial ecology; switchgrass; technology diffusion</t>
  </si>
  <si>
    <t>INTEGRATED PEST-MANAGEMENT; TECHNOLOGY ADOPTION; FARM SIZE; LAND-USE; SWITCHGRASS; UNCERTAINTY; DIFFUSION; EMISSIONS; NETWORKS; ECOLOGY</t>
  </si>
  <si>
    <t>10.1111/j.1530-9290.2012.00531.x</t>
  </si>
  <si>
    <t>Meilinger, V; Monstadt, J</t>
  </si>
  <si>
    <t>Meilinger, Valentin; Monstadt, Jochen</t>
  </si>
  <si>
    <t>FROM THE SANITARY CITY TO THE CIRCULAR CITY? Technopolitics of Wastewater Restructuring in Los Angeles, California</t>
  </si>
  <si>
    <t>Los Angeles; urban infrastructure; technopolitics; circular cities; wastewater recycling; urban metabolism</t>
  </si>
  <si>
    <t>POLITICAL ECOLOGY; URBAN; RETHINKING</t>
  </si>
  <si>
    <t>10.1111/1468-2427.13014</t>
  </si>
  <si>
    <t>Meng, LH; Yang, DW; Ding, ZY; Wang, YD; Ma, WJ</t>
  </si>
  <si>
    <t>Meng, Lihong; Yang, Dewei; Ding, Zhiyong; Wang, Yuandong; Ma, Weijing</t>
  </si>
  <si>
    <t>Spatiotemporal variations of water resources metabolism efficiency in the Beijing-Tianjin-Hebei region, China</t>
  </si>
  <si>
    <t>Beijing-Tianjin-Hebei region; material flow analysis; spatiotemporal variations; virtual water; water resources metabolism efficiency</t>
  </si>
  <si>
    <t>URBAN METABOLISM; SUSTAINABILITY; MODEL</t>
  </si>
  <si>
    <t>10.2166/ws.2020.028</t>
  </si>
  <si>
    <t>Ai, N; Kjerland, M; Klein-Banai, C; Theis, TL</t>
  </si>
  <si>
    <t>Ai, Ning; Kjerland, Marc; Klein-Banai, Cynthia; Theis, Thomas L.</t>
  </si>
  <si>
    <t>Sustainability assessment of universities as small-scale urban systems: A comparative analysis using Fisher Information and Data Envelopment Analysis</t>
  </si>
  <si>
    <t>Urban system; Urban metabolism; Sustainability assessment; Campus metabolism; Fisher information; Data envelopment analysis</t>
  </si>
  <si>
    <t>ECOLOGICAL NETWORK ANALYSIS; METROPOLITAN-AREA; MODEL DEVELOPMENT; HIGHER-EDUCATION; METABOLISM; ENERGY; EFFICIENCY; PERFORMANCE; INDICATOR; ECOSYSTEM</t>
  </si>
  <si>
    <t>10.1016/j.jclepro.2018.11.205</t>
  </si>
  <si>
    <t>Meta, I; Cucchietti, FM; Navarro-Mateu, D; Graells-Garrido, E; Guallart, V</t>
  </si>
  <si>
    <t>Meta, Irene; Cucchietti, Fernando M.; Navarro-Mateu, Diego; Graells-Garrido, Eduardo; Guallart, Vicente</t>
  </si>
  <si>
    <t>A physiology-inspired framework for holistic city simulations</t>
  </si>
  <si>
    <t>Urban informatics; Integrated modelling; Holistic simulation</t>
  </si>
  <si>
    <t>URBAN METABOLISM; MODEL; TRANSPORTATION; QUALITY; FORM</t>
  </si>
  <si>
    <t>2022 JUL</t>
  </si>
  <si>
    <t>10.1016/j.cities.2021.103553</t>
  </si>
  <si>
    <t>MAR 2022</t>
  </si>
  <si>
    <t>Dong, L; Wang, YT; Scipioni, A; Park, HS; Ren, JZ</t>
  </si>
  <si>
    <t>Dong, Liang; Wang, Yutao; Scipioni, Antonio; Park, Hung-Suck; Ren, Jingzheng</t>
  </si>
  <si>
    <t>Recent progress on innovative urban infrastructures system towards sustainable resource management</t>
  </si>
  <si>
    <t>Urban infrastructures; Reviews; Urban metabolism; Urban industrial symbiosis; Infrastructure ecology; Urban resource management</t>
  </si>
  <si>
    <t>LOW-CARBON CITY; INDUSTRIAL SYMBIOSIS</t>
  </si>
  <si>
    <t>10.1016/j.resconrec.2017.02.020</t>
  </si>
  <si>
    <t>Children breathe their own air: Reflections on children's geographies, the urban political ecology of air pollution, and ongoing participatory action research with undergraduates near an east London primary school</t>
  </si>
  <si>
    <t>AREA</t>
  </si>
  <si>
    <t>air pollution; children's geographies; London; participatory action research; urban political ecology</t>
  </si>
  <si>
    <t>ENVIRONMENTAL JUSTICE; SOUTHERN CALIFORNIA; HEALTH-RISKS; EXPOSURE; PRAXIS</t>
  </si>
  <si>
    <t>0004-0894</t>
  </si>
  <si>
    <t>1475-4762</t>
  </si>
  <si>
    <t>2021 MAR</t>
  </si>
  <si>
    <t>10.1111/area.12663</t>
  </si>
  <si>
    <t>OCT 2020</t>
  </si>
  <si>
    <t>Kenway, S; McMahon, J; Elmer, V; Conrad, S; Rosenblum, J</t>
  </si>
  <si>
    <t>Kenway, S.; McMahon, J.; Elmer, V.; Conrad, S.; Rosenblum, J.</t>
  </si>
  <si>
    <t>Managing water-related energy in future cities - a research and policy roadmap</t>
  </si>
  <si>
    <t>energy; future cities; greenhouse gas emissions; urban metabolism; water</t>
  </si>
  <si>
    <t>10.2166/wcc.2013.063</t>
  </si>
  <si>
    <t>Elustondo, D; Stocchero, A; Gaunt, D</t>
  </si>
  <si>
    <t>Elustondo, Diego; Stocchero, Andrea; Gaunt, Douglas</t>
  </si>
  <si>
    <t>A definition for circular bio-based cities based on a reductionist metabolic approach</t>
  </si>
  <si>
    <t>Bioeconomy; Sustainable development; Urban metabolism; Zero waste; CO 2 emissions; Regenerative villages</t>
  </si>
  <si>
    <t>ECONOMY; SUSTAINABILITY</t>
  </si>
  <si>
    <t>10.1016/j.cacint.2023.100121</t>
  </si>
  <si>
    <t>Palazzo, AL</t>
  </si>
  <si>
    <t>Palazzo, Anna Laura</t>
  </si>
  <si>
    <t>The Early Global Vocation of Rome. Worship, Culture and Beyond</t>
  </si>
  <si>
    <t>HUMANITIES-BASEL</t>
  </si>
  <si>
    <t>Global Rome; Forma Urbis; Citta Antica; Citta Moderna; worship places; urban facilities; Grand Tour; urban metabolism</t>
  </si>
  <si>
    <t>2076-0787</t>
  </si>
  <si>
    <t>10.3390/h10030103</t>
  </si>
  <si>
    <t>Ye, H; Wang, K; Zhao, XF; Chen, F; Li, XQ; Pan, LY</t>
  </si>
  <si>
    <t>Ye, Hong; Wang, Kai; Zhao, Xiaofeng; Chen, Feng; Li, Xuanqi; Pan, Lingyang</t>
  </si>
  <si>
    <t>Relationship between construction characteristics and carbon emissions from urban household operational energy usage</t>
  </si>
  <si>
    <t>Household operatinal energy; Carbon emission; Construction characteristics; General linear model; Univariate; Urban</t>
  </si>
  <si>
    <t>APPLIANCES</t>
  </si>
  <si>
    <t>10.1016/j.enbuild.2010.09.002</t>
  </si>
  <si>
    <t>Davidova, M</t>
  </si>
  <si>
    <t>Davidova, Marie</t>
  </si>
  <si>
    <t>Breathing Artifacts of Urban BioClimatic Layers for Post-Anthropocene Urban Environment</t>
  </si>
  <si>
    <t>post-Anthropocene; cross-species coliving; systemic design; systems-oriented design; systemic approach to architectural performance; metabolic cities; breathing walls; responsive wood; gigamapping</t>
  </si>
  <si>
    <t>10.3390/su132011307</t>
  </si>
  <si>
    <t>Kuong, IH; Li, JH; Zhang, J; Zeng, XL</t>
  </si>
  <si>
    <t>Kuong, Io Hou; Li, Jinhui; Zhang, Jian; Zeng, Xianlai</t>
  </si>
  <si>
    <t>Estimating the Evolution of Urban Mining Resources in Hong Kong, Up to the Year 2050</t>
  </si>
  <si>
    <t>MATERIAL FLOW-ANALYSIS; E-WASTE; SCARCE METALS; ELECTRONIC EQUIPMENT; MOBILE PHONES; END; CRITICALITY; GENERATION; WEEE; RECYCLABILITY</t>
  </si>
  <si>
    <t>FEB 5</t>
  </si>
  <si>
    <t>10.1021/acs.est.8b04063</t>
  </si>
  <si>
    <t>Gushgari, AJ; Driver, EM; Steele, JC; Halden, RU</t>
  </si>
  <si>
    <t>Gushgari, Adam J.; Driver, Erin M.; Steele, Joshua C.; Halden, Rolf U.</t>
  </si>
  <si>
    <t>Tracking narcotics consumption at a Southwestern US university campus by wastewater-based epidemiology</t>
  </si>
  <si>
    <t>JOURNAL OF HAZARDOUS MATERIALS</t>
  </si>
  <si>
    <t>Sewage-based epidemiology; Urban metabolism metrology; College campus; Fentanyl; Heroin</t>
  </si>
  <si>
    <t>ILLICIT DRUG-USE; PRESCRIPTION STIMULANTS; URINARY-EXCRETION; BRAIN-DEVELOPMENT; COLLEGE-STUDENTS; RITALINIC ACID; HEROIN USE; PHARMACOKINETICS; ABUSE; PHARMACODYNAMICS</t>
  </si>
  <si>
    <t>0304-3894</t>
  </si>
  <si>
    <t>1873-3336</t>
  </si>
  <si>
    <t>OCT 5</t>
  </si>
  <si>
    <t>10.1016/j.jhazmat.2018.07.073</t>
  </si>
  <si>
    <t>Stergiouli, ML; Hadjibiros, K</t>
  </si>
  <si>
    <t>Stergiouli, Martha Leto; Hadjibiros, Kimon</t>
  </si>
  <si>
    <t>The growing water imprint of Athens (Greece) throughout history</t>
  </si>
  <si>
    <t>Athens water imprint; Athens water supply system; Environmental imprint of Athens; Athens external aqueduct; Flux of water from Athens Hinterland; Athens urban metabolism</t>
  </si>
  <si>
    <t>MANAGEMENT</t>
  </si>
  <si>
    <t>10.1007/s10113-011-0260-7</t>
  </si>
  <si>
    <t>Schmitt, G</t>
  </si>
  <si>
    <t>Schmitt, Gerhard</t>
  </si>
  <si>
    <t>disP Service The Future Cities Laboratory</t>
  </si>
  <si>
    <t>DISP</t>
  </si>
  <si>
    <t>0251-3625</t>
  </si>
  <si>
    <t>10.1080/02513625.2012.759354</t>
  </si>
  <si>
    <t>Regional &amp; Urban Planning</t>
  </si>
  <si>
    <t>Zhang, YL; Zhou, CC; Du, J; Wang, M; Wu, WT; Liu, GJ</t>
  </si>
  <si>
    <t>Zhang, Yulin; Zhou, Chuncai; Du, Jiao; Wang, Min; Wu, Wentao; Liu, Guijian</t>
  </si>
  <si>
    <t>Material flow analysis and characteristics of multiple-source organic solid wastes from a perspective of ecological network analysis: A case study in Hefei, China</t>
  </si>
  <si>
    <t>Urban metabolism; multiple-source organic solid waste; material flow analysis; ecological networks; relationship analysis; Hefei</t>
  </si>
  <si>
    <t>URBAN MATERIAL METABOLISM; MANAGEMENT; FRAMEWORK; SYSTEM</t>
  </si>
  <si>
    <t>10.1177/0734242X221136467</t>
  </si>
  <si>
    <t>Taylor, JR; Hanumappa, M; Miller, L; Shane, B; Richardson, ML</t>
  </si>
  <si>
    <t>Taylor, John R.; Hanumappa, Mamatha; Miller, Lara; Shane, Brendan; Richardson, Matthew L.</t>
  </si>
  <si>
    <t>Facilitating Multifunctional Green Infrastructure Planning in Washington, DC through a Tableau Interface</t>
  </si>
  <si>
    <t>green infrastructure; urban agriculture; e-tools; participatory planning; urban metabolism</t>
  </si>
  <si>
    <t>URBAN; BIODIVERSITY</t>
  </si>
  <si>
    <t>10.3390/su13158390</t>
  </si>
  <si>
    <t>González-García, S; Caamaño, MR; Moreira, MT; Feijoo, G</t>
  </si>
  <si>
    <t>Gonzalez-Garcia, Sara; Rama Caamano, Manuel; Teresa Moreira, Maria; Feijoo, Gumersindo</t>
  </si>
  <si>
    <t>Environmental profile of the municipality of Madrid through the methodologies of Urban Metabolism and Life Cycle Analysis</t>
  </si>
  <si>
    <t>Environmental impacts; Industrial ecology; Material flow analysis; Sustainable city</t>
  </si>
  <si>
    <t>MATERIAL FLOW-ANALYSIS; CARBON FOOTPRINT; ASSESSMENT LCA; CITY; CITIES; SUSTAINABILITY; VEHICLES; IMPACT; TOOLS; MFA</t>
  </si>
  <si>
    <t>10.1016/j.scs.2020.102546</t>
  </si>
  <si>
    <t>Ramos, A; Rouboa, A</t>
  </si>
  <si>
    <t>Ramos, Ana; Rouboa, Abel</t>
  </si>
  <si>
    <t>Renewable energy from solid waste: life cycle analysis and social welfare</t>
  </si>
  <si>
    <t>Renewable energy; Waste-to-energy; Sustainability; Life cycle assessment; Social wellbeing</t>
  </si>
  <si>
    <t>ENVIRONMENTAL-IMPACT ASSESSMENT; TO-ENERGY; URBAN METABOLISM; TECHNOECONOMIC ANALYSIS; ECONOMIC-PERFORMANCE; PLASMA GASIFICATION; MANAGEMENT-SYSTEMS; THERMAL-TREATMENT; SHREDDER RESIDUE; MSW</t>
  </si>
  <si>
    <t>10.1016/j.eiar.2020.106469</t>
  </si>
  <si>
    <t>Berigüete, FE; Cantalapiedra, IR; Palumbo, M; Masseck, T</t>
  </si>
  <si>
    <t>Beriguete, Fanny. E. E.; Cantalapiedra, Inma Rodriguez; Palumbo, Mariana; Masseck, Torsten</t>
  </si>
  <si>
    <t>Collective Intelligence to Co-Create the Cities of the Future: Proposal of an Evaluation Tool for Citizen Initiatives</t>
  </si>
  <si>
    <t>social innovation; sustainable cities; bottom-up process; citizen participation; tool for assessing sustainability; sustainable living habits; resilience; neighbourhoods; community living</t>
  </si>
  <si>
    <t>10.3390/su15107956</t>
  </si>
  <si>
    <t>Islam, KMN; Kenway, SJ; Renouf, MA; Wiedmann, T; Lam, KL</t>
  </si>
  <si>
    <t>Islam, K. M. Nazmul; Kenway, Steven J.; Renouf, Marguerite A.; Wiedmann, Thomas; Lam, Ka Leung</t>
  </si>
  <si>
    <t>A multi-regional input-output analysis of direct and virtual urban water flows to reduce city water footprints in Australia</t>
  </si>
  <si>
    <t>Water resources; Cities; Water transfers; Water footprint; Input-output model; Urban metabolism</t>
  </si>
  <si>
    <t>BEEF-CATTLE PRODUCTION; CYCLE ASSESSMENT LCA; EMBODIED WATER; FOOD-CONSUMPTION; LAND-USE; TRADE; RESOURCES; CITIES; CHINA; SUSTAINABILITY</t>
  </si>
  <si>
    <t>2021 DEC</t>
  </si>
  <si>
    <t>10.1016/j.scs.2021.103236</t>
  </si>
  <si>
    <t>Gao, LJ; Cui, SH; Yang, DW; Tang, LN; Vause, J; Xiao, LS; Li, XQ; Shi, LY</t>
  </si>
  <si>
    <t>Gao, Lijie; Cui, Shenghui; Yang, Dewei; Tang, Lina; Vause, Jonathan; Xiao, Lishan; Li, Xuanqi; Shi, Longyu</t>
  </si>
  <si>
    <t>Sustainability and Chinese Urban Settlements: Extending the Metabolism Model of Emergy Evaluation</t>
  </si>
  <si>
    <t>urban metabolism; settlement-level planning; emergy; housing reform; sustainability indicators</t>
  </si>
  <si>
    <t>ECOLOGY; EXERGY; APPRAISAL; INDEXES; RECYCLE; FORM</t>
  </si>
  <si>
    <t>10.3390/su8050459</t>
  </si>
  <si>
    <t>Villalba, G; Gemechu, ED</t>
  </si>
  <si>
    <t>Villalba, Gara; Demisse Gemechu, Eskinder</t>
  </si>
  <si>
    <t>Estimating GHG emissions of marine ports-the case of Barcelona</t>
  </si>
  <si>
    <t>GHG emissions; Ports; Sea-based emissions</t>
  </si>
  <si>
    <t>10.1016/j.enpol.2010.12.008</t>
  </si>
  <si>
    <t>Han, X; Shi, WY; Yao, YX</t>
  </si>
  <si>
    <t>Han, Xiao; Shi, Wei-Yu; Yao, Yu-Xia</t>
  </si>
  <si>
    <t>A Review of the Water-Carbon Nexus in Urban Systems</t>
  </si>
  <si>
    <t>water-carbon nexus; water use; carbon emission; urbanization</t>
  </si>
  <si>
    <t>LIFE-CYCLE INVENTORY; ENERGY-FOOD NEXUS; ELECTRICITY PRODUCTION; CO2 EMISSIONS; CONSUMPTION; WASTE; FOOTPRINT; POWER; CHINA; QUANTIFICATION</t>
  </si>
  <si>
    <t>10.3390/w15061005</t>
  </si>
  <si>
    <t>Mendez-Alva, F; Cervo, H; Krese, G; Van Eetvelde, G</t>
  </si>
  <si>
    <t>Mendez-Alva, Francisco; Cervo, Helene; Krese, Gorazd; Van Eetvelde, Greet</t>
  </si>
  <si>
    <t>Industrial symbiosis profiles in energy-intensive industries: Sectoral insights from open databases</t>
  </si>
  <si>
    <t>Energy-intensive industry; Industrial symbiosis; Circular economy; Sustainability; Databases</t>
  </si>
  <si>
    <t>CIRCULAR ECONOMY; URBAN METABOLISM; CEMENT KILN; STEEL; SEQUESTRATION; CAPTURE; DESIGN; WASTE; TOOLS</t>
  </si>
  <si>
    <t>2021 SEP 10</t>
  </si>
  <si>
    <t>10.1016/j.jclepro.2021.128031</t>
  </si>
  <si>
    <t>Laschefski, K</t>
  </si>
  <si>
    <t>Laschefski, Klemens</t>
  </si>
  <si>
    <t>Conflicting urban and rural territorial livelihood metabolisms: The explosion of the sustainable urban-industrial pulp complex in Bahia - Brazil</t>
  </si>
  <si>
    <t>Urban sustainability; Urban metabolism; Ecological modernisation; Environmental justice; Space; Territory; Livelihood; Certification; Forest stewardship council; Pulp industry</t>
  </si>
  <si>
    <t>ECOLOGICALLY UNEQUAL EXCHANGE; PLANTATIONS</t>
  </si>
  <si>
    <t>10.1016/j.scs.2018.11.030</t>
  </si>
  <si>
    <t>Fang, CL; Liu, HM; Li, GD</t>
  </si>
  <si>
    <t>Fang Chuanglin; Liu Haimeng; Li Guangdong</t>
  </si>
  <si>
    <t>International progress and evaluation on interactive coupling effects between urbanization and the eco-environment</t>
  </si>
  <si>
    <t>urbanization; eco-environment; interactive coupling effect; international progress; overall evaluation and prospects</t>
  </si>
  <si>
    <t>SOCIAL-ECOLOGICAL SYSTEMS; MULTIOBJECTIVE GENETIC ALGORITHM; RESOURCES CONSTRAINT FORCE; JING-JIN-JI; URBAN METABOLISM; CLIMATE-CHANGE; CO2 EMISSIONS; PLANETARY BOUNDARIES; AIR-POLLUTION; BIG DATA</t>
  </si>
  <si>
    <t>10.1007/s11442-016-1317-9</t>
  </si>
  <si>
    <t>Wu, Y; Cao, L; Liu, YG</t>
  </si>
  <si>
    <t>Wu, Yi; Cao, Li; Liu, Yunguo</t>
  </si>
  <si>
    <t>Exploring the response of regional metabolism to population quality change in the late demographic dividend-Evidence from China</t>
  </si>
  <si>
    <t>Population quality index; Regional metabolism; Regional heterogeneity; Tobit model</t>
  </si>
  <si>
    <t>URBAN METABOLISM; ENERGY EFFICIENCY; URBANIZATION; EMERGY; SUSTAINABILITY; CONSUMPTION; MECHANISMS; IMPACTS; TRADE; WATER</t>
  </si>
  <si>
    <t>2023 AUG</t>
  </si>
  <si>
    <t>10.1016/j.ecolind.2023.110337</t>
  </si>
  <si>
    <t>Månsson, N; Bergbäck, B; Sörme, L</t>
  </si>
  <si>
    <t>Mansson, Nina; Bergback, Bo; Sorme, Louise</t>
  </si>
  <si>
    <t>Phasing Out Cadmium, Lead, and Mercury</t>
  </si>
  <si>
    <t>chemicals policy; heavy metals; industrial ecology; substance flow analysis (SFA); toxic substances; urban metabolism</t>
  </si>
  <si>
    <t>MULTILEVEL CYCLE; STOCKHOLM; EMISSIONS; PRODUCTS; FLOW; EU</t>
  </si>
  <si>
    <t>10.1111/j.1530-9290.2008.00085.x</t>
  </si>
  <si>
    <t>Wassenaar, T; Bodo, BS; Hilou, A; Rochelle-Newall, E</t>
  </si>
  <si>
    <t>Wassenaar, Tom; Bodo, Bachirou S.; Hilou, Adama; Rochelle-Newall, Emma</t>
  </si>
  <si>
    <t>The nitrogen metabolism of growing sub-Saharan cities and their prospect for shifting from regional sinks to sustainable city region food systems</t>
  </si>
  <si>
    <t>Metabolism; Nitrogen; City region food system; Nutrient sink; Urine; Recycling</t>
  </si>
  <si>
    <t>PHOSPHORUS FLOWS; AGRICULTURE; MANAGEMENT; RIFT; NUTRIENTS</t>
  </si>
  <si>
    <t>10.1007/s10113-023-02070-x</t>
  </si>
  <si>
    <t>Agostinho, F; Costa, M; Coscieme, L; Almeida, CMVB; Giannetti, BF</t>
  </si>
  <si>
    <t>Agostinho, Feni; Costa, Marcio; Coscieme, Luca; Almeida, Cecilia M. V. B.; Giannetti, Biagio F.</t>
  </si>
  <si>
    <t>Assessing cities growth-degrowth pulsing by emergy and fractals: A methodological proposal</t>
  </si>
  <si>
    <t>Emergy; Energy hierarchy; GIS; Satellite nighttime imagery; Urban metabolism</t>
  </si>
  <si>
    <t>NIGHTTIME LIGHTS; URBAN EXPANSION; TIME-SERIES; SUSTAINABILITY; DIMENSION; CONSUMPTION; DYNAMICS; REGION; LIMITS; WORLD</t>
  </si>
  <si>
    <t>2021 JUN</t>
  </si>
  <si>
    <t>10.1016/j.cities.2021.103162</t>
  </si>
  <si>
    <t>García-Guaita, F; González-García, S; Villanueva-Rey, P; Moreira, MT; Feijoo, G</t>
  </si>
  <si>
    <t>Garcia-Guaita, Fernando; Gonzalez-Garcia, Sara; Villanueva-Rey, Pedro; Teresa Moreira, Maria; Feijoo, Gumersindo</t>
  </si>
  <si>
    <t>Integrating Urban Metabolism, Material Flow Analysis and Life Cycle Assessment in the environmental evaluation of Santiago de Compostela</t>
  </si>
  <si>
    <t>Environmental impacts; Flows quantification; Spain; Sustainable city; Urban planning</t>
  </si>
  <si>
    <t>SUPPORT TOOL; WASTE MANAGEMENT; ASSESSMENT LCA; CITIES; CITY; SUSTAINABILITY; IMPACTS; SPAIN; MODEL; AREA</t>
  </si>
  <si>
    <t>10.1016/j.scs.2018.04.027</t>
  </si>
  <si>
    <t>Amiri, SS; Mostafavi, N; Lee, ER; Hoque, S</t>
  </si>
  <si>
    <t>Amiri, Shideh Shams; Mostafavi, Nariman; Lee, Earl Rusty; Hoque, Simi</t>
  </si>
  <si>
    <t>Machine learning approaches for predicting household transportation energy use</t>
  </si>
  <si>
    <t>Transportation energy modeling; Household travel survey data; Machine learning; Random forest; Artificial neural network</t>
  </si>
  <si>
    <t>ARTIFICIAL NEURAL-NETWORKS; TRAVEL BEHAVIOR; MODE CHOICE; URBAN FORM; RESIDENTIAL ENERGY; RANDOM FOREST; LAND-USE; CONSUMPTION; INTELLIGENCE</t>
  </si>
  <si>
    <t>10.1016/j.cacint.2020.100044</t>
  </si>
  <si>
    <t>Ohms, PK; Laurent, A; Hauschild, MZ; Ryberg, MW</t>
  </si>
  <si>
    <t>Ohms, Pernille K.; Laurent, Alexis; Hauschild, Michael Z.; Ryberg, Morten W.</t>
  </si>
  <si>
    <t>Consumption-based screening of climate change footprints for cities worldwide</t>
  </si>
  <si>
    <t>Climate change footprint; Consumption -scope; Sustainable cities; Sustainability screening; Multiple regression models</t>
  </si>
  <si>
    <t>GREENHOUSE-GAS EMISSIONS; MATERIAL FLOW-ANALYSIS; LIFE-CYCLE ASSESSMENT; CARBON FOOTPRINT; URBAN METABOLISM; ENERGY</t>
  </si>
  <si>
    <t>2022 DEC 1</t>
  </si>
  <si>
    <t>10.1016/j.jclepro.2022.134197</t>
  </si>
  <si>
    <t>Lasisi, TT; Eluwole, KK; Alola, UV; Aldieri, L; Vinci, CP; Alola, AA</t>
  </si>
  <si>
    <t>Lasisi, Taiwo Temitope; Eluwole, Kayode Kolawole; Alola, Uju Violet; Aldieri, Luigi; Vinci, Concetto Paolo; Alola, Andrew Adewale</t>
  </si>
  <si>
    <t>Do Tourism Activities and Urbanization Drive Material Consumption in the OECD Countries? A Quantile Regression Approach</t>
  </si>
  <si>
    <t>sustainable consumption; domestic materials; real income; international tourism; quantile regression; OECD</t>
  </si>
  <si>
    <t>MATERIAL FLOWS; FINANCIAL DEVELOPMENT; ENERGY-CONSUMPTION; URBAN METABOLISM; ECONOMIC-GROWTH; FOOTPRINT; INCOME; EMISSIONS; PATTERNS; WIDE</t>
  </si>
  <si>
    <t>10.3390/su13147742</t>
  </si>
  <si>
    <t>Sander, H; Weissermel, S</t>
  </si>
  <si>
    <t>Sander, Hendrik; Weissermel, Soeren</t>
  </si>
  <si>
    <t>Urban Heat Transition in Berlin: Corporate Strategies, Political Conflicts, and Just Solutions</t>
  </si>
  <si>
    <t>Berlin; energy justice; energy retrofitting; green gentrification; heat transition; just transition; low-carbon policy; urban metabolism; urban political ecology</t>
  </si>
  <si>
    <t>10.17645/up.v8i1.6178</t>
  </si>
  <si>
    <t>Talandier, M; Donsimoni, M</t>
  </si>
  <si>
    <t>Talandier, Magali; Donsimoni, Myriam</t>
  </si>
  <si>
    <t>Industrial metabolism and territorial development of the Maurienne Valley (France)</t>
  </si>
  <si>
    <t>Territorial capability; Metabolism; Territorial economics; Territorial ecology; Socio-economic flows</t>
  </si>
  <si>
    <t>URBAN METABOLISM; SUSTAINABILITY; PROXIMITY; CITIES; PERSPECTIVE; KNOWLEDGE; GEOGRAPHY; REGIONS</t>
  </si>
  <si>
    <t>10.1007/s10113-021-01845-4</t>
  </si>
  <si>
    <t>Moles, R; Foley, W; Morrissey, J; O'Regan, B</t>
  </si>
  <si>
    <t>Moles, Richard; Foley, Walter; Morrissey, John; O'Regan, Bernadette</t>
  </si>
  <si>
    <t>Practical appraisal of sustainable development-Methodologies for sustainability measurement at settlement level</t>
  </si>
  <si>
    <t>settlements; sustainability; material flow; indicators; planning</t>
  </si>
  <si>
    <t>ECOLOGICAL FOOTPRINTS; URBAN SUSTAINABILITY; INDICATORS; CITIES; PATTERNS; REGIONS; FORM</t>
  </si>
  <si>
    <t>FEB-APR</t>
  </si>
  <si>
    <t>2-3</t>
  </si>
  <si>
    <t>10.1016/j.eiar.2007.06.003</t>
  </si>
  <si>
    <t>Arora, M; Yeow, LW; Cheah, L; Derrible, S</t>
  </si>
  <si>
    <t>Arora, Mohit; Yeow, Lih Wei; Cheah, Lynette; Derrible, Sybil</t>
  </si>
  <si>
    <t>Assessing water circularity in cities: Methodological framework with a case study</t>
  </si>
  <si>
    <t>Water metabolism; Urban water management; Circularity indicators; Circular economy; Water policy; Industrial ecology</t>
  </si>
  <si>
    <t>MASS-BALANCE; MONITORING FRAMEWORK; URBAN METABOLISM; ECONOMY; ENERGY; PERSPECTIVE; SUBSIDENCE; REUSE; STATE; LOOP</t>
  </si>
  <si>
    <t>10.1016/j.resconrec.2021.106042</t>
  </si>
  <si>
    <t>Ioppolo, G; Traverso, M; Finkbeiner, M</t>
  </si>
  <si>
    <t>Ioppolo, Giuseppe; Traverso, Marzia; Finkbeiner, Matthias</t>
  </si>
  <si>
    <t>Prefacea new paradigm for life cycle thinking: exploring sustainability in urban development scenarios</t>
  </si>
  <si>
    <t>City management; Life cycle assessment; Life cycle thinking; Urban planning; Urban sustainability</t>
  </si>
  <si>
    <t>TOOL</t>
  </si>
  <si>
    <t>10.1007/s11367-019-01586-x</t>
  </si>
  <si>
    <t>Porse, E; Derenski, J; Gustafson, H; Elizabeth, Z; Pincetl, S</t>
  </si>
  <si>
    <t>Porse, Erik; Derenski, Joshua; Gustafson, Hannah; Elizabeth, Zoe; Pincetl, Stephanie</t>
  </si>
  <si>
    <t>Structural, geographic, and social factors in urban building energy use: Analysis of aggregated account-level consumption data in a megacity</t>
  </si>
  <si>
    <t>Electricity; Conservation strategy; Energy consumption; Urban metabolism; Spatial variability</t>
  </si>
  <si>
    <t>EFFICIENCY; SECTOR</t>
  </si>
  <si>
    <t>10.1016/j.enpol.2016.06.002</t>
  </si>
  <si>
    <t>Zhang, ZL; Chen, XP; Heck, P</t>
  </si>
  <si>
    <t>Zhang, Zilong; Chen, Xingpeng; Heck, Peter</t>
  </si>
  <si>
    <t>Emergy-Based Regional Socio-Economic Metabolism Analysis: An Application of Data Envelopment Analysis and Decomposition Analysis</t>
  </si>
  <si>
    <t>socio-economic metabolism; emergy analysis; data envelopment analysis; decomposition analysis; Qingyang</t>
  </si>
  <si>
    <t>INDUSTRIAL METABOLISM; INTEGRATED ANALYSIS; URBAN METABOLISM; ENERGY ANALYSIS; SUSTAINABILITY; EFFICIENCY; INDEX; PRODUCTIVITY; POPULATION; INDICATORS</t>
  </si>
  <si>
    <t>10.3390/su6128618</t>
  </si>
  <si>
    <t>Wassenaar, T</t>
  </si>
  <si>
    <t>Wassenaar, Tom</t>
  </si>
  <si>
    <t>Reconsidering Industrial Metabolism: From Analogy to Denoting Actuality</t>
  </si>
  <si>
    <t>biological analogy; industrial ecology; industrial metabolism; metabolic network; nature culture dichotomy; nonequilibrium ecology</t>
  </si>
  <si>
    <t>URBAN METABOLISM; ECOLOGY; CHEMISTRY; EVOLUTION; SOCIETY; ENERGY; MODEL; LIFE</t>
  </si>
  <si>
    <t>10.1111/jiec.12349</t>
  </si>
  <si>
    <t>Pauleit, S; Duhme, F</t>
  </si>
  <si>
    <t>Assessing the environmental performance of land cover types for urban planning</t>
  </si>
  <si>
    <t>urban ecosystem; urban planning; land cover type; metabolism; urban hydrology; environmental targets; sustainable development</t>
  </si>
  <si>
    <t>NOV 5</t>
  </si>
  <si>
    <t>10.1016/S0169-2046(00)00109-2</t>
  </si>
  <si>
    <t>Reçber, N; Sengül, H</t>
  </si>
  <si>
    <t>Recber, Nazife; Sengul, Hatice</t>
  </si>
  <si>
    <t>Coefficient-based accounting of Net Additions to Stock (NAS) and associated embodied energy for Eryaman, Ankara</t>
  </si>
  <si>
    <t>Urban sustainability; urban metabolism; urban material stock; construction material stock; net addition to stock (NAS); bottom-up accounting; coefficient-based method</t>
  </si>
  <si>
    <t>2021 MAY 4</t>
  </si>
  <si>
    <t>10.1080/19463138.2021.1898967</t>
  </si>
  <si>
    <t>Moncayo, JMD</t>
  </si>
  <si>
    <t>de Andres Moncayo, Jose Manuel</t>
  </si>
  <si>
    <t>The organic language of Arturo Soria. The antecedent of ecological urban planning</t>
  </si>
  <si>
    <t>CUADERNOS DE PROYECTOS ARQUITECTONICOS</t>
  </si>
  <si>
    <t>Arturo Soria y Mato; Ciudad Lineal; Language; Organicism; Ecological Urbanism</t>
  </si>
  <si>
    <t>2171-956X</t>
  </si>
  <si>
    <t>2174-1131</t>
  </si>
  <si>
    <t>Li, XQ; Zhang, LX; Hao, Y; Shi, ZM; Zhang, PP; Xiong, X; Li, YQ; Lu, ZM</t>
  </si>
  <si>
    <t>Li, Xinqing; Zhang, Lixiao; Hao, Yan; Shi, Zhimin; Zhang, Pengpeng; Xiong, Xin; Li, Yuqin; Lu, Zhongming</t>
  </si>
  <si>
    <t>Understanding resilience of urban food-energy-water nexus system: Insights from an ecological network analysis of megacity Beijing</t>
  </si>
  <si>
    <t>Food -energy -water nexus; Ecological network analysis; Urban resilience; Urban metabolism; Adaptability analysis</t>
  </si>
  <si>
    <t>CARBON METABOLISM; CHALLENGES; FRAMEWORK; SUSTAINABILITY; SECURITY</t>
  </si>
  <si>
    <t>10.1016/j.scs.2023.104605</t>
  </si>
  <si>
    <t>APR 2023</t>
  </si>
  <si>
    <t>Avila-Gutiérrez, MJ; Martín-Gómez, A; Aguayo-González, F; Lama-Ruiz, JR</t>
  </si>
  <si>
    <t>Jesus Avila-Gutierrez, Maria; Martin-Gomez, Alejandro; Aguayo-Gonzalez, Francisco; Ramon Lama-Ruiz, Juan</t>
  </si>
  <si>
    <t>Eco-Holonic 4.0 Circular Business Model to Conceptualize Sustainable Value Chain towards Digital Transition</t>
  </si>
  <si>
    <t>circular economy; circular business model; holonic systems; activity theory; sustainable manufacturing</t>
  </si>
  <si>
    <t>ECOLOGICAL NETWORK ANALYSIS; EFFICIENT VALUE CREATION; LIFE-CYCLE ASSESSMENT; SUPPLY CHAIN; INDUSTRIAL PARK; URBAN METABOLISM; EMBODIED ENERGY; COST-ANALYSIS; ECONOMY; DESIGN</t>
  </si>
  <si>
    <t>10.3390/su12051889</t>
  </si>
  <si>
    <t>Ajibade, I</t>
  </si>
  <si>
    <t>Ajibade, Idowu</t>
  </si>
  <si>
    <t>The Resilience Fix to Climate Disasters: Recursive and Contested Relations with Equity and Justice-Based Transformations in the Global South</t>
  </si>
  <si>
    <t>Elderly friendly; capitalist urbanization; climate disasters; just urban transformations; resilience fix; urban political ecology</t>
  </si>
  <si>
    <t>INFORMAL SETTLEMENTS; ADAPTATION; MANILA; SUSTAINABILITY; VULNERABILITY; ACCUMULATION; COMMUNITIES; METABOLISM; POLITICS; CITIES</t>
  </si>
  <si>
    <t>2022 NOV 11</t>
  </si>
  <si>
    <t>10.1080/24694452.2022.2062290</t>
  </si>
  <si>
    <t>Suvarna, M; Büth, L; Hejny, J; Mennenga, M; Li, J; Ng, YT; Herrmann, C; Wang, XN</t>
  </si>
  <si>
    <t>Suvarna, Manu; Buth, Lennart; Hejny, Johannes; Mennenga, Mark; Li, Jie; Ng, Yen Ting; Herrmann, Christoph; Wang, Xiaonan</t>
  </si>
  <si>
    <t>Smart Manufacturing for Smart Cities-Overview, Insights, and Future Directions</t>
  </si>
  <si>
    <t>ADVANCED INTELLIGENT SYSTEMS</t>
  </si>
  <si>
    <t>cyber physical production systems; industrial symbiosis; Machine Learning; smart cities; smart manufacturing</t>
  </si>
  <si>
    <t>ENABLING INDUSTRIAL SYMBIOSIS; CYBER-PHYSICAL SYSTEMS; LIFE-CYCLE ASSESSMENT; URBAN METABOLISM; COLLABORATION PLATFORM; QUANTITATIVE ASSESSMENT; PREDICTIVE MAINTENANCE; RESOURCE; CITY; DESIGN</t>
  </si>
  <si>
    <t>2640-4567</t>
  </si>
  <si>
    <t>10.1002/aisy.202000043</t>
  </si>
  <si>
    <t>Automation &amp; Control Systems; Computer Science, Artificial Intelligence; Robotics</t>
  </si>
  <si>
    <t>Meng, FX; Liu, GY; Liang, S; Su, MR; Yang, ZF</t>
  </si>
  <si>
    <t>Meng, Fanxin; Liu, Gengyuan; Liang, Sai; Su, Meirong; Yang, Zhifeng</t>
  </si>
  <si>
    <t>Critical review of the energy-water-carbon nexus in cities</t>
  </si>
  <si>
    <t>Energy; Water; Carbon; Nexus; Urban metabolism; City</t>
  </si>
  <si>
    <t>GREENHOUSE-GAS EMISSIONS; ECOLOGICAL NETWORK ANALYSIS; PACIFIC INTEGRATED MODEL; CO2 EMISSIONS; URBAN WATER; ELECTRICITY PRODUCTION; POWER-GENERATION; WASTE-WATER; ENVIRONMENTAL IMPACTS; DEMAND COEFFICIENTS</t>
  </si>
  <si>
    <t>10.1016/j.energy.2019.01.048</t>
  </si>
  <si>
    <t>Kennedy, C; Stewart, ID; Facchini, A; Mele, R</t>
  </si>
  <si>
    <t>Kennedy, Chris; Stewart, Iain D.; Facchini, Angelo; Mele, Renata</t>
  </si>
  <si>
    <t>The role of utilities in developing low carbon, electric megacities</t>
  </si>
  <si>
    <t>Cities; Climate change; Electricity; Business models; Technological transition; Industrial ecology</t>
  </si>
  <si>
    <t>ENERGY-STORAGE TECHNOLOGIES; SUSTAINABLE ENERGY; RENEWABLE ENERGY; URBAN METABOLISM; SOLAR CITIES; INFRASTRUCTURE; MICROGRIDS; STRATEGIES; INNOVATION; OPERATION</t>
  </si>
  <si>
    <t>10.1016/j.enpol.2017.02.047</t>
  </si>
  <si>
    <t>Kovács, EK; Ojha, H; Neupane, KR; Niven, T; Agarwal, C; Chauhan, D; Dahal, N; Devkota, K; Guleria, V; Joshi, T; Michael, NK; Pandey, A; Singh, N; Singh, V; Thadani, R; Vira, B</t>
  </si>
  <si>
    <t>Kovacs, Eszter Krasznai; Ojha, Hemant; Neupane, Kaustuv R.; Niven, Thomas; Agarwal, Chetan; Chauhan, Devendra; Dahal, Ngamindra; Devkota, Kamal; Guleria, Vijay; Joshi, Tikeshwari; Michael, Natasha K.; Pandey, Anvita; Singh, Nuvodita; Singh, Vishal; Thadani, Rajesh; Vira, Bhaskar</t>
  </si>
  <si>
    <t>A political ecology of water and small-town urbanisation across the lower Himalayas</t>
  </si>
  <si>
    <t>Urbanisation; Water; Political ecology; Himalayas; India; Nepal</t>
  </si>
  <si>
    <t>ECOSYSTEM SERVICES; INFRASTRUCTURE; MODERNITY; SPRINGS; LADAKH</t>
  </si>
  <si>
    <t>10.1016/j.geoforum.2019.10.008</t>
  </si>
  <si>
    <t>Kovacic, Z; Musango, JK; Ambole, LA; Buyana, K; Smit, S; Anditi, C; Mwau, B; Ogot, M; Lwasa, S; Brent, AC; Nsangi, G; Sseviiri, H</t>
  </si>
  <si>
    <t>Kovacic, Zora; Musango, Josephine Kaviti; Ambole, Lorraine Amollo; Buyana, Kareem; Smit, Suzanne; Anditi, Christer; Mwau, Baraka; Ogot, Madara; Lwasa, Shuaib; Brent, Alan C.; Nsangi, Gloria; Sseviiri, Hakimu</t>
  </si>
  <si>
    <t>Interrogating differences: A comparative analysis of Africa's informal settlements</t>
  </si>
  <si>
    <t>WORLD DEVELOPMENT</t>
  </si>
  <si>
    <t>Slums; Gender; Health; Energy; Social metabolism; Co-design</t>
  </si>
  <si>
    <t>URBAN METABOLISM; SOCIETAL METABOLISM; INTEGRATED ANALYSIS; POVERTY; SLUM; CITY; PERSPECTIVES; GENDER; WORLD</t>
  </si>
  <si>
    <t>0305-750X</t>
  </si>
  <si>
    <t>10.1016/j.worlddev.2019.06.026</t>
  </si>
  <si>
    <t>Development Studies; Economics</t>
  </si>
  <si>
    <t>Valencia, M; Bocken, N; Loaiza, C; De Jaeger, S</t>
  </si>
  <si>
    <t>Valencia, Melanie; Bocken, Nancy; Loaiza, Camila; De Jaeger, Simon</t>
  </si>
  <si>
    <t>The social contribution of the circular economy</t>
  </si>
  <si>
    <t>Social value; Social sustainability; Circular economy; Capabilities; Social circular economy</t>
  </si>
  <si>
    <t>SUSTAINABLE DEVELOPMENT; URBAN METABOLISM; SUPPLY CHAIN; DESIGN; CHALLENGES; PRINCIPLES; MANAGEMENT; INNOVATION; FRAMEWORK; STAKEHOLDERS</t>
  </si>
  <si>
    <t>2023 JUL 1</t>
  </si>
  <si>
    <t>10.1016/j.jclepro.2023.137082</t>
  </si>
  <si>
    <t>Lee, SE; Quinn, AD; Rogers, CDF</t>
  </si>
  <si>
    <t>Lee, Susan E.; Quinn, Andrew D.; Rogers, Chris D. F.</t>
  </si>
  <si>
    <t>Advancing City Sustainability via Its Systems of Flows: The Urban Metabolism of Birmingham and Its Hinterland</t>
  </si>
  <si>
    <t>hinterland; sustainability; waste; transport; energy; infrastructure; systems; liveable cities</t>
  </si>
  <si>
    <t>LAND TELECONNECTIONS; SOCIOECONOMIC-STATUS; ENERGY; CITIES</t>
  </si>
  <si>
    <t>10.3390/su8030220</t>
  </si>
  <si>
    <t>Yan, NY; Liu, GY; Ripa, M; Wang, N; Zheng, HM; Gonella, F</t>
  </si>
  <si>
    <t>Yan, Ningyu; Liu, Gengyuan; Ripa, Maddalena; Wang, Ning; Zheng, Hongmei; Gonella, Francesco</t>
  </si>
  <si>
    <t>From local to national metabolism: a review and a scale-up framework</t>
  </si>
  <si>
    <t>National metabolism; sociometabolic research; sustainability; scale-up</t>
  </si>
  <si>
    <t>MULTISCALE INTEGRATED ANALYSIS; LIFE-CYCLE ASSESSMENT; URBAN METABOLISM; SUSTAINABLE DEVELOPMENT; SOCIETAL METABOLISM; ENVIRONMENTAL EFFICIENCY; SOCIOECONOMIC METABOLISM; MATERIAL FOOTPRINTS; ENERGY; ECOSYSTEM</t>
  </si>
  <si>
    <t>10.1080/20964129.2020.1839358</t>
  </si>
  <si>
    <t>Goudouva, GT; Zorpas, AA</t>
  </si>
  <si>
    <t>Goudouva, G. T.; Zorpas, A. A.</t>
  </si>
  <si>
    <t>Water footprint determination by quarry operation in island regions</t>
  </si>
  <si>
    <t>DESALINATION AND WATER TREATMENT</t>
  </si>
  <si>
    <t>Quarries; Water footprint; Water consumption; ISO 14046</t>
  </si>
  <si>
    <t>INPUT-OUTPUT-ANALYSIS; LIAONING PROVINCE; POLICY; CHINA</t>
  </si>
  <si>
    <t>1944-3994</t>
  </si>
  <si>
    <t>1944-3986</t>
  </si>
  <si>
    <t>10.5004/dwt.2017.20814</t>
  </si>
  <si>
    <t>Engineering, Chemical; Water Resources</t>
  </si>
  <si>
    <t>Goldstein, B; Hauschild, M; Fernández, J; Birkved, M</t>
  </si>
  <si>
    <t>Goldstein, Benjamin; Hauschild, Michael; Fernandez, John; Birkved, Morten</t>
  </si>
  <si>
    <t>Urban versus conventional agriculture, taxonomy of resource profiles: a review</t>
  </si>
  <si>
    <t>AGRONOMY FOR SUSTAINABLE DEVELOPMENT</t>
  </si>
  <si>
    <t>Urban agriculture; Quantitative sustainability assessment; Urban food systems; Life cycle assessment; Buildingintegratedagriculture; Urbanmetabolism; Industrial ecology</t>
  </si>
  <si>
    <t>MUNICIPAL SOLID-WASTE; LIFE-CYCLE ASSESSMENT; GREEN ROOFS; ORGANIC FRACTION; FOOD SECURITY; ENERGY; CONSUMPTION; SYSTEMS; GARDENS; SUSTAINABILITY</t>
  </si>
  <si>
    <t>1774-0746</t>
  </si>
  <si>
    <t>1773-0155</t>
  </si>
  <si>
    <t>10.1007/s13593-015-0348-4</t>
  </si>
  <si>
    <t>Agronomy; Green &amp; Sustainable Science &amp; Technology</t>
  </si>
  <si>
    <t>Feeding the city: Food consumption and flow of nitrogen, Paris, 1801-1914</t>
  </si>
  <si>
    <t>environmental history; urban metabolism; food consumption; waste management; nitrogen; Seine; fertilizers; sewage</t>
  </si>
  <si>
    <t>1-3</t>
  </si>
  <si>
    <t>10.1016/j.scitotenv.2006.12.003</t>
  </si>
  <si>
    <t>Chrysoulakis, N; Somarakis, G; Stagakis, S; Mitraka, Z; Wong, MS; Ho, HC</t>
  </si>
  <si>
    <t>Chrysoulakis, Nektarios; Somarakis, Giorgos; Stagakis, Stavros; Mitraka, Zina; Wong, Man-Sing; Ho, Hung-Chak</t>
  </si>
  <si>
    <t>Monitoring and Evaluating Nature-Based Solutions Implementation in Urban Areas by Means of Earth Observation</t>
  </si>
  <si>
    <t>earth observation; nature-based solutions; monitoring and evaluation; environmental impacts; urban energy balance</t>
  </si>
  <si>
    <t>AIR-TEMPERATURE; LAND-COVER; SURFACE; ADAPTATION; MANAGEMENT; MORPHOLOGY; SCALE</t>
  </si>
  <si>
    <t>10.3390/rs13081503</t>
  </si>
  <si>
    <t>Connolly, C; Muzaini, H</t>
  </si>
  <si>
    <t>Connolly, Creighton; Muzaini, Hamzah</t>
  </si>
  <si>
    <t>Urbanizing Islands: A Critical History of Singapore's Offshore Islands</t>
  </si>
  <si>
    <t>ENVIRONMENT AND PLANNING E-NATURE AND SPACE</t>
  </si>
  <si>
    <t>Urban political ecology; metabolism; reclamation; development; urbanization; ruralization; singapore</t>
  </si>
  <si>
    <t>POLITICAL ECOLOGY; GEOGRAPHIES; CITY</t>
  </si>
  <si>
    <t>2514-8486</t>
  </si>
  <si>
    <t>2514-8494</t>
  </si>
  <si>
    <t>2022 DEC</t>
  </si>
  <si>
    <t>10.1177/25148486211051082</t>
  </si>
  <si>
    <t>DEC 2021</t>
  </si>
  <si>
    <t>Hu, M</t>
  </si>
  <si>
    <t>Hu, Ming</t>
  </si>
  <si>
    <t>A REVIEW OF LIFE CYCLE RESEARCH OF THE BUILT ENVIRONMENT AT DIFFERENCE SCALES: A CITATION ANALYSIS USING BIG DATA</t>
  </si>
  <si>
    <t>life cycle assessment; bibliometric network data; building</t>
  </si>
  <si>
    <t>ENERGY USE; BUILDING-MATERIALS; EMBODIED ENERGY; CO2 EMISSION; IMPACTS; CONSUMPTION; BENEFITS; DENSITY; SCIENCE; DESIGN</t>
  </si>
  <si>
    <t>SUM</t>
  </si>
  <si>
    <t>10.3992/1943-4618.14.3.63</t>
  </si>
  <si>
    <t>Bristow, D; Kennedy, C</t>
  </si>
  <si>
    <t>Bristow, David; Kennedy, Christopher</t>
  </si>
  <si>
    <t>Why Do Cities Grow? Insights from Nonequilibrium Thermodynamics at the Urban and Global Scales</t>
  </si>
  <si>
    <t>cities; complexity; energy; industrial ecology; thermodynamics; urban metabolism</t>
  </si>
  <si>
    <t>MAXIMUM-ENTROPY PRODUCTION; ENERGY; LAW; PRINCIPLE; METABOLISM; HISTORY; LIFE</t>
  </si>
  <si>
    <t>10.1111/jiec.12239</t>
  </si>
  <si>
    <t>Dias, AC; Lemos, D; Gabarrell, X; Arroja, L</t>
  </si>
  <si>
    <t>Dias, Ana Claudia; Lemos, Diogo; Gabarrell, Xavier; Arroja, Luis</t>
  </si>
  <si>
    <t>Environmentally extended input-output analysis on a city scale - application to Aveiro (Portugal)</t>
  </si>
  <si>
    <t>Aveiro; Environmental impacts; Fossil fuel; Greenhouse gas emissions; Input-output analysis</t>
  </si>
  <si>
    <t>GREENHOUSE-GAS EMISSIONS; URBAN METABOLISM; CARBON-FOOTPRINT; WATER FOOTPRINT; CO2 EMISSIONS; CONSUMPTION; FRAMEWORK; ENERGY; TRADE; MODEL</t>
  </si>
  <si>
    <t>10.1016/j.jclepro.2014.04.012</t>
  </si>
  <si>
    <t>Movahedi, A; Derrible, S</t>
  </si>
  <si>
    <t>Movahedi, Ali; Derrible, Sybil</t>
  </si>
  <si>
    <t>Interrelationships between electricity, gas, and water consumption in large-scale buildings</t>
  </si>
  <si>
    <t>building energy use; energy consumption; industrial ecology; machine learning; urban sustainability; water consumption</t>
  </si>
  <si>
    <t>ARTIFICIAL NEURAL-NETWORKS; ENERGY-CONSUMPTION; REGRESSION-ANALYSIS; PREDICTION; IMPACT; DEMAND; DETERMINANTS; ALGORITHMS; OCCUPANCY; CLIMATE</t>
  </si>
  <si>
    <t>10.1111/jiec.13097</t>
  </si>
  <si>
    <t>Harris, S; Weinzettel, J; Levin, G</t>
  </si>
  <si>
    <t>Harris, Steve; Weinzettel, Jan; Levin, Gregor</t>
  </si>
  <si>
    <t>Implications of Low Carbon City Sustainability Strategies for 2050</t>
  </si>
  <si>
    <t>sustainability assessment; consumption-based accounting; land-use change; scenario analysis</t>
  </si>
  <si>
    <t>FINE PARTICULATE MATTER; CIRCULAR ECONOMY; URBAN METABOLISM; CLIMATE ACTION; AIR-POLLUTION; CO-BENEFITS; CONSUMPTION; EMISSIONS; HEALTH; CITIES</t>
  </si>
  <si>
    <t>10.3390/su12135417</t>
  </si>
  <si>
    <t>From the Celtic Tiger to the Celtic Phoenix: The metabolic profile of Ireland and the main drivers of energy change</t>
  </si>
  <si>
    <t>Energy metabolism; Decomposition analysis; Economic growth and recession; Population; Energy dependency</t>
  </si>
  <si>
    <t>MULTISCALE INTEGRATED ANALYSIS; SOCIETAL METABOLISM; URBAN METABOLISM; CO2 EMISSION; DECOMPOSITION; MUSIASEM; CHINA; INTENSITY; PATTERN; INDIA</t>
  </si>
  <si>
    <t>FEB 10</t>
  </si>
  <si>
    <t>10.1016/j.jclepro.2019.118975</t>
  </si>
  <si>
    <t>Dorr, E; François, C; Poulhès, A; Wurtz, A</t>
  </si>
  <si>
    <t>Dorr, Erica; Francois, Cyrille; Poulhes, Alexis; Wurtz, Aurore</t>
  </si>
  <si>
    <t>A life cycle assessment method to support cities in their climate change mitigation strategies</t>
  </si>
  <si>
    <t>Life cycle assessment; Carbon footprint; Lever for change; City scale; Urban sustainability; Consumption footprint; Cities</t>
  </si>
  <si>
    <t>GREENHOUSE-GAS EMISSIONS; ENVIRONMENTAL PERFORMANCE; URBAN METABOLISM; ASSESSMENT LCA; MOBILITY; ENERGY; NEIGHBORHOOD; CONSUMPTION; HOUSEHOLDS; FOOTPRINT</t>
  </si>
  <si>
    <t>10.1016/j.scs.2022.104052</t>
  </si>
  <si>
    <t>Stillwell, AS; Cominola, A; Beal, CD</t>
  </si>
  <si>
    <t>Stillwell, Ashlynn S.; Cominola, Andrea; Beal, C. D.</t>
  </si>
  <si>
    <t>Understanding resource consumption and sustainability in the built environment</t>
  </si>
  <si>
    <t>ENVIRONMENTAL RESEARCH: INFRASTRUCTURE AND SUSTAINABILITY</t>
  </si>
  <si>
    <t>2634-4505</t>
  </si>
  <si>
    <t>10.1088/2634-4505/ace738</t>
  </si>
  <si>
    <t>Hammelman, C; Shoffner, E; Cruzat, M; Lee, S</t>
  </si>
  <si>
    <t>Hammelman, Colleen; Shoffner, Elizabeth; Cruzat, Maria; Lee, Samantha</t>
  </si>
  <si>
    <t>Assembling agroecological socio-natures: a political ecology analysis of urban and peri-urban agriculture in Rosario, Argentina</t>
  </si>
  <si>
    <t>AGRICULTURE AND HUMAN VALUES</t>
  </si>
  <si>
    <t>Agroecology; Argentina; Assemblages; Urban political ecology</t>
  </si>
  <si>
    <t>INSTITUTIONALITY; ALTERNATIVES; GEOGRAPHIES; JUSTICE; SPACE; CITY</t>
  </si>
  <si>
    <t>0889-048X</t>
  </si>
  <si>
    <t>1572-8366</t>
  </si>
  <si>
    <t>10.1007/s10460-021-10253-7</t>
  </si>
  <si>
    <t>Agriculture, Multidisciplinary; History &amp; Philosophy Of Science; Sociology</t>
  </si>
  <si>
    <t>Courtonne, JY; Longaretti, PY; Dupre, D</t>
  </si>
  <si>
    <t>Courtonne, Jean-Yves; Longaretti, Pierre-Yves; Dupre, Denis</t>
  </si>
  <si>
    <t>Uncertainties of Domestic Road Freight Statistics: Insights for Regional Material Flow Studies</t>
  </si>
  <si>
    <t>economy-wide material flow analysis (EW-MFA); industrial ecology; material flow analysis (MFA); regional scale; road freight transport survey; uncertainty</t>
  </si>
  <si>
    <t>URBAN METABOLISM; SUPPLY CHAIN; INDICATORS</t>
  </si>
  <si>
    <t>10.1111/jiec.12651</t>
  </si>
  <si>
    <t>Melgar-Melgar, RE; Hall, CAS</t>
  </si>
  <si>
    <t>Melgar-Melgar, Rigo E.; Hall, Charles A. S.</t>
  </si>
  <si>
    <t>Why ecological economics needs to return to its roots: The biophysical foundation of socio-economic systems</t>
  </si>
  <si>
    <t>Energy transitions; Biophysical economics; Ecological economics; Climate change; Sustainability; Green New Deal; Sustainable Development Goals</t>
  </si>
  <si>
    <t>ENERGY INVESTMENT EROI; UNITED-STATES-ECONOMY; EMERGY ANALYSIS; ENVIRONMENTAL IMPACTS; URBAN METABOLISM; EMBODIED ENERGY; MINIMUM EROI; PEAK OIL; CONSUMPTION; FOOTPRINT</t>
  </si>
  <si>
    <t>10.1016/j.ecolecon.2019.106567</t>
  </si>
  <si>
    <t>Brglez, K; Perc, M; Lukman, RK</t>
  </si>
  <si>
    <t>Brglez, Kristijan; Perc, Matjaz; Lukman, Rebeka Kovacic</t>
  </si>
  <si>
    <t>The complexity and interconnectedness of circular cities and the circular economy for sustainability</t>
  </si>
  <si>
    <t>SUSTAINABLE DEVELOPMENT</t>
  </si>
  <si>
    <t>bibliometric analysis; circular city; circular economy; content analysis; Leximancer; sustainability; sustainable development goals</t>
  </si>
  <si>
    <t>BIBLIOMETRIC ANALYSIS; WASTE MANAGEMENT; MATERIAL STOCKS; SUPPLY CHAIN; SMART; WEB; LEXIMANCER; GOVERNANCE; SCIENCE; IMPLEMENTATION</t>
  </si>
  <si>
    <t>0968-0802</t>
  </si>
  <si>
    <t>1099-1719</t>
  </si>
  <si>
    <t>2023 SEP 20</t>
  </si>
  <si>
    <t>10.1002/sd.2766</t>
  </si>
  <si>
    <t>Development Studies; Green &amp; Sustainable Science &amp; Technology; Regional &amp; Urban Planning</t>
  </si>
  <si>
    <t>Yu, YD; Ren, HT; Kharrazi, A; Ma, TJ; Zhu, B</t>
  </si>
  <si>
    <t>Yu, Yadong; Ren, Hongtao; Kharrazi, Ali; Ma, Tieju; Zhu, Bing</t>
  </si>
  <si>
    <t>Exploring socioeconomic drivers of environmental pressure on the city level: The case study of Chongqing in China</t>
  </si>
  <si>
    <t>Socioeconomic drivers; Environmental pressure; Chongqing; Structural decomposition analysis</t>
  </si>
  <si>
    <t>STRUCTURAL DECOMPOSITION ANALYSIS; GREENHOUSE-GAS EMISSIONS; URBAN METABOLISM; ECONOMIC-GROWTH; DRIVING FORCES; CO2 EMISSIONS; ENERGY; CONSUMPTION; BENEFITS; CARBON</t>
  </si>
  <si>
    <t>10.1016/j.ecolecon.2015.07.019</t>
  </si>
  <si>
    <t>Tan, QY; Li, JH; Yang, LY; Xu, GC</t>
  </si>
  <si>
    <t>Tan, Quanyin; Li, Jinhui; Yang, Liyao; Xu, Guochang</t>
  </si>
  <si>
    <t>Cascade use potential of retired traction batteries for renewable energy storage in China under carbon peak vision</t>
  </si>
  <si>
    <t>Retired traction battery; End-of-life vehicle; Energy storage; Battery reuse; Waste management</t>
  </si>
  <si>
    <t>ELECTRIC VEHICLE-BATTERIES; STRATEGIES; DENSITY; FLOWS</t>
  </si>
  <si>
    <t>2023 AUG 1</t>
  </si>
  <si>
    <t>10.1016/j.jclepro.2023.137379</t>
  </si>
  <si>
    <t>The circularity of the urban ecosystem material productivity: The transformation of biomass into technomass in Southern Patagonia</t>
  </si>
  <si>
    <t>Urban functions; Region of Magallanes; Ecosystem's metabolism</t>
  </si>
  <si>
    <t>INDICATOR; SERVICES; CLIMATE; LAND</t>
  </si>
  <si>
    <t>10.1016/j.scs.2018.03.001</t>
  </si>
  <si>
    <t>Yang, MY; Liu, NY; Li, YX; Zhang, Y; Wang, XJ; Zhang, J</t>
  </si>
  <si>
    <t>Yang, Mingyue; Liu, Ningyin; Li, Yuxuan; Zhang, Yan; Wang, Xinjing; Zhang, Jun</t>
  </si>
  <si>
    <t>Using Material Flow and Stock Indicators to Evaluate Urban Allometry: Evidence from the Beijing-Tianjin-Hebei Region</t>
  </si>
  <si>
    <t>JUN 16</t>
  </si>
  <si>
    <t>10.34133/ehs.0084</t>
  </si>
  <si>
    <t>Saha, M; Eckelman, MJ</t>
  </si>
  <si>
    <t>Saha, Mithun; Eckelman, Matthew J.</t>
  </si>
  <si>
    <t>Growing fresh fruits and vegetables in an urban landscape: A geospatial assessment of ground level and rooftop urban agriculture potential in Boston, USA</t>
  </si>
  <si>
    <t>Urban agriculture; GIS; Remote sensing; Food resilience; Digital surface model; Urban metabolism</t>
  </si>
  <si>
    <t>LIFE-CYCLE ASSESSMENT; CROP PRODUCTION; MARGINAL LAND; CALIFORNIA; GARDENS; SYSTEMS; CITIES</t>
  </si>
  <si>
    <t>10.1016/j.landurbplan.2017.04.015</t>
  </si>
  <si>
    <t>Andrienko, G; Andrienko, N; Boldrini, C; Caldarelli, G; Cintia, P; Cresci, S; Facchini, A; Giannotti, F; Gionis, A; Guidotti, R; Mathioudakis, M; Muntean, CI; Pappalardo, L; Pedreschi, D; Pournaras, E; Pratesi, F; Tesconi, M; Trasarti, R</t>
  </si>
  <si>
    <t>Andrienko, Gennady; Andrienko, Natalia; Boldrini, Chiara; Caldarelli, Guido; Cintia, Paolo; Cresci, Stefano; Facchini, Angelo; Giannotti, Fosca; Gionis, Aristides; Guidotti, Riccardo; Mathioudakis, Michael; Muntean, Cristina Ioana; Pappalardo, Luca; Pedreschi, Dino; Pournaras, Evangelos; Pratesi, Francesca; Tesconi, Maurizio; Trasarti, Roberto</t>
  </si>
  <si>
    <t>(So) Big Data and the transformation of the city</t>
  </si>
  <si>
    <t>INTERNATIONAL JOURNAL OF DATA SCIENCE AND ANALYTICS</t>
  </si>
  <si>
    <t>Big data; Urban data science; SoBigData; Mobility datasets</t>
  </si>
  <si>
    <t>URBAN METABOLISM; SOCIAL MEDIA; THINGS DATA; ENERGY; INTERNET; PREDICTION; NETWORKS; DEMAND; SYSTEM</t>
  </si>
  <si>
    <t>2364-415X</t>
  </si>
  <si>
    <t>2364-4168</t>
  </si>
  <si>
    <t>10.1007/s41060-020-00207-3</t>
  </si>
  <si>
    <t>Computer Science, Artificial Intelligence; Computer Science, Information Systems</t>
  </si>
  <si>
    <t>Mousavi, M; Ventura, A; Antheaume, N</t>
  </si>
  <si>
    <t>Mousavi, Marjan; Ventura, Anne; Antheaume, Nicolas</t>
  </si>
  <si>
    <t>Decision-based territorial life cycle assessment for the management of cement concrete demolition waste</t>
  </si>
  <si>
    <t>Urban metabolism; material flow analysis; geographical downscale; recycling</t>
  </si>
  <si>
    <t>10.1177/0734242X20965676</t>
  </si>
  <si>
    <t>Sevegnani, F; Giannetti, BF; Agostinho, F; Almeida, CMVB</t>
  </si>
  <si>
    <t>Sevegnani, F.; Giannetti, B. F.; Agostinho, F.; Almeida, C. M. V. B.</t>
  </si>
  <si>
    <t>Assessment of municipal potential prosperity, carrying capacity and trade</t>
  </si>
  <si>
    <t>Emergy; Carrying capacity; Sustainability; Urban systems</t>
  </si>
  <si>
    <t>ECOSYSTEM HEALTH-ASSESSMENT; EMERGY ANALYSIS; ENVIRONMENTAL SUSTAINABILITY; URBAN METABOLISM; TERNARY DIAGRAMS; CITIES; FRAMEWORK; PROVINCE; SUPPORT; SYSTEMS</t>
  </si>
  <si>
    <t>10.1016/j.jclepro.2016.11.018</t>
  </si>
  <si>
    <t>Zhang, Y; Liu, H; Chen, B; Zheng, HM; Li, YT</t>
  </si>
  <si>
    <t>Zhang, Yan; Liu, Hong; Chen, Bin; Zheng, Hongmei; Li, Yating</t>
  </si>
  <si>
    <t>Analysis of urban metabolic processes based on input-output method: model development and a case study for Beijing</t>
  </si>
  <si>
    <t>FRONTIERS OF EARTH SCIENCE</t>
  </si>
  <si>
    <t>urban ecology; urban metabolism; implied physical input-output table; ecological element intensity; Beijing</t>
  </si>
  <si>
    <t>ECOLOGICAL NETWORK ANALYSIS; GREENHOUSE-GAS EMISSIONS; RESOURCES USE; ECONOMY 2007; ENERGY; SYSTEM; CONSUMPTION; TRADE; ECOSYSTEMS</t>
  </si>
  <si>
    <t>2095-0195</t>
  </si>
  <si>
    <t>2095-0209</t>
  </si>
  <si>
    <t>10.1007/s11707-014-0407-1</t>
  </si>
  <si>
    <t>Al Bannay, S; Takizawa, S</t>
  </si>
  <si>
    <t>Al Bannay, Shayma; Takizawa, Satoshi</t>
  </si>
  <si>
    <t>Decoupling of Water Production and Electricity Generation from GDP and Population in the Gulf Cooperation Council (GCC) Countries</t>
  </si>
  <si>
    <t>Abu Dhabi; decoupling; electricity demand; GCC countries; GDP; Kingdom of Saudi Arabia; oil price; population; United Arab Emirates; water demand</t>
  </si>
  <si>
    <t>ENERGY-CONSUMPTION; ECONOMIC-GROWTH; CO2 EMISSIONS; DEMAND MANAGEMENT; URBAN METABOLISM; DESALINATION; CHALLENGES; EFFICIENCY; TECHNOLOGIES; IMPACT</t>
  </si>
  <si>
    <t>10.3390/su14095386</t>
  </si>
  <si>
    <t>Liu, LR; Huang, GH; Baetz, B; Huang, CZ; Zhang, KQ</t>
  </si>
  <si>
    <t>Liu, Lirong; Huang, Guohe; Baetz, Brian; Huang, Charley Z.; Zhang, Kaiqiang</t>
  </si>
  <si>
    <t>A factorial ecologically-extended input-output model for analyzing urban GHG emissions metabolism system</t>
  </si>
  <si>
    <t>Factorial-based ecologically-extended input-output model; Urban GHG emissions metabolism systems; Emissions reduction pathways; System robustness; Canada</t>
  </si>
  <si>
    <t>NETWORK ANALYSIS REVEALS; PUBLIC BUILDING SECTOR; DATA ASSIMILATION; CARBON EMISSIONS; ENERGY SAVINGS; CHINA; REDUCTION; MANAGEMENT; SECURITY; CHAIN</t>
  </si>
  <si>
    <t>10.1016/j.jclepro.2018.07.298</t>
  </si>
  <si>
    <t>Martinelli, L; Battisti, A; Matzarakis, A</t>
  </si>
  <si>
    <t>Martinelli, Letizia; Battisti, Alessandra; Matzarakis, Andreas</t>
  </si>
  <si>
    <t>Multicriteria analysis model for urban open space renovation: An application for Rome</t>
  </si>
  <si>
    <t>Multicriteria analysis; Public open space; Public decision process</t>
  </si>
  <si>
    <t>DECISION-SUPPORT-SYSTEMS; ENERGY</t>
  </si>
  <si>
    <t>xxx.e10</t>
  </si>
  <si>
    <t>10.1016/j.scs.2014.07.002</t>
  </si>
  <si>
    <t>Semenchuk, P; Kalt, G; Kaufmann, L; Kastner, T; Matej, S; Bidoglio, G; Erb, KH; Essl, F; Haberl, H; Dullinger, S; Krausmann, F</t>
  </si>
  <si>
    <t>Semenchuk, Philipp; Kalt, Gerald; Kaufmann, Lisa; Kastner, Thomas; Matej, Sarah; Bidoglio, Giorgio; Erb, Karl -Heinz; Essl, Franz; Haberl, Helmut; Dullinger, Stefan; Krausmann, Fridolin</t>
  </si>
  <si>
    <t>The global biodiversity footprint of urban consumption: A spatially explicit assessment for the city of Vienna</t>
  </si>
  <si>
    <t>Biodiversity; Biomass; Consumption-based accounting; Land use; Tele-coupling; Urban metabolism</t>
  </si>
  <si>
    <t>GREENHOUSE-GAS EMISSIONS; LAND-USE; IMPACTS; TRADE</t>
  </si>
  <si>
    <t>2023 FEB 25</t>
  </si>
  <si>
    <t>10.1016/j.scitotenv.2022.160576</t>
  </si>
  <si>
    <t>Hastie, AG; Chini, CM; Stillwell, AS</t>
  </si>
  <si>
    <t>Hastie, Allisa G.; Chini, Christopher M.; Stillwell, Ashlynn S.</t>
  </si>
  <si>
    <t>A mass balance approach to urban water analysis using multi-resolution data</t>
  </si>
  <si>
    <t>data quality; energy intensity; energy-water nexus; material flow analysis (MFA); non-revenue water; urban metabolism</t>
  </si>
  <si>
    <t>ENERGY-REQUIREMENTS; BILLING DATA; DEMAND; MANAGEMENT; SYSTEMS; UTILITY</t>
  </si>
  <si>
    <t>2022 FEB</t>
  </si>
  <si>
    <t>10.1111/jiec.12995</t>
  </si>
  <si>
    <t>FEB 2020</t>
  </si>
  <si>
    <t>Xia, LL; Zhang, Y; Yu, XY; Fu, CL; Li, YG</t>
  </si>
  <si>
    <t>Xia, Linlin; Zhang, Yan; Yu, Xiangyi; Fu, Chenling; Li, Yaoguang</t>
  </si>
  <si>
    <t>An integrated analysis of input and output flows in an urban carbon metabolism using a spatially explicit network model</t>
  </si>
  <si>
    <t>Urban carbon metabolism; Input and output flows; Integrated behaviors; Spatially explicit network</t>
  </si>
  <si>
    <t>NEUSE RIVER ESTUARY; ECOLOGICAL RELATIONSHIPS; 7-COMPARTMENT MODEL; DISTRIBUTED CONTROL; NITROGEN FLOW; LAND-USE; ECOSYSTEMS; EMISSIONS; CHINA; PATTERN</t>
  </si>
  <si>
    <t>10.1016/j.jclepro.2019.118063</t>
  </si>
  <si>
    <t>Zhang, Y; Zheng, HM; Fath, BD; Liu, H; Yang, ZF; Liu, GY; Su, MR</t>
  </si>
  <si>
    <t>Zhang, Yan; Zheng, Hongmei; Fath, Brian D.; Liu, Hong; Yang, Zhifeng; Liu, Gengyuan; Su, Meirong</t>
  </si>
  <si>
    <t>Ecological network analysis of an urban metabolic system based on input-output tables: Model development and case study for Beijing</t>
  </si>
  <si>
    <t>Beijing; Ecological network; Physical input-output table; Urban ecology; Urban metabolism</t>
  </si>
  <si>
    <t>ECOSYSTEM HEALTH-ASSESSMENT; SOCIOECONOMIC METABOLISM; EMERGY SYNTHESIS; ENERGY; TRENDS</t>
  </si>
  <si>
    <t>10.1016/j.scitotenv.2013.08.047</t>
  </si>
  <si>
    <t>Schiller, G; Roscher, J</t>
  </si>
  <si>
    <t>Schiller, Georg; Roscher, Julia</t>
  </si>
  <si>
    <t>Impact of urbanization on construction material consumption: A global analysis</t>
  </si>
  <si>
    <t>building materials; circular economy; industrial ecology; prosperity; urbanization; urban metabolism</t>
  </si>
  <si>
    <t>MATERIAL FLOWS; PATTERNS; CHALLENGES; BUILDINGS; TRENDS; STOCKS</t>
  </si>
  <si>
    <t>2023 JUN</t>
  </si>
  <si>
    <t>10.1111/jiec.13392</t>
  </si>
  <si>
    <t>Bahers, JB; Higuera, P; Ventura, A; Antheaume, N</t>
  </si>
  <si>
    <t>Bahers, Jean-Baptiste; Higuera, Paula; Ventura, Anne; Antheaume, Nicolas</t>
  </si>
  <si>
    <t>The Metal-Energy-Construction Mineral Nexus in the Island Metabolism: The Case of the Extractive Economy of New Caledonia</t>
  </si>
  <si>
    <t>island metabolism; MFA; nexus approach; industrial waste; metabolic profile</t>
  </si>
  <si>
    <t>MATERIAL FLOW-ANALYSIS; POLITICAL ECOLOGY; URBAN METABOLISM; RESOURCE USE; MANAGEMENT; HIDDEN; SOCIETY; GROWTH</t>
  </si>
  <si>
    <t>MAR 2</t>
  </si>
  <si>
    <t>10.3390/su12062191</t>
  </si>
  <si>
    <t>Fikfak, A; Kosanovic, S; Konjar, M; Grom, JP; Zbasnik-Senegacnik, M</t>
  </si>
  <si>
    <t>Fikfak, Alenka; Kosanovic, Saja; Konjar, Miha; Grom, Janez P.; Zbasnik-Senegacnik, Martina</t>
  </si>
  <si>
    <t>The Impact of Morphological Features on Summer Temperature Variations on the Example of Two Residential Neighborhoods in Ljubljana, Slovenia</t>
  </si>
  <si>
    <t>Koseze area; Mostec residential neighborhood (MRN); terraced residential neighborhood (TRN); urban heat island (UHI); urban cover; urban fabric; urban structure; urban metabolism</t>
  </si>
  <si>
    <t>URBAN HEAT-ISLAND; SURFACE-TEMPERATURE; VEGETATION; BUILDINGS; ALBEDO; REGION; AREAS; LOTS; UK</t>
  </si>
  <si>
    <t>10.3390/su9010122</t>
  </si>
  <si>
    <t>Glocke, P; Bechtel, B; Sismanidis, P</t>
  </si>
  <si>
    <t>Glocke, Patricia; Bechtel, Benjamin; Sismanidis, Panagiotis</t>
  </si>
  <si>
    <t>Consideration of Altered Anthropogenic Behavior during the First Lockdown and Its Effects on Air Pollutants and Land Surface Temperature in European Cities</t>
  </si>
  <si>
    <t>ATMOSPHERE</t>
  </si>
  <si>
    <t>air pollutants; COVID-19; lockdown; land surface temperature; road traffic</t>
  </si>
  <si>
    <t>QUALITY; EMISSIONS</t>
  </si>
  <si>
    <t>2073-4433</t>
  </si>
  <si>
    <t>10.3390/atmos14061025</t>
  </si>
  <si>
    <t>Pincetl, S; Newell, JP</t>
  </si>
  <si>
    <t>Pincetl, Stephanie; Newell, Joshua P.</t>
  </si>
  <si>
    <t>Why data for a political-industrial ecology of cities?</t>
  </si>
  <si>
    <t>RESIDENTIAL WATER-USE; LOS-ANGELES; URBAN METABOLISM; IRRIGATION</t>
  </si>
  <si>
    <t>10.1016/j.geoforum.2017.03.002</t>
  </si>
  <si>
    <t>Ramos, GCD</t>
  </si>
  <si>
    <t>Ramos, Gian Carlo Delgado</t>
  </si>
  <si>
    <t>Climate-Environmental Governance in the Mexico Valley Metropolitan Area: Assessing Local Institutional Capacities in the Face of Current and Future Urban Metabolic Dynamics</t>
  </si>
  <si>
    <t>WORLD</t>
  </si>
  <si>
    <t>climate change; urban metabolism; urban sustainability; institutional capacities; Mexico Valley Metropolitan Area</t>
  </si>
  <si>
    <t>2673-4060</t>
  </si>
  <si>
    <t>10.3390/world2010003</t>
  </si>
  <si>
    <t>Economics; Political Science; Social Sciences, Interdisciplinary</t>
  </si>
  <si>
    <t>Månsson, NS; Hjortenkrans, DST; Bergbäck, BG; Sörme, L; Häggerud, AV</t>
  </si>
  <si>
    <t>Mansson, Nina S.; Hjortenkrans, David S. T.; Bergback, Bo G.; Sorme, Louise; Haggerud, Agneta V.</t>
  </si>
  <si>
    <t>Sources of antimony in an urban area</t>
  </si>
  <si>
    <t>ENVIRONMENTAL CHEMISTRY</t>
  </si>
  <si>
    <t>diffuse emissions; metal; substance flow analysis (SFA); urban metabolism</t>
  </si>
  <si>
    <t>MULTILEVEL CYCLE; METAL EMISSIONS; BOTTLED WATERS; HEAVY-METALS; WASTE; CONTAMINATION; SWITZERLAND; SOLUBILITY; DEPOSITION; STOCKHOLM</t>
  </si>
  <si>
    <t>1448-2517</t>
  </si>
  <si>
    <t>10.1071/EN08078</t>
  </si>
  <si>
    <t>Chemistry, Analytical; Environmental Sciences</t>
  </si>
  <si>
    <t>Neal, ZP</t>
  </si>
  <si>
    <t>Neal, Zachary P.</t>
  </si>
  <si>
    <t>The urban metabolism of airline passengers: Scaling and sustainability</t>
  </si>
  <si>
    <t>URBAN STUDIES</t>
  </si>
  <si>
    <t>air travel; metabolism; scaling; sustainability; USA</t>
  </si>
  <si>
    <t>GROWTH; TRANSPORTATION; EMPLOYMENT; NETWORKS; CITIES; LAWS</t>
  </si>
  <si>
    <t>0042-0980</t>
  </si>
  <si>
    <t>1360-063X</t>
  </si>
  <si>
    <t>10.1177/0042098016686535</t>
  </si>
  <si>
    <t>Ulpiani, G; Hart, MA; Di Virgilio, G; Maharaj, AM</t>
  </si>
  <si>
    <t>Ulpiani, Giulia; Hart, Melissa Anne; Di Virgilio, Giovanni; Maharaj, Angela M.</t>
  </si>
  <si>
    <t>Urban meteorology and air quality in a rapidly growing city: Inter-parameter associations and intra-urban heterogeneity</t>
  </si>
  <si>
    <t>Urban climate; Urban pollution; Air quality; Mutual information analysis; Non-linear correlation</t>
  </si>
  <si>
    <t>POLLUTION; POLLUTANTS; CHEMISTRY; HEAT; EMISSIONS; VARIABLES; IMPACT; CHINA; PM2.5; PM10</t>
  </si>
  <si>
    <t>10.1016/j.scs.2021.103553</t>
  </si>
  <si>
    <t>Winiwarter, W; Amon, B; Bai, ZH; Greinert, A; Kaltenegger, K; Ma, L; Myszograj, S; Schneidergruber, M; Suchowski-Kisielewicz, M; Wolf, L; Zhang, L; Zhou, F</t>
  </si>
  <si>
    <t>Winiwarter, Wilfried; Amon, Barbara; Bai, Zhaohai; Greinert, Andrzej; Kaltenegger, Katrin; Ma, Lin; Myszograj, Sylwia; Schneidergruber, Markus; Suchowski-Kisielewicz, Monika; Wolf, Lisa; Zhang, Lin; Zhou, Feng</t>
  </si>
  <si>
    <t>Urban nitrogen budgets: flows and stock changes of potentially polluting nitrogen compounds in cities and their surroundings - a review</t>
  </si>
  <si>
    <t>JOURNAL OF INTEGRATIVE ENVIRONMENTAL SCIENCES</t>
  </si>
  <si>
    <t>Nitrogen budget; urban metabolism; agro-food chain; nitrogen cascade; material flow analysis</t>
  </si>
  <si>
    <t>OXIDE EMISSIONS; GREENHOUSE-GAS; METABOLISM; AMMONIA; WASTE; URBANIZATION; BALANCE; SYSTEMS; IMPACT; WATER</t>
  </si>
  <si>
    <t>1943-815X</t>
  </si>
  <si>
    <t>1943-8168</t>
  </si>
  <si>
    <t>10.1080/1943815X.2020.1841241</t>
  </si>
  <si>
    <t>Tumminello, ML; Macioszek, E; Granà, A; Giuffrè, T</t>
  </si>
  <si>
    <t>Tumminello, Maria Luisa; Macioszek, Elzbieta; Grana, Anna; Giuffre, Tullio</t>
  </si>
  <si>
    <t>Evaluating Traffic-Calming-Based Urban Road Design Solutions Featuring Cooperative Driving Technologies in Energy Efficiency Transition for Smart Cities</t>
  </si>
  <si>
    <t>traffic-calming measures; connected and autonomous vehicles; roundabouts; limited traffic zone; Aimsun Next; urban metabolism; energy efficiency; surrogate measures of safety; smart cities</t>
  </si>
  <si>
    <t>SCHEMES; MICROSIMULATION; SIMULATOR; IMPACT</t>
  </si>
  <si>
    <t>10.3390/en16217325</t>
  </si>
  <si>
    <t>Lin, T; Grimm, NB</t>
  </si>
  <si>
    <t>Lin, Tao; Grimm, Nancy B.</t>
  </si>
  <si>
    <t>Comparative study of urban ecology development in the US and China: Opportunity and Challenge</t>
  </si>
  <si>
    <t>Urban ecology, Comparative study; China; U.S</t>
  </si>
  <si>
    <t>QUANTIFYING SPATIOTEMPORAL PATTERNS; URBANIZATION; CITIES; CITY; SUSTAINABILITY; STRATEGIES; EXPANSION; IMPACTS; REGIONS; SYSTEMS</t>
  </si>
  <si>
    <t>10.1007/s11252-014-0413-9</t>
  </si>
  <si>
    <t>Lanau, M; Herbert, L; Liu, G</t>
  </si>
  <si>
    <t>Lanau, Maud; Herbert, Luca; Liu, Gang</t>
  </si>
  <si>
    <t>Extending urban stocks and flows analysis to urban greenhouse gas emission accounting: A case of Odense, Denmark</t>
  </si>
  <si>
    <t>carbon emissions; carbon replacement value; Odense; stocks and flows; urban carbon accounting; urban metabolism</t>
  </si>
  <si>
    <t>CARBON EMISSIONS; CLIMATE-CHANGE; GHG EMISSIONS; CITIES; CITY; FOOTPRINT; TIME; CONSUMPTION; METABOLISM</t>
  </si>
  <si>
    <t>10.1111/jiec.13110</t>
  </si>
  <si>
    <t>Cerreta, M; Mazzarella, C; Spiezia, M; Tramontano, MR</t>
  </si>
  <si>
    <t>Cerreta, Maria; Mazzarella, Chiara; Spiezia, Martina; Tramontano, Maria Rosaria</t>
  </si>
  <si>
    <t>Regenerativescapes: Incremental Evaluation for the Regeneration of Unresolved Territories in East Naples</t>
  </si>
  <si>
    <t>circular city; wastescapes; regenerative design; landscape services (LS); ecosystem services (ES); ecosystem disservices (EDS); fundamental human needs (FHN); multi-dimensional evaluation; decision-making process; MCDA; PROMETHEE-GAIA method</t>
  </si>
  <si>
    <t>ECOSYSTEM DISSERVICES; CIRCULAR ECONOMY; URBAN METABOLISM; SERVICES; FRAMEWORK; PERSPECTIVE; VALUATION; PROMETHEE; NETWORKS; CITIES</t>
  </si>
  <si>
    <t>10.3390/su12176975</t>
  </si>
  <si>
    <t>Bettignies, Y; Meirelles, J; Fernandez, G; Meinherz, F; Hoekman, P; Bouillard, P; Athanassiadis, A</t>
  </si>
  <si>
    <t>Bettignies, Yves; Meirelles, Joao; Fernandez, Gabriela; Meinherz, Franziska; Hoekman, Paul; Bouillard, Philippe; Athanassiadis, Aristide</t>
  </si>
  <si>
    <t>The Scale-Dependent Behaviour of Cities: A Cross-Cities Multiscale Driver Analysis of Urban Energy Use</t>
  </si>
  <si>
    <t>urban energy drivers; urban metabolism; urban scaling; scaling; energy; power-law; multiscale analysis; cross-city analysis</t>
  </si>
  <si>
    <t>SYSTEMS-APPROACH; ECONOMIC-GROWTH; HONG-KONG; CONSUMPTION; METABOLISM; POLICY; INCOME; REQUIREMENTS; CAUSALITY; ECOLOGY</t>
  </si>
  <si>
    <t>JUN 2</t>
  </si>
  <si>
    <t>10.3390/su11123246</t>
  </si>
  <si>
    <t>Amiri, SS; Mottahedi, S; Lee, ER; Hoque, S</t>
  </si>
  <si>
    <t>Amiri, Shideh Shams; Mottahedi, Sam; Lee, Earl Rusty; Hoque, Simi</t>
  </si>
  <si>
    <t>Peeking inside the black-box: Explainable machine learning applied to household transportation energy consumption</t>
  </si>
  <si>
    <t>COMPUTERS ENVIRONMENT AND URBAN SYSTEMS</t>
  </si>
  <si>
    <t>Urban metabolism; Transportation energy use; Artificial neural network; Explainable artificial intelligence; Interpretable machine learning; LIME</t>
  </si>
  <si>
    <t>RESIDENTIAL ENERGY</t>
  </si>
  <si>
    <t>0198-9715</t>
  </si>
  <si>
    <t>1873-7587</t>
  </si>
  <si>
    <t>10.1016/j.compenvurbsys.2021.101647</t>
  </si>
  <si>
    <t>Computer Science, Interdisciplinary Applications; Engineering, Environmental; Environmental Studies; Geography; Operations Research &amp; Management Science; Regional &amp; Urban Planning</t>
  </si>
  <si>
    <t>Kleemann, F; Lederer, J; Rechberger, H; Fellner, J</t>
  </si>
  <si>
    <t>Kleemann, Fritz; Lederer, Jakob; Rechberger, Helmut; Fellner, Johann</t>
  </si>
  <si>
    <t>GIS-based Analysis of Vienna's Material Stock in Buildings</t>
  </si>
  <si>
    <t>building material; building stock; geographic information systems (GIS); industrial ecology; urban metabolism; urban mining</t>
  </si>
  <si>
    <t>CONSTRUCTION; DEMOLITION; ENERGY; RENOVATION; WASTE; FLOWS; URBAN; TIME</t>
  </si>
  <si>
    <t>10.1111/jiec.12446</t>
  </si>
  <si>
    <t>Chen, H; Xu, LY; Cao, QQ; Huang, MS; Song, MH; Quad, Q; Liu, J</t>
  </si>
  <si>
    <t>Chen, Hao; Xu, Linyu; Cao, Qingqing; Huang, Miansong; Song, Minghua; Quad, Quan; Liu, Jian</t>
  </si>
  <si>
    <t>Coupling and metabolic analysis of urbanization and environment between two resource-based cities in North China</t>
  </si>
  <si>
    <t>PEERJ</t>
  </si>
  <si>
    <t>Urbanization; Metabolism; Coupling; Emergy; Environmental loading ratio</t>
  </si>
  <si>
    <t>EMERGY ANALYSIS; URBAN METABOLISM; INTEGRATED APPROACH; REGION; ENERGY; COORDINATION; EFFICIENCY; SYSTEM</t>
  </si>
  <si>
    <t>2167-8359</t>
  </si>
  <si>
    <t>e6869</t>
  </si>
  <si>
    <t>10.7717/peerj.6869</t>
  </si>
  <si>
    <t>Zhang, JB; Xie, YL; Liu, LR; Ji, L; Zhang, Y; Guo, HC</t>
  </si>
  <si>
    <t>Zhang, Jinbo; Xie, Yulei; Liu, Lirong; Ji, Ling; Zhang, Yang; Guo, Huaicheng</t>
  </si>
  <si>
    <t>Multiperspective-driven factorial metabolic network analysis framework for energy-water nexus vulnerability assessment and management-policy simulation</t>
  </si>
  <si>
    <t>Multiperspective-driven factorial metabolic; network framework; Energy -water nexus scarcity; Environmentally extended input -output; analysis; Factorial design; Policy simulation</t>
  </si>
  <si>
    <t>INPUT-OUTPUT TABLE; URBAN METABOLISM; CO2 EMISSIONS; OPTIMIZATION; CONSUMPTION; RESOURCES; FOOTPRINT; IMPACT; MODEL</t>
  </si>
  <si>
    <t>2022 AUG 1</t>
  </si>
  <si>
    <t>10.1016/j.jenvman.2022.115095</t>
  </si>
  <si>
    <t>March, H</t>
  </si>
  <si>
    <t>March, Hug</t>
  </si>
  <si>
    <t>Taming, controlling and metabolizing flows: Water and the urbanization process of Barcelona and Madrid (1850-2012)</t>
  </si>
  <si>
    <t>EUROPEAN URBAN AND REGIONAL STUDIES</t>
  </si>
  <si>
    <t>Infrastructure; power; Spain; urbanization of nature; urban metabolism; urban political ecology</t>
  </si>
  <si>
    <t>METROPOLITAN REGION; URBAN; PRIVATIZATION; CONFLICTS; GARDENS; NATURES; CITY</t>
  </si>
  <si>
    <t>0969-7764</t>
  </si>
  <si>
    <t>1461-7145</t>
  </si>
  <si>
    <t>10.1177/0969776412474665</t>
  </si>
  <si>
    <t>Zhi, YH; Ma, SJ; Qin, J; Zhao, ZL; Zhou, CB</t>
  </si>
  <si>
    <t>Zhi, Yuehao; Ma, Shijun; Qin, Jing; Zhao, Zhilan; Zhou, Chuanbin</t>
  </si>
  <si>
    <t>Assessing the city-level material stocks in landfills and the landfill mining potential of China</t>
  </si>
  <si>
    <t>ENVIRONMENTAL RESEARCH</t>
  </si>
  <si>
    <t>Municipal solid waste; Landfill mining; Material stock; Potential; City; China</t>
  </si>
  <si>
    <t>MUNICIPAL SOLID-WASTE; PLASTIC WASTES; MANAGEMENT; GROUNDWATER; VEGETATION; RECOVERY; IMPACT; SITES; GAS</t>
  </si>
  <si>
    <t>0013-9351</t>
  </si>
  <si>
    <t>1096-0953</t>
  </si>
  <si>
    <t>2023 NOV 1</t>
  </si>
  <si>
    <t>10.1016/j.envres.2023.116737</t>
  </si>
  <si>
    <t>Piezer, K; Petit-Boix, A; Sanjuan-Delmás, D; Briese, E; Celik, L; Rieradevall, J; Gabarrell, X; Josa, A; Apul, D</t>
  </si>
  <si>
    <t>Piezer, Kayla; Petit-Boix, Anna; Sanjuan-Delmas, David; Briese, Emily; Celik, Like; Rieradevall, Joan; Gabarrell, Xavier; Josa, Alejandro; Apul, Defne</t>
  </si>
  <si>
    <t>Ecological network analysis of growing tomatoes in an urban rooftop greenhouse</t>
  </si>
  <si>
    <t>Life cycle assessment; Food-energy nexus; Urban agriculture; Food security; Circular economy</t>
  </si>
  <si>
    <t>ENERGY INPUT-OUTPUT; ENVIRONMENTAL ASSESSMENT; TURKISH AGRICULTURE; ECOSYSTEM; SUSTAINABILITY; SYSTEMS; CITIES; FOOD; PERSPECTIVE; METABOLISM</t>
  </si>
  <si>
    <t>10.1016/j.scitotenv.2018.09.293</t>
  </si>
  <si>
    <t>Bush, SE; Hopkins, FM; Randerson, JT; Lai, CT; Ehleringer, JR</t>
  </si>
  <si>
    <t>Bush, S. E.; Hopkins, F. M.; Randerson, J. T.; Lai, C. -T.; Ehleringer, J. R.</t>
  </si>
  <si>
    <t>Design and application of a mobile ground-based observatory for continuous measurements of atmospheric trace gas and criteria pollutant species</t>
  </si>
  <si>
    <t>ATMOSPHERIC MEASUREMENT TECHNIQUES</t>
  </si>
  <si>
    <t>CARBON-DIOXIDE; ANTHROPOGENIC EMISSIONS; PIPELINE LEAKS; CO2 EMISSIONS; URBAN; METHANE; DISTRIBUTIONS; FLUXES; VARIABILITY; PLATFORM</t>
  </si>
  <si>
    <t>1867-1381</t>
  </si>
  <si>
    <t>1867-8548</t>
  </si>
  <si>
    <t>10.5194/amt-8-3481-2015</t>
  </si>
  <si>
    <t>Yuan, XL; Chen, LP; Sheng, XR; Li, Y; Liu, MY; Zhang, YJ; Jia, YS; Qiu, DF; Wang, QS; Ma, Q; Zuo, J</t>
  </si>
  <si>
    <t>Yuan, Xueliang; Chen, Leping; Sheng, Xuerou; Li, Yue; Liu, Mengyue; Zhang, Yujie; Jia, Yanshuang; Qiu, Dongfang; Wang, Qingsong; Ma, Qiao; Zuo, Jian</t>
  </si>
  <si>
    <t>Evaluation of regional sustainability through emergy analysis: a case study of nine cities in the Yellow River Basin of China</t>
  </si>
  <si>
    <t>Yellow River Basin; Emergy analysis; Emergy-based indicators; Sustainable development</t>
  </si>
  <si>
    <t>URBAN METABOLISM; ENERGY; SYSTEMS; INDUSTRIAL; EFFICIENCY; GROWTH</t>
  </si>
  <si>
    <t>10.1007/s11356-022-18916-6</t>
  </si>
  <si>
    <t>Vergara-Araya, M; Lehn, H; Poganietz, WR</t>
  </si>
  <si>
    <t>Vergara-Araya, Monica; Lehn, Helmut; Poganietz, Witold-Roger</t>
  </si>
  <si>
    <t>Integrated water, waste and energy management systems - A case study from Curauma, Chile</t>
  </si>
  <si>
    <t>Water-energy nexus; Urban wastewater system; Organic municipal solid waste; Anaerobic digestion; Environmental assessment</t>
  </si>
  <si>
    <t>ANAEROBIC-DIGESTION; URBAN METABOLISM; FOOD WASTE; RENEWABILITY ASSESSMENT; SOURCE SEPARATION; CARBON EMISSIONS; POWER-GENERATION; CO-DIGESTION; NEXUS; ELECTRICITY</t>
  </si>
  <si>
    <t>10.1016/j.resconrec.2020.104725</t>
  </si>
  <si>
    <t>Katsou, E; Nika, CE; Buehler, D; Maric, B; Megyesi, B; Mino, E; Almenar, JB; Bas, B; Becirovic, D; Bokal, S; Dolic, M; Elginöz, N; Kalnis, G; Mateo, MCG; Milousi, M; Mousavi, A; Rincic, I; Rizzo, A; Rodriguez-Roda, I; Rugani, B; Salaseviciene, A; Sari, R; Stanchev, P; Topuz, E; Atanasova, N</t>
  </si>
  <si>
    <t>Katsou, Evina; Nika, Chrysanthi-Elisabeth; Buehler, Devi; Maric, Bruno; Megyesi, Boldizsar; Mino, Eric; Almenar, Javier Babi; Bas, Bilge; Becirovic, Dzenan; Bokal, Sabina; Dolic, Maja; Elginoez, Nilay; Kalnis, Gregoris; Garcia Mateo, Mari-Carmen; Milousi, Maria; Mousavi, Alireza; Rincic, Iva; Rizzo, Agatino; Rodriguez-Roda, Ignasi; Rugani, Benedetto; Salaseviciene, Alvija; Sari, Ramazan; Stanchev, Peyo; Topuz, Emel; Atanasova, Natasa</t>
  </si>
  <si>
    <t>Transformation tools enabling the implementation of nature-based solutions for creating a resourceful circular city</t>
  </si>
  <si>
    <t>BLUE-GREEN SYSTEMS</t>
  </si>
  <si>
    <t>assessment methods; Circular Cities; Nature-based Solutions; policies and regulations; stakeholders' awareness and engagement</t>
  </si>
  <si>
    <t>SUSTAINABILITY ASSESSMENT; SOCIAL ACCEPTANCE; URBAN METABOLISM; SYSTEMS; ADAPTATION; CHALLENGES; BARRIERS; GREEN; OPPORTUNITIES; INDICATORS</t>
  </si>
  <si>
    <t>2617-4782</t>
  </si>
  <si>
    <t>10.2166/bgs.2020.929</t>
  </si>
  <si>
    <t>da Silva, CM; da Silva, LL; Souza, TD; Dantas, TC; Corrêa, SM; Arbilla, G</t>
  </si>
  <si>
    <t>da Silva, Cleyton M.; da Silva, Luane L.; Souza, Thaind de C.; Dantas, Taisa C.; Correa, Sergio M.; Arbilla, Graciela</t>
  </si>
  <si>
    <t>Main Greenhouse Gases levels in the largest secondary urban forest in the world</t>
  </si>
  <si>
    <t>ATMOSPHERIC POLLUTION RESEARCH</t>
  </si>
  <si>
    <t>Carbon dioxide; Greenhouse gases determination; Carbon capture; Urban pollution; Urban forest</t>
  </si>
  <si>
    <t>AIR-QUALITY; CO2 CONCENTRATION; OXIDE EMISSIONS; ATLANTIC FOREST; NITROUS-OXIDE; SENSITIVITY; CONVERSION; PASTURE; HEALTH</t>
  </si>
  <si>
    <t>1309-1042</t>
  </si>
  <si>
    <t>10.1016/j.apr.2018.10.009</t>
  </si>
  <si>
    <t>Stephan, A; Athanassiadis, A</t>
  </si>
  <si>
    <t>Stephan, Andre; Athanassiadis, Aristide</t>
  </si>
  <si>
    <t>Towards a more circular construction sector: Estimating and spatialising current and future non-structural material replacement flows to maintain urban building stocks</t>
  </si>
  <si>
    <t>Material flow analysis; Maintenance; Melbourne; Urban mining; Life cycle assessment; Urban metabolism</t>
  </si>
  <si>
    <t>LIFE-CYCLE ENERGY; ECONOMY; WASTE; CARPET; TIME</t>
  </si>
  <si>
    <t>10.1016/j.resconrec.2017.09.022</t>
  </si>
  <si>
    <t>Zhang, CY; Chen, JJ</t>
  </si>
  <si>
    <t>Zhang, Chunyang; Chen, Junjie</t>
  </si>
  <si>
    <t>Spatial Morphology Optimization of Rural Planning Based on Space of Flow: An Empirical Study of Zepan Village in China</t>
  </si>
  <si>
    <t>rural planning; programs optimization; rural spatial morphology; space of flow; ecological network analysis; social network analysis; network structure</t>
  </si>
  <si>
    <t>LAND-USE; URBAN METABOLISM; LANDSCAPE; FRAGMENTATION; DYNAMICS; PROVINCE; SUPPORT; LEVEL</t>
  </si>
  <si>
    <t>10.3390/land12040841</t>
  </si>
  <si>
    <t>Xia, LL; Zhang, Y; Huang, YS; Wei, JF; Banerjee, A; Yang, ZF</t>
  </si>
  <si>
    <t>Xia, Linlin; Zhang, Yan; Huang, Yingshan; Wei, Jianfeng; Banerjee, Arnab; Yang, Zhifeng</t>
  </si>
  <si>
    <t>The application of spatially explicit networks to compare carbon flows: A case study in Beijing, China</t>
  </si>
  <si>
    <t>Network models; Number of nodes; Functional components; Urban carbon metabolic network; Comparison analysis</t>
  </si>
  <si>
    <t>URBAN METABOLISM; ECOLOGICAL RELATIONSHIPS; CO2 EMISSIONS; MODEL; DRIVERS; SYSTEMS; TYPE-2; NEXUS</t>
  </si>
  <si>
    <t>10.1016/j.jclepro.2020.124694</t>
  </si>
  <si>
    <t>Chen, CF; Feng, KL; Ma, HW</t>
  </si>
  <si>
    <t>Chen, Chi-Feng; Feng, Kuo-Lun; Ma, Hwong-wen</t>
  </si>
  <si>
    <t>Uncover the interdependent environmental impacts associated with the water-energy-food nexus under resource management strategies</t>
  </si>
  <si>
    <t>Water-energy-food nexus; Material flow analysis; LCA; Environmental impact; Urban metabolism; Resource policy adaptation</t>
  </si>
  <si>
    <t>10.1016/j.resconrec.2020.104909</t>
  </si>
  <si>
    <t>Chiu, HW; Lee, YC; Huang, SL; Hsieh, YC</t>
  </si>
  <si>
    <t>Chiu, Hao-Wei; Lee, Ying-Chieh; Huang, Shu-Li; Hsieh, Ya-Cheng</t>
  </si>
  <si>
    <t>How does peri-urbanization teleconnect remote areas? An emergy approach</t>
  </si>
  <si>
    <t>Urban land teleconnections; Urbanization; Urban metabolism; Cross-scale emergy synthesis; Underlying driving force</t>
  </si>
  <si>
    <t>URBAN LAND TELECONNECTIONS; ENVIRONMENTAL PERFORMANCE; SOCIOECONOMIC METABOLISM; ENERGY HIERARCHY; CITY; ENERGETICS; IMPACT; ISSUES</t>
  </si>
  <si>
    <t>10.1016/j.ecolmodel.2019.03.025</t>
  </si>
  <si>
    <t>Song, T; Yang, ZS; Chahine, T</t>
  </si>
  <si>
    <t>Song, Tao; Yang, Zhenshan; Chahine, Teresa</t>
  </si>
  <si>
    <t>Efficiency evaluation of material and energy flows, a case study of Chinese cities</t>
  </si>
  <si>
    <t>Case study; Chinese cities; Data envelopment analysis; Efficiency; Material and energy flows; Principal component analysis</t>
  </si>
  <si>
    <t>DATA ENVELOPMENT; UNDESIRABLE OUTPUTS; URBAN METABOLISM; DEA; POWER</t>
  </si>
  <si>
    <t>10.1016/j.jclepro.2015.08.080</t>
  </si>
  <si>
    <t>Wen, ZG; Bai, WN; Zhang, WT; Chen, C; Fei, F; Chen, B; Huang, Y</t>
  </si>
  <si>
    <t>Wen, Zongguo; Bai, Weinan; Zhang, Wenting; Chen, Chen; Fei, Fan; Chen, Bin; Huang, Yi</t>
  </si>
  <si>
    <t>Environmental impact analysis of nitrogen cross-media metabolism: A case study of municipal solid waste treatment system in China</t>
  </si>
  <si>
    <t>Nitrogen metabolism; Cross-media migration; Municipal solid waste treatment; Sensitivity to environmental impacts</t>
  </si>
  <si>
    <t>LIFE-CYCLE ASSESSMENT; LANDFILL LEACHATE; MANAGEMENT; PERSPECTIVE; PERFORMANCE; BALANCE; QUANTIFICATION; GENERATION; PARAMETERS; TRANSPORT</t>
  </si>
  <si>
    <t>10.1016/j.scitotenv.2017.08.213</t>
  </si>
  <si>
    <t>Ancapi, FB; Van den Berghe, K; van Bueren, E</t>
  </si>
  <si>
    <t>Ancapi, Felipe Bucci; Van den Berghe, Karel; van Bueren, Ellen</t>
  </si>
  <si>
    <t>The circular built environment toolbox: A systematic literature review of policy instruments</t>
  </si>
  <si>
    <t>circular built environment; circular cities; circular economy; policy instruments; systematic literature search; urban governance</t>
  </si>
  <si>
    <t>WASTE MANAGEMENT; URBAN METABOLISM; MATERIAL FLOWS; ECONOMY; CITIES; CITY; CONSTRUCTION; BARRIERS; SUSTAINABILITY; IMPLEMENTATION</t>
  </si>
  <si>
    <t>10.1016/j.jclepro.2022.133918</t>
  </si>
  <si>
    <t>Kral, U; Lin, CY; Kellner, K; Ma, HW; Brunner, PH</t>
  </si>
  <si>
    <t>Kral, Ulrich; Lin, Chih-Yi; Kellner, Katharina; Ma, Hwong-wen; Brunner, Paul H.</t>
  </si>
  <si>
    <t>The Copper Balance of Cities Exploratory Insights into a European and an Asian City</t>
  </si>
  <si>
    <t>cities; environmental protection; industrial ecology; resource efficiency; substance flow analysis (SFA); urban metabolism</t>
  </si>
  <si>
    <t>ELEMENTS; METALS; WASTE</t>
  </si>
  <si>
    <t>10.1111/jiec.12088</t>
  </si>
  <si>
    <t>Beck, MB; Walker, RV</t>
  </si>
  <si>
    <t>Beck, Michael Bruce; Villarroel Walker, Rodrigo</t>
  </si>
  <si>
    <t>Nexus security: governance, innovation and the resilient city</t>
  </si>
  <si>
    <t>FRONTIERS OF ENVIRONMENTAL SCIENCE &amp; ENGINEERING</t>
  </si>
  <si>
    <t>cities as forces for good; climate variability; ecosystem services; energy and nutrient recovery; infrastructure failure; urban metabolism</t>
  </si>
  <si>
    <t>WATER SECURITY; SCARCITY; CONSUMPTION; PHOSPHORUS; METABOLISM; TRANSITION; CITIES; PARIS; ISNT; FLOW</t>
  </si>
  <si>
    <t>2095-2201</t>
  </si>
  <si>
    <t>2095-221X</t>
  </si>
  <si>
    <t>10.1007/s11783-013-0549-5</t>
  </si>
  <si>
    <t>Mao, XF; Cui, LJ; Wang, CH</t>
  </si>
  <si>
    <t>Mao, Xufeng; Cui, Lijuan; Wang, Changhai</t>
  </si>
  <si>
    <t>Exploring the hydrologic relationships in a swamp-dominated watershed-A network-environ-analysis based approach</t>
  </si>
  <si>
    <t>Network environ analysis; Hydrologic relationships; The Okefenokee Swamp</t>
  </si>
  <si>
    <t>NEUSE RIVER ESTUARY; DISTRIBUTED CONTROL; 7-COMPARTMENT MODEL; OKEFENOKEE SWAMP; NITROGEN FLOW; ADJACENT UPLANDS; URBAN METABOLISM; PRAIRIE WETLAND; SOLUTE TRANSFER; ECOSYSTEMS</t>
  </si>
  <si>
    <t>10.1016/j.ecolmodel.2013.01.002</t>
  </si>
  <si>
    <t>Caputo, S; Schoen, V; Specht, K; Grard, B; Blythe, C; Cohen, N; Fox-Kämper, R; Hawes, J; Newell, J; Ponizy, L</t>
  </si>
  <si>
    <t>Caputo, Silvio; Schoen, Victoria; Specht, Kathrin; Grard, Baptiste; Blythe, Chris; Cohen, Nevin; Fox-Kaemper, Runrid; Hawes, Jason; Newell, Joshua; Ponizy, Lidia</t>
  </si>
  <si>
    <t>Applying the food-energy-water nexus approach to urban agriculture: From FEW to FEWP (Food-Energy-Water-People)</t>
  </si>
  <si>
    <t>Food/Energy/Water nexus; Life cycle assessment; Social benefits; Urban agriculture; Urban metabolism; Urban Resource flow</t>
  </si>
  <si>
    <t>LIFE-CYCLE ASSESSMENT; SUSTAINABLE DEVELOPMENT; ECOSYSTEM SERVICES; PRODUCTION SYSTEMS; ORGANIC WASTE; NEW-YORK; GARDENS; CITY; CONSUMPTION; CHALLENGES</t>
  </si>
  <si>
    <t>10.1016/j.ufug.2020.126934</t>
  </si>
  <si>
    <t>Miller, LA; Ramaswami, A; Ranjan, R</t>
  </si>
  <si>
    <t>Miller, Leslie A.; Ramaswami, Anu; Ranjan, Ravi</t>
  </si>
  <si>
    <t>Contribution of Water and Wastewater Infrastructures to Urban Energy Metabolism and Greenhouse Gas Emissions in Cities in India</t>
  </si>
  <si>
    <t>JOURNAL OF ENVIRONMENTAL ENGINEERING</t>
  </si>
  <si>
    <t>Urban metabolism; End-use energy intensity; Greenhouse gas; Water infrastructure; Wastewater; Developing cities</t>
  </si>
  <si>
    <t>FOOTPRINTS</t>
  </si>
  <si>
    <t>0733-9372</t>
  </si>
  <si>
    <t>1943-7870</t>
  </si>
  <si>
    <t>10.1061/(ASCE)EE.1943-7870.0000661</t>
  </si>
  <si>
    <t>Engineering, Environmental; Engineering, Civil; Environmental Sciences</t>
  </si>
  <si>
    <t>Cristiano, S; Ghisellini, P; D'Ambrosio, G; Xue, JY; Nestico, A; Gonella, F; Ulgiati, S</t>
  </si>
  <si>
    <t>Cristiano, Silvio; Ghisellini, Patrizia; D'Ambrosio, Gianni; Xue, Jingyan; Nestico, Antonio; Gonella, Francesco; Ulgiati, Sergio</t>
  </si>
  <si>
    <t>Construction and demolition waste in the Metropolitan City of Naples, Italy: State of the art, circular design, and sustainable planning opportunities</t>
  </si>
  <si>
    <t>Construction and demolition waste; Circular economy; I-tree canopy; SWOT-TOWS analysis; Circular design; Urban metabolism; Urban planning and policies</t>
  </si>
  <si>
    <t>2021 APR 15</t>
  </si>
  <si>
    <t>10.1016/j.jclepro.2021.125856</t>
  </si>
  <si>
    <t>Hachaichi, M; Baouni, T</t>
  </si>
  <si>
    <t>Hachaichi, Mohamed; Baouni, Tahar</t>
  </si>
  <si>
    <t>Downscaling the planetary boundaries (Pbs) framework to city scale-level: De-risking MENA region's environment future</t>
  </si>
  <si>
    <t>Planetary boundaries; Urban metabolism; City footprints; Urban sustainability; Input-output analysis; Consumers responsibility; Middle east and North Africa</t>
  </si>
  <si>
    <t>ECOLOGICAL FOOTPRINT; SUSTAINABILITY; CONSUMPTION; AFFLUENCE; IMPACT; CITIES; MEAT; DISPLACEMENT; RESILIENCE; AWARENESS</t>
  </si>
  <si>
    <t>10.1016/j.indic.2020.100023</t>
  </si>
  <si>
    <t>Chen, JH; Lu, M; Dong, GB; Wu, SC; Xu, JX; Wang, SX</t>
  </si>
  <si>
    <t>Chen, Junhong; Lu, Min; Dong, Gangbo; Wu, Shucheng; Xu, Jingxuan; Wang, Shaoxu</t>
  </si>
  <si>
    <t>Evaluating the metabolic structure and interrelationships of the Lijiang River Basin based on ecological network analysis</t>
  </si>
  <si>
    <t>JOURNAL OF HYDROLOGY-REGIONAL STUDIES</t>
  </si>
  <si>
    <t>Water metabolism; Ecological network analysis; Metabolic structure; Ecological relationship; Lijiang River Basin</t>
  </si>
  <si>
    <t>URBAN METABOLISM; ENVIRON-ANALYSIS; SUSTAINABILITY; MANAGEMENT; PERSPECTIVE; INDICATORS; EFFICIENCY; FRAMEWORK; SYSTEMS; FLOW</t>
  </si>
  <si>
    <t>2214-5818</t>
  </si>
  <si>
    <t>10.1016/j.ejrh.2023.101631</t>
  </si>
  <si>
    <t>Elliot, T; Torres-Matallana, JA; Goldstein, B; Almenar, JB; Baggethun, EG; Proenca, V; Rugani, B</t>
  </si>
  <si>
    <t>Elliot, T.; Torres-Matallana, J. A.; Goldstein, B.; Almenar, J. Babi; Baggethun, E. Gomez-; Proenca, V.; Rugani, B.</t>
  </si>
  <si>
    <t>An expanded framing of ecosystem services is needed for a sustainable urban future</t>
  </si>
  <si>
    <t>Urban ecosystem services; Urban metabolism; Life cycle thinking; Land cover change; System dynamics modelling; Urban land teleconnections</t>
  </si>
  <si>
    <t>CLIMATE-CHANGE; MODEL; METABOLISM; ENERGY; CHALLENGES</t>
  </si>
  <si>
    <t>10.1016/j.rser.2022.112418</t>
  </si>
  <si>
    <t>McKinnon, I; Hurley, PT; Myles, CC; Maccaroni, M; Filan, T</t>
  </si>
  <si>
    <t>McKinnon, Innisfree; Hurley, Patrick T.; Myles, Colleen C.; Maccaroni, Megan; Filan, Trina</t>
  </si>
  <si>
    <t>Uneven urban metabolisms: toward an integrative (ex)urban political ecology of sustainability in and around the city</t>
  </si>
  <si>
    <t>Urban sustainability; urban political ecology; exurb; exurbia; urbanization; global urbanization</t>
  </si>
  <si>
    <t>LAND-USE CHANGE; ENVIRONMENTAL-MANAGEMENT; GROUNDED VISUALIZATION; CALAVERAS COUNTY; LANDSCAPES; URBANIZATION; INTERFACE; REGION; PLACE; SOUTH</t>
  </si>
  <si>
    <t>MAR 16</t>
  </si>
  <si>
    <t>10.1080/02723638.2017.1388733</t>
  </si>
  <si>
    <t>Yao, XW; Wang, ZQ; Zhang, HW</t>
  </si>
  <si>
    <t>Yao, Xiaowei; Wang, Zhanqi; Zhang, Hongwei</t>
  </si>
  <si>
    <t>Dynamic Changes of the Ecological Footprint and Its Component Analysis Response to Land Use in Wuhan, China</t>
  </si>
  <si>
    <t>ecological footprint; ecological deficit; biocapacity; energy consumption; carbon footprint; biological resource; Wuhan</t>
  </si>
  <si>
    <t>ECOSYSTEM SERVICES; URBAN METABOLISM; INDICATORS; DEMAND; SUSTAINABILITY; INEQUALITY; MANAGEMENT; AUSTRIA; NATIONS; DRIVES</t>
  </si>
  <si>
    <t>10.3390/su8040329</t>
  </si>
  <si>
    <t>Han, MY; Dunford, M; Chen, GQ; Liu, WD; Li, YL; Liu, SY</t>
  </si>
  <si>
    <t>Han, Mengyao; Dunford, Michael; Chen, Guoqian; Liu, Weidong; Li, Yilin; Liu, Siyuan</t>
  </si>
  <si>
    <t>Global water transfers embodied in Mainland China's foreign trade: Production- and consumption-based perspectives</t>
  </si>
  <si>
    <t>Embodied water; Water transfers; Globalization; China; Input-output analysis</t>
  </si>
  <si>
    <t>INPUT-OUTPUT-ANALYSIS; VIRTUAL WATER; LAND-USE; FOOTPRINT ASSESSMENT; INTERNATIONAL-TRADE; ENERGY-CONSUMPTION; CARBON EMISSIONS; URBAN METABOLISM; BEIJING ECONOMY; SUPPLY CHAIN</t>
  </si>
  <si>
    <t>10.1016/j.jclepro.2017.05.024</t>
  </si>
  <si>
    <t>Douglas, I; Hodgson, R; Lawson, N</t>
  </si>
  <si>
    <t>Industry, environment and health through 200 years in Manchester</t>
  </si>
  <si>
    <t>Manchester UK; environmental history; housing and health; river pollution; air pollution</t>
  </si>
  <si>
    <t>PII S0921-8009(02)00029-0</t>
  </si>
  <si>
    <t>10.1016/S0921-8009(02)00029-0</t>
  </si>
  <si>
    <t>Lavers, A; Kalmykova, Y; Rosado, L; Oliveira, F; Laurenti, R</t>
  </si>
  <si>
    <t>Lavers, Alexandra; Kalmykova, Yuliya; Rosado, Leonardo; Oliveira, Felipe; Laurenti, Rafael</t>
  </si>
  <si>
    <t>Selecting representative products for quantifying environmental impacts of consumption in urban areas</t>
  </si>
  <si>
    <t>Hybrid MFA-LCA; Sustainable urban development; Urban metabolism; Basket of products; Urban environmental impact; Environmental impact quantification</t>
  </si>
  <si>
    <t>INPUT-OUTPUT; METABOLISM</t>
  </si>
  <si>
    <t>SEP 20</t>
  </si>
  <si>
    <t>10.1016/j.jclepro.2017.06.030</t>
  </si>
  <si>
    <t>Rama, M; González-García, S; Andrade, E; Moreira, MT; Feijoo, G</t>
  </si>
  <si>
    <t>Rama, Manuel; Gonzalez-Garcia, Sara; Andrade, Elena; Teresa Moreira, Maria; Feijoo, Gumersindo</t>
  </si>
  <si>
    <t>Assessing the sustainability dimension at local scale: Case study of Spanish cities</t>
  </si>
  <si>
    <t>Spanish cities; Composite indicator; Spain; Sustainable city; Sustainability indicators; Three-letters code</t>
  </si>
  <si>
    <t>URBAN METABOLISM; ASSESSMENT TOOLS; INDICATORS; INEQUALITY; QUALITY; WEIGHTS</t>
  </si>
  <si>
    <t>10.1016/j.ecolind.2020.106687</t>
  </si>
  <si>
    <t>Guillén-Lambea, S; Sierra-Pérez, J; García-Pérez, S; Montealegre, AL; Monzón-Chavarrías, M</t>
  </si>
  <si>
    <t>Guillen-Lambea, S.; Sierra-Perez, J.; Garcia-Perez, S.; Montealegre, A. L.; Monzon-Chavarrias, M.</t>
  </si>
  <si>
    <t>Energy Self-Sufficiency Urban Module (ESSUM): GIS-LCA-based multi-criteria methodology to analyze the urban potential of solar energy generation and its environmental implications</t>
  </si>
  <si>
    <t>Renewable energy; Self-sufficiency; Urban metabolism; LCA; GIS</t>
  </si>
  <si>
    <t>WATER-HEATING SYSTEMS; LIFE-CYCLE ASSESSMENT; NEXUS</t>
  </si>
  <si>
    <t>2023 JUN 25</t>
  </si>
  <si>
    <t>10.1016/j.scitotenv.2023.163077</t>
  </si>
  <si>
    <t>MAR 2023</t>
  </si>
  <si>
    <t>Park, JY; Gupta, C</t>
  </si>
  <si>
    <t>Young Park, Joo; Gupta, Clare</t>
  </si>
  <si>
    <t>Evaluating localism in the management of post-consumer plastic bottles in Honolulu, Hawai'i: Perspectives from industrial ecology and political ecology</t>
  </si>
  <si>
    <t>Localism; Urban metabolism; Waste management; Polyethylene terephthalate bottles; Life cycle assessment; Hawaii</t>
  </si>
  <si>
    <t>LIFE-CYCLE ASSESSMENT; FOOD SYSTEMS; SCALE; REFLECTIONS; REGION</t>
  </si>
  <si>
    <t>10.1016/j.jenvman.2015.02.042</t>
  </si>
  <si>
    <t>Gan, L; Wan, X; Ma, YF; Lev, B</t>
  </si>
  <si>
    <t>Gan, Lu; Wan, Xue; Ma, Yanfang; Lev, Benjamin</t>
  </si>
  <si>
    <t>Efficiency evaluation for urban industrial metabolism through the methodologies of emergy analysis and dynamic network stochastic block model</t>
  </si>
  <si>
    <t>Urban industrial metabolism; Dynamic network DEA; Environmental carryover; Undesirable carryover; Industrial development</t>
  </si>
  <si>
    <t>SLACKS-BASED INEFFICIENCY; ECO-EFFICIENCY; ECONOMIC-GROWTH; DEA; CHINA; CITY; SUSTAINABILITY; SYSTEMS; AREAS; COAL</t>
  </si>
  <si>
    <t>10.1016/j.scs.2023.104396</t>
  </si>
  <si>
    <t>Zahra, S; Khan, D; Gupta, R; Popp, J; Olah, J</t>
  </si>
  <si>
    <t>Zahra, Samia; Khan, Dilawar; Gupta, Rakesh; Popp, Jozsef; Olah, Judit</t>
  </si>
  <si>
    <t>Assessing the asymmetric impact of physical infrastructure and trade openness on ecological footprint: An empirical evidence from Pakistan</t>
  </si>
  <si>
    <t>PLOS ONE</t>
  </si>
  <si>
    <t>CO2 EMISSIONS; ECONOMIC-GROWTH; TRANSPORT SECTOR; ROAD TRANSPORT; ENVIRONMENTAL DEGRADATION; ENERGY-CONSUMPTION; RENEWABLE ENERGY; URBAN METABOLISM; PUBLIC TRANSPORT; CARBON FOOTPRINT</t>
  </si>
  <si>
    <t>1932-6203</t>
  </si>
  <si>
    <t>e0262782</t>
  </si>
  <si>
    <t>10.1371/journal.pone.0262782</t>
  </si>
  <si>
    <t>Fu, JP; Xiao, GR; Wu, CY</t>
  </si>
  <si>
    <t>Fu, Jinpeng; Xiao, Guirong; Wu, Chunyou</t>
  </si>
  <si>
    <t>Urban green transformation in Northeast China: A comparative study with Jiangsu, Zhejiang and Guangdong provinces</t>
  </si>
  <si>
    <t>Urban green transformation; Northeast China; Efficiency; Data envelopment analysis; Comparative study</t>
  </si>
  <si>
    <t>PRODUCTIVITY GROWTH; AGGLOMERATION; CITIES; SUSTAINABILITY; MODEL; SPECIALIZATION; EXTERNALITIES; TECHNOLOGY; INDICATORS; CITY</t>
  </si>
  <si>
    <t>10.1016/j.jclepro.2020.122551</t>
  </si>
  <si>
    <t>Gingrich, S; Haidvogl, G; Krausmann, F</t>
  </si>
  <si>
    <t>Gingrich, Simone; Haidvogl, Gertrud; Krausmann, Fridolin</t>
  </si>
  <si>
    <t>The Danube and Vienna: urban resource use, transport and land use 1800-1910</t>
  </si>
  <si>
    <t>Environmental history; Vienna; Danube; Urban Metabolism; Land Use; Long-term socio-ecological research (LTSER)</t>
  </si>
  <si>
    <t>SOCIAL METABOLISM; PERSPECTIVE; PARIS; FLOWS</t>
  </si>
  <si>
    <t>10.1007/s10113-010-0201-x</t>
  </si>
  <si>
    <t>Li, YX; Wang, XJ; Tian, X; Zhang, Y</t>
  </si>
  <si>
    <t>Li, Yanxian; Wang, Xinjing; Tian, Xin; Zhang, Yan</t>
  </si>
  <si>
    <t>Understanding the mechanism of urban material metabolism with ecological network analysis: An experimental study of Wuxi, China</t>
  </si>
  <si>
    <t>Urban metabolism; Material accounting; Ecological networks; Relationship analysis; China</t>
  </si>
  <si>
    <t>SYSTEM MODEL DEVELOPMENT; STRUCTURAL CHARACTERISTICS; HONG-KONG; ENERGY; PERSPECTIVE; SOCIETY; CITIES; TAIPEI</t>
  </si>
  <si>
    <t>10.1016/j.ecolmodel.2017.09.007</t>
  </si>
  <si>
    <t>Lo Piano, S; Mayumi, K</t>
  </si>
  <si>
    <t>Lo Piano, Samuele; Mayumi, Kozo</t>
  </si>
  <si>
    <t>Toward an integrated assessment of the performance of photovoltaic power stations for electricity generation</t>
  </si>
  <si>
    <t>Photovoltaics; Multi-scale integrated sustainability assessment; Energy system; Societal metabolism; Urban metabolism; Multi-criteria constraints</t>
  </si>
  <si>
    <t>LAND-USE; ENERGY; METALLIZATION; DEPLOYMENT; EMISSIONS; MODULES; METALS</t>
  </si>
  <si>
    <t>10.1016/j.apenergy.2016.05.102</t>
  </si>
  <si>
    <t>Zhang, XL; Zhang, Y; Wang, YF; Fath, BD</t>
  </si>
  <si>
    <t>Zhang, Xiaolin; Zhang, Yan; Wang, Yifan; Fath, Brian D.</t>
  </si>
  <si>
    <t>Research progress and hotspot analysis for reactive nitrogen flows in macroscopic systems based on a CiteSpace analysis</t>
  </si>
  <si>
    <t>Reactive nitrogen flows; Macroscopic systems; Bibliometric methods; Citespace; Co-occurrence analysis; Co-citation analysis</t>
  </si>
  <si>
    <t>2021 MAR 1</t>
  </si>
  <si>
    <t>10.1016/j.ecolmodel.2021.109456</t>
  </si>
  <si>
    <t>Li, YX; Wang, JW; Xian, D; Zhang, Y; Yu, XY</t>
  </si>
  <si>
    <t>Li, Yanxian; Wang, Jiawen; Xian, Dan; Zhang, Yan; Yu, Xiangyi</t>
  </si>
  <si>
    <t>Regional consumption, material flows, and their driving forces: A case study of China's Beijing-Tianjin-Hebei (Jing-Jin-Ji) urban agglomeration</t>
  </si>
  <si>
    <t>industrial ecology; Jing-Jin-Ji urban agglomeration; logarithmic mean Divisia index (LMDI); material flow analysis (MFA); urban consumption; urban metabolism</t>
  </si>
  <si>
    <t>ECOLOGICAL NETWORK ANALYSIS; DECOMPOSITION ANALYSIS; SCENARIO ANALYSIS; METABOLISM; ENERGY; ECONOMY; SUSTAINABILITY; FOOTPRINT; PATTERNS; POLICY</t>
  </si>
  <si>
    <t>10.1111/jiec.13070</t>
  </si>
  <si>
    <t>SEP 2020</t>
  </si>
  <si>
    <t>Esculier, F; Le Noë, J; Barles, S; Billen, G; Créno, B; Garnier, J; Lesavre, J; Petit, L; Tabuchi, JP</t>
  </si>
  <si>
    <t>Esculier, Fabien; Le Noe, Julia; Barles, Sabine; Billen, Gilles; Creno, Benjamin; Garnier, Josette; Lesavre, Jacques; Petit, Leo; Tabuchi, Jean-Pierre</t>
  </si>
  <si>
    <t>The biogeochemical imprint of human metabolism in Paris Megacity: A regionalized analysis of a water-agro-food system</t>
  </si>
  <si>
    <t>JOURNAL OF HYDROLOGY</t>
  </si>
  <si>
    <t>Biogeochemical imprint; Water-agro-food system; Urban metabolism; Megacity; Nitrogen cycle; Phosphorus cycle</t>
  </si>
  <si>
    <t>MATERIAL FLOW-ANALYSIS; GLOBAL NITROGEN; PHOSPHORUS; CONSUMPTION; SCALE; EUTROPHICATION; EMISSIONS; WASTES; CATTLE; ENERGY</t>
  </si>
  <si>
    <t>0022-1694</t>
  </si>
  <si>
    <t>1879-2707</t>
  </si>
  <si>
    <t>10.1016/j.jhydrol.2018.02.043</t>
  </si>
  <si>
    <t>Engineering, Civil; Geosciences, Multidisciplinary; Water Resources</t>
  </si>
  <si>
    <t>Gao, H; Tian, X; Zhang, Y; Shi, L; Shi, F</t>
  </si>
  <si>
    <t>Gao, Han; Tian, Xin; Zhang, Yan; Shi, Lei; Shi, Feng</t>
  </si>
  <si>
    <t>Standardized method for material flow data collection at city level</t>
  </si>
  <si>
    <t>DATA IN BRIEF</t>
  </si>
  <si>
    <t>Article; Data Paper; Early Access</t>
  </si>
  <si>
    <t>Circular economy; Ecological network analysis; Performance evaluation; Indicators</t>
  </si>
  <si>
    <t>2352-3409</t>
  </si>
  <si>
    <t>10.1016/j.dib.2021.106891</t>
  </si>
  <si>
    <t>Fernandez-Mena, H; Nesme, T; Pellerin, S</t>
  </si>
  <si>
    <t>Fernandez-Mena, Hugo; Nesme, Thomas; Pellerin, Sylvain</t>
  </si>
  <si>
    <t>Towards an Agro-Industrial Ecology: A review of nutrient flow modelling and assessment tools in agro-food systems at the local scale</t>
  </si>
  <si>
    <t>Social-ecological systems; Industrial ecology; Nutrient recycling; Nitrogen; Phosphorus</t>
  </si>
  <si>
    <t>LIFE-CYCLE ASSESSMENT; CROP-LIVESTOCK SYSTEMS; AGENT-BASED SIMULATION; INDUSTRIAL SYMBIOSIS; FOOD-PRODUCTION; ENVIRONMENTAL ASSESSMENT; MULTIAGENT SIMULATIONS; URBAN METABOLISM; NITROGEN-BALANCE; PHOSPHORUS FLOWS</t>
  </si>
  <si>
    <t>10.1016/j.scitotenv.2015.11.032</t>
  </si>
  <si>
    <t>Liang, HW; Tanikawa, H; Matsuno, Y; Dong, L</t>
  </si>
  <si>
    <t>Liang, Hanwei; Tanikawa, Hiroki; Matsuno, Yasunari; Dong, Liang</t>
  </si>
  <si>
    <t>Modeling In-Use Steel Stock in China's Buildings and Civil Engineering Infrastructure Using Time-Series of DMSP/OLS Nighttime Lights</t>
  </si>
  <si>
    <t>in-use steel stock; DMSP/OLS nighttime lights; long-term; China; panel regression analysis</t>
  </si>
  <si>
    <t>ELECTRIC-POWER CONSUMPTION; URBANIZATION DYNAMICS; ECONOMIC-GROWTH; CO2 EMISSIONS; URBAN; CONSTRUCTION; IRON; SATURATION; IMAGERY; CENSUS</t>
  </si>
  <si>
    <t>10.3390/rs6064780</t>
  </si>
  <si>
    <t>Hayashi, M</t>
  </si>
  <si>
    <t>Hayashi, Mahito</t>
  </si>
  <si>
    <t>Theorizing Regulation-in-City for Homeless People's Subaltern Strategy and Informality: Societalization, Metabolism, and Classes With(out) Housing</t>
  </si>
  <si>
    <t>CRITICAL SOCIOLOGY</t>
  </si>
  <si>
    <t>regulation-in-city; societalization; housing metabolism; housing classes; subaltern class; Lefebvre's habitat; public; private space</t>
  </si>
  <si>
    <t>GEOGRAPHIES; ORGANIZATION; COLLAPSE</t>
  </si>
  <si>
    <t>0896-9205</t>
  </si>
  <si>
    <t>1569-1632</t>
  </si>
  <si>
    <t>10.1177/08969205211020502</t>
  </si>
  <si>
    <t>NOV 2021</t>
  </si>
  <si>
    <t>Li, YX; Zhang, Y; Yu, XY</t>
  </si>
  <si>
    <t>Li, Yanxian; Zhang, Yan; Yu, Xiangyi</t>
  </si>
  <si>
    <t>Urban weight and its driving forces: A case study of Beijing</t>
  </si>
  <si>
    <t>Urban weight; Urban metabolism; Material flow analysis (MFA); Decomposition analysis; Beijing</t>
  </si>
  <si>
    <t>ECOLOGICAL NETWORK ANALYSIS; DECOMPOSITION ANALYSIS; MATERIAL EFFICIENCY; METABOLISM; ENERGY; CHINA; CITY; POPULATION; INDICATORS; FOOTPRINT</t>
  </si>
  <si>
    <t>MAR 25</t>
  </si>
  <si>
    <t>10.1016/j.scitotenv.2018.12.022</t>
  </si>
  <si>
    <t>Zhang, Y; Li, J; Fath, BD; Zheng, HM; Xia, LL</t>
  </si>
  <si>
    <t>Zhang, Yan; Li, Juan; Fath, Brian D.; Zheng, Hongmei; Xia, Linlin</t>
  </si>
  <si>
    <t>Analysis of urban carbon metabolic processes and a description of sectoral characteristics: A case study of Beijing</t>
  </si>
  <si>
    <t>Urban metabolism; Catabolism; Anabolism; Technological metabolism; Carbon accounting; Carbon imbalance</t>
  </si>
  <si>
    <t>GREENHOUSE-GAS EMISSIONS; NET PRIMARY PRODUCTION; TERRESTRIAL ECOSYSTEMS; SEQUESTRATION; ENERGY; CITY; STORAGE; CO2; INVENTORY; SHENYANG</t>
  </si>
  <si>
    <t>NOV 24</t>
  </si>
  <si>
    <t>10.1016/j.ecolmodel.2015.08.008</t>
  </si>
  <si>
    <t>Pauliuk, S; Heeren, N; Hasan, MM; Müller, DB</t>
  </si>
  <si>
    <t>Pauliuk, Stefan; Heeren, Niko; Hasan, Mohammad Mahadi; Mueller, Daniel B.</t>
  </si>
  <si>
    <t>A general data model for socioeconomic metabolism and its implementation in an industrial ecology data commons prototype</t>
  </si>
  <si>
    <t>database; data model; industrial ecology; OLAP cube; open science; socioeconomic metabolism</t>
  </si>
  <si>
    <t>LIFE-CYCLE ASSESSMENT; FLOW; METHODOLOGY; FRAMEWORK; ENERGY; TABLES</t>
  </si>
  <si>
    <t>10.1111/jiec.12890</t>
  </si>
  <si>
    <t>Kalmykova, Y; Sadagopan, M; Rosado, L</t>
  </si>
  <si>
    <t>Kalmykova, Yuliya; Sadagopan, Madumita; Rosado, Leonardo</t>
  </si>
  <si>
    <t>Circular economy - From review of theories and practices to development of implementation tools</t>
  </si>
  <si>
    <t>Circular economy strategy; Circular economy implementation; Circular economy example; Circular economy development; Green supply chain; Cleaner production; Closed loop; Recycling; Sustainable resource use; Stock optimization; Value maximization; Industrial ecology; Cradle to cradle; Steady-state economy; Performance economy</t>
  </si>
  <si>
    <t>INDUSTRIAL SYMBIOSIS; RESOURCE PRODUCTIVITY; URBAN METABOLISM; CHINA; CONSUMPTION; SWEDEN; IMPACT; STEEL; STRATEGIES; MANAGEMENT</t>
  </si>
  <si>
    <t>10.1016/j.resconrec.2017.10.034</t>
  </si>
  <si>
    <t>Stephan, A; Munoz, S; Healey, G; Alcorn, J</t>
  </si>
  <si>
    <t>Stephan, Andre; Munoz, Santiago; Healey, Gerard; Alcorn, Judith</t>
  </si>
  <si>
    <t>Analysing material and embodied environmental flows of an Australian university - Towards a more circular economy</t>
  </si>
  <si>
    <t>Material flow analysis; Circular economy; Input-output analysis; Life cycle assessment; Urban metabolism; Procurement</t>
  </si>
  <si>
    <t>INSTITUTIONS; FOOTPRINT; LCA</t>
  </si>
  <si>
    <t>10.1016/j.resconrec.2019.104632</t>
  </si>
  <si>
    <t>Wang, SG; Cao, T; Chen, B</t>
  </si>
  <si>
    <t>Wang, Saige; Cao, Tao; Chen, Bin</t>
  </si>
  <si>
    <t>Urban energy-water nexus based on modified input-output analysis</t>
  </si>
  <si>
    <t>Energy; Water nexus; Input; Output model; Emergy; Sustainable urban system; Urban metabolism</t>
  </si>
  <si>
    <t>MERCURY EMISSIONS; CARBON EMISSIONS; CHINA; CITIES; IMPACT; TRADE</t>
  </si>
  <si>
    <t>JUN 15</t>
  </si>
  <si>
    <t>10.1016/j.apenergy.2017.02.011</t>
  </si>
  <si>
    <t>Hossain, MU; Ng, ST; Antwi-Afari, P; Amor, B</t>
  </si>
  <si>
    <t>Hossain, Md Uzzal; Ng, S. Thomas; Antwi-Afari, Prince; Amor, Ben</t>
  </si>
  <si>
    <t>Circular economy and the construction industry: Existing trends, challenges and prospective framework for sustainable construction</t>
  </si>
  <si>
    <t>Circular economy; Construction industry; Industrial ecology; Life cycle assessment; Challenges; Prospective framework</t>
  </si>
  <si>
    <t>DEMOLITION WASTE MANAGEMENT; LIFE-CYCLE ASSESSMENT; SUPPLY CHAINS; BUILDING SECTOR; STRATEGIES; SYSTEM; POLICY; IMPLEMENTATION; BARRIERS; DRIVERS</t>
  </si>
  <si>
    <t>10.1016/j.rser.2020.109948</t>
  </si>
  <si>
    <t>Chen, J; Venkatesan, AK; Halden, RU</t>
  </si>
  <si>
    <t>Chen, Jing; Venkatesan, Arjun K.; Halden, Rolf U.</t>
  </si>
  <si>
    <t>Alcohol and nicotine consumption trends in three US communities determined by wastewater-based epidemiology</t>
  </si>
  <si>
    <t>Wastewater-based epidemiology; Urban metabolism metrology; Public health monitoring</t>
  </si>
  <si>
    <t>ETHYL SULFATE; DRUG-USE; MASS-SPECTROMETRY; EUROPEAN CITIES; ILLICIT DRUGS; TOBACCO USE; METABOLITES; POPULATION; ABUSE; DEPENDENCE</t>
  </si>
  <si>
    <t>10.1016/j.scitotenv.2018.11.350</t>
  </si>
  <si>
    <t>Jamshidi, S; Baniasad, M; Niyogi, D</t>
  </si>
  <si>
    <t>Jamshidi, Sajad; Baniasad, Maryam; Niyogi, Dev</t>
  </si>
  <si>
    <t>Global to USA County Scale Analysis of Weather, Urban Density, Mobility, Homestay, and Mask Use on COVID-19</t>
  </si>
  <si>
    <t>COVID-19; equivalent temperature; homestay; mask use; mobility; population; urban density</t>
  </si>
  <si>
    <t>TRANSMISSION; TEMPERATURE; INFLUENZA</t>
  </si>
  <si>
    <t>10.3390/ijerph17217847</t>
  </si>
  <si>
    <t>Yu, BY; An, RY; Zhao, GP</t>
  </si>
  <si>
    <t>Yu, Biying; An, Runying; Zhao, Guangpu</t>
  </si>
  <si>
    <t>Spatial and temporal disparity of the in-use steel stock for China</t>
  </si>
  <si>
    <t>Iron and steel industry; In-use steel stock; Material flow analysis; Spatial and temporal disparity; Downstream steel consuming sectors; Driving forces</t>
  </si>
  <si>
    <t>ENERGY INTENSITY; IRON; DEMAND; FLOW; BUILDINGS</t>
  </si>
  <si>
    <t>10.1016/j.resconrec.2019.104667</t>
  </si>
  <si>
    <t>Zhang, G; Huang, GH; Liu, LR; Niu, G; Li, JZ; McBean, E</t>
  </si>
  <si>
    <t>Zhang, Guo; Huang, Guohe; Liu, Lirong; Niu, Geng; Li, Jizhe; McBean, Edward</t>
  </si>
  <si>
    <t>Ecological network analysis of an urban water metabolic system based on input-output model: A case study of Guangdong, China</t>
  </si>
  <si>
    <t>Virtual water; Input-output model; Environment network; Urban water metabolism; Urban ecology; Ecological network analysis</t>
  </si>
  <si>
    <t>MANAGEMENT; ENERGY; TRADE; SUSTAINABILITY; FOOTPRINTS; EFFICIENCY; PROVINCE; CLIMATE; BASIN</t>
  </si>
  <si>
    <t>JUN 20</t>
  </si>
  <si>
    <t>10.1016/j.scitotenv.2019.03.132</t>
  </si>
  <si>
    <t>Koç, A; Karahan, AE; Bingül, MB</t>
  </si>
  <si>
    <t>Koc, A.; Karahan, A. E.; Bingul, M. B.</t>
  </si>
  <si>
    <t>DETERMINATION OF RELATIONSHIP BETWEEN LAND SURFACE TEMPERATURE AND DIFFERENT LAND USE BY CHAID ANALYSIS</t>
  </si>
  <si>
    <t>APPLIED ECOLOGY AND ENVIRONMENTAL RESEARCH</t>
  </si>
  <si>
    <t>thermal band; CORINE; CHAID analysis; surface temperature; land use; Turkey</t>
  </si>
  <si>
    <t>SUSTAINABLE URBAN METABOLISM; CLIMATE-CHANGE; HEAT ISLANDS; MODIS; IMPACTS; WATER; EMISSIVITY; PATTERNS; NITROGEN; PHOSPHORUS</t>
  </si>
  <si>
    <t>1589-1623</t>
  </si>
  <si>
    <t>1785-0037</t>
  </si>
  <si>
    <t>10.15666/aeer/1703_60516067</t>
  </si>
  <si>
    <t>Verger, Y; Petit, C; Barles, S; Billen, G; Garnier, J; Esculier, F; Maugis, P</t>
  </si>
  <si>
    <t>Verger, Yoann; Petit, Caroline; Barles, Sabine; Billen, Gilles; Garnier, Josette; Esculier, Fabien; Maugis, Pascal</t>
  </si>
  <si>
    <t>A N, P, C, and water flows metabolism study in a peri-urban territory in France: The case-study of the Saclay plateau</t>
  </si>
  <si>
    <t>Metabolism; Pen-urban territory; Nitrogen; Phosphorus; Carbon; Water</t>
  </si>
  <si>
    <t>URBAN METABOLISM; GASEOUS EMISSIONS; NITROGEN; WASTE; MANAGEMENT; FOOD; CONSUMPTION; PHOSPHORUS; COMPOST; SYSTEMS</t>
  </si>
  <si>
    <t>10.1016/j.resconrec.2018.06.007</t>
  </si>
  <si>
    <t>Noll, D; Lauk, C; Haas, W; Singh, SJ; Petridis, P; Wiedenhofer, D</t>
  </si>
  <si>
    <t>Noll, Dominik; Lauk, Christian; Haas, Willi; Singh, Simron Jit; Petridis, Panos; Wiedenhofer, Dominik</t>
  </si>
  <si>
    <t>The sociometabolic transition of a small Greek island: Assessing stock dynamics, resource flows, and material circularity from 1929 to 2019</t>
  </si>
  <si>
    <t>circular economy; industrial ecology; islands; material flow analysis (MFA); social metabolism; urban metabolism</t>
  </si>
  <si>
    <t>ECONOMY; SAMOTHRAKI; METABOLISM; SYSTEMS</t>
  </si>
  <si>
    <t>2022 APR</t>
  </si>
  <si>
    <t>10.1111/jiec.13206</t>
  </si>
  <si>
    <t>Augiseau, V; Barles, S</t>
  </si>
  <si>
    <t>Augiseau, Vincent; Barles, Sabine</t>
  </si>
  <si>
    <t>Studying construction materials flows and stock: A review</t>
  </si>
  <si>
    <t>Construction materials; Non-metallic minerals; MFA; Stock and flow accounting methodology</t>
  </si>
  <si>
    <t>DYNAMIC MATERIAL; MATERIALS DEMAND; BUILDING STOCK; DWELLING STOCK; URBAN; INFRASTRUCTURE; METABOLISM; DEMOLITION; SOCIETY; ENERGY</t>
  </si>
  <si>
    <t>10.1016/j.resconrec.2016.09.002</t>
  </si>
  <si>
    <t>Tanikawa, H; Hashimoto, S</t>
  </si>
  <si>
    <t>Tanikawa, Hiroki; Hashimoto, Seiji</t>
  </si>
  <si>
    <t>Urban stock over time: spatial material stock analysis using 4d-GIS</t>
  </si>
  <si>
    <t>BUILDING RESEARCH AND INFORMATION</t>
  </si>
  <si>
    <t>building stock; four-dimensional Geographical Information Systems (4d-GIS); infrastructure stock; mass flows; material intensity; material stock analysis; sustainable development; time; urban mass flows</t>
  </si>
  <si>
    <t>MATERIAL FLOW-ANALYSIS</t>
  </si>
  <si>
    <t>0961-3218</t>
  </si>
  <si>
    <t>5-6</t>
  </si>
  <si>
    <t>PII 914936159</t>
  </si>
  <si>
    <t>10.1080/09613210903169394</t>
  </si>
  <si>
    <t>Construction &amp; Building Technology</t>
  </si>
  <si>
    <t>Miatto, A; Schandl, H; Forlin, L; Ronzani, F; Borin, P; Giordano, A; Tanikawa, H</t>
  </si>
  <si>
    <t>Miatto, Alessio; Schandl, Heinz; Forlin, Luigi; Ronzani, Fabio; Borin, Paolo; Giordano, Andrea; Tanikawa, Hiroki</t>
  </si>
  <si>
    <t>A spatial analysis of material stock accumulation and demolition waste potential of buildings: A case study of Padua</t>
  </si>
  <si>
    <t>Urban metabolism; Material stock; Waste potential; Lifespan analysis; Material intensity; Spatial analysis</t>
  </si>
  <si>
    <t>LIFE-CYCLE ASSESSMENT; SERVICE LIFE; DWELLING STOCK; URBAN; CONSTRUCTION; METHODOLOGY; GENERATION; TIME</t>
  </si>
  <si>
    <t>10.1016/j.resconrec.2018.12.011</t>
  </si>
  <si>
    <t>Remoy, H; Wandl, A; Ceric, D; van Timmeren, A</t>
  </si>
  <si>
    <t>Remoy, Hilde; Wandl, Alexander; Ceric, Denis; van Timmeren, Arjan</t>
  </si>
  <si>
    <t>Facilitating Circular Economy in Urban Planning</t>
  </si>
  <si>
    <t>circular economy; circular metabolism; geo decision support environment; knowledge transfer; new ways of governance; peri-urban living labs; resource management; urban metabolism; waste management; wastescapes</t>
  </si>
  <si>
    <t>10.17645/up.v4i3.2484</t>
  </si>
  <si>
    <t>Amenta, L; van Timmeren, A</t>
  </si>
  <si>
    <t>Amenta, Libera; van Timmeren, Arjan</t>
  </si>
  <si>
    <t>Beyond Wastescapes: Towards Circular Landscapes. Addressing the Spatial Dimension of Circularity through the Regeneration of Wastescapes</t>
  </si>
  <si>
    <t>wastescapes; circular economy; eco-innovation; sustainability; urban metabolism</t>
  </si>
  <si>
    <t>URBAN LAND EXPANSION; PATH DEPENDENCE; METABOLISM; CHALLENGE; CHINA</t>
  </si>
  <si>
    <t>10.3390/su10124740</t>
  </si>
  <si>
    <t>Yang, C; Zhao, SQ</t>
  </si>
  <si>
    <t>Yang, Chen; Zhao, Shuqing</t>
  </si>
  <si>
    <t>Scaling of Chinese urban CO2 emissions and multiple dimensions of city size</t>
  </si>
  <si>
    <t>Urban scaling; Mass flow; Urban size; Urban metabolism; Economies of scale; Urban sustainability</t>
  </si>
  <si>
    <t>GROWTH; ENERGY; FORM</t>
  </si>
  <si>
    <t>2023 JAN 20</t>
  </si>
  <si>
    <t>10.1016/j.scitotenv.2022.159502</t>
  </si>
  <si>
    <t>Arora, M; Raspall, F; Cheah, L; Silva, A</t>
  </si>
  <si>
    <t>Arora, Mohit; Raspall, Felix; Cheah, Lynette; Silva, Arlindo</t>
  </si>
  <si>
    <t>Buildings and the circular economy: Estimating urban mining, recovery and reuse potential of building components</t>
  </si>
  <si>
    <t>Urban metabolism; Resource efficiency; Material flow analysis; Housing; Sustainable development; Built environment</t>
  </si>
  <si>
    <t>MATERIAL STOCKS; WASTE</t>
  </si>
  <si>
    <t>10.1016/j.resconrec.2019.104581</t>
  </si>
  <si>
    <t>Sun, J; Wang, T; Lu, S; Gao, XF; Du, HZ</t>
  </si>
  <si>
    <t>Sun, Jian; Wang, Tao; Lu, Sha; Gao, Xiaofeng; Du, Huanzheng</t>
  </si>
  <si>
    <t>Leverage of resource efficiency over environmental emissions: Case of a megacity in China</t>
  </si>
  <si>
    <t>Material flow analysis; Decoupling; Decomposition analysis; Carbon emissions; Waste generation; Synchronicity</t>
  </si>
  <si>
    <t>ECOLOGICAL NETWORK ANALYSIS; URBAN METABOLIC SYSTEM; ECONOMIC-GROWTH; DECOUPLING RELATIONSHIP; DECOMPOSITION ANALYSIS; ENERGY-CONSUMPTION; STOCKS; SUSTAINABILITY; LEVEL; MODEL</t>
  </si>
  <si>
    <t>2023 FEB 1</t>
  </si>
  <si>
    <t>10.1016/j.scitotenv.2022.159514</t>
  </si>
  <si>
    <t>Gudipudi, R; Lüdeke, MKB; Rybski, D; Kropp, JP</t>
  </si>
  <si>
    <t>Gudipudi, Ramana; Luedeke, Matthias K. B.; Rybski, Diego; Kropp, Juergen P.</t>
  </si>
  <si>
    <t>Benchmarking urban eco-efficiency and urbanites' perception</t>
  </si>
  <si>
    <t>Eco-efficiency; City benchmarking; Sustainable urban development; Urban metabolism; Public perception; DEA; OLS ranking</t>
  </si>
  <si>
    <t>NONPARAMETRIC FRONTIER ESTIMATION; QUALITY-OF-LIFE; ENERGY USE; PROVINCIAL CAPITALS; CO2 EMISSIONS; CITIES; COMPETITIVENESS; PERFORMANCE; METABOLISM; SUSTAINABILITY</t>
  </si>
  <si>
    <t>10.1016/j.cities.2017.11.0o9</t>
  </si>
  <si>
    <t>Wielemaker, RC; Weijma, J; Zeeman, G</t>
  </si>
  <si>
    <t>Wielemaker, Rosanne C.; Weijma, Jan; Zeeman, Grietje</t>
  </si>
  <si>
    <t>Harvest to harvest: Recovering nutrients with New Sanitation systems for reuse in Urban Agriculture</t>
  </si>
  <si>
    <t>Urban Agriculture; New Sanitation; Urban metabolism; Urban Harvest Approach; Nutrients; Organic matter</t>
  </si>
  <si>
    <t>SOURCE-SEPARATED URINE; WASTE-WATER; HEAVY-METALS; ORGANIC-MATTER; BLACK WATER; PHOSPHORUS; MANAGEMENT; NITROGEN; REMOVAL; PHARMACEUTICALS</t>
  </si>
  <si>
    <t>10.1016/j.resconrec.2016.09.015</t>
  </si>
  <si>
    <t>The energy-water-food nexus: Strategic analysis of technologies for transforming the urban metabolism</t>
  </si>
  <si>
    <t>Resource recovery; Decision-making; Nutrients; Energy; Wastewater</t>
  </si>
  <si>
    <t>SEWAGE-SLUDGE; CONSUMPTION; PHOSPHORUS; PYROLYSIS; RECOVERY; NITROGEN; CITIES; FLOW; CITY</t>
  </si>
  <si>
    <t>10.1016/j.jenvman.2014.01.054</t>
  </si>
  <si>
    <t>Gassner, A; Lederer, J; Fellner, J</t>
  </si>
  <si>
    <t>Gassner, Andreas; Lederer, Jakob; Fellner, Johann</t>
  </si>
  <si>
    <t>Material stock development of the transport sector in the city of Vienna</t>
  </si>
  <si>
    <t>built environment; construction and demolition waste; industrial ecology; material flow analysis (MFA); transportation; urban metabolism</t>
  </si>
  <si>
    <t>URBAN ROAD SYSTEM; DEMOLITION WASTE; MATERIAL METABOLISM; MATERIAL FLOWS; CONSTRUCTION; IMPACTS; EMISSIONS; TIME</t>
  </si>
  <si>
    <t>2020 DEC</t>
  </si>
  <si>
    <t>10.1111/jiec.13024</t>
  </si>
  <si>
    <t>Williams, J</t>
  </si>
  <si>
    <t>Williams, Joanna</t>
  </si>
  <si>
    <t>Circular Cities: Challenges to Implementing Looping Actions</t>
  </si>
  <si>
    <t>resource looping; circular economy; nexus: recycle; reuse and energy recovery; circular cities; resource management; urban sustainability</t>
  </si>
  <si>
    <t>ENVIRONMENTAL KNOWLEDGE; WASTE MANAGEMENT; URBAN METABOLISM; WATER; GOVERNANCE; RESOURCE; ENERGY; CONSUMPTION; BEHAVIOR; CITY</t>
  </si>
  <si>
    <t>10.3390/su11020423</t>
  </si>
  <si>
    <t>Harseim, L; Sprecher, B; Zengerling, C</t>
  </si>
  <si>
    <t>Harseim, Lisa; Sprecher, Benjamin; Zengerling, Cathrin</t>
  </si>
  <si>
    <t>Phosphorus Governance within Planetary Boundaries: The Potential of Strategic Local Resource Planning in The Hague and Delfland, The Netherlands</t>
  </si>
  <si>
    <t>strategic resource planning; urban phosphorus governance; phosphorus flow analysis</t>
  </si>
  <si>
    <t>AGRICULTURE; CONSUMPTION; MANAGEMENT; NUTRIENTS; PATHWAYS; SYSTEM; FLOWS; CITY; LONG</t>
  </si>
  <si>
    <t>10.3390/su131910801</t>
  </si>
  <si>
    <t>Carpio, A; Ponce-Lopez, R; Lozano-García, DF</t>
  </si>
  <si>
    <t>Carpio, Alejandro; Ponce-Lopez, Roberto; Lozano-Garcia, Diego Fabian</t>
  </si>
  <si>
    <t>Urban form, land use, and cover change and their impact on carbon emissions in the Monterrey Metropolitan area, Mexico</t>
  </si>
  <si>
    <t>URBAN CLIMATE</t>
  </si>
  <si>
    <t>Urban carbon footprint; CO2 urban emissions; Land use and land cover change; Urban sprawl; Urban energy consumption; Urban metabolism</t>
  </si>
  <si>
    <t>CO2 EMISSIONS; DIOXIDE EMISSIONS; FOOTPRINT; CHINA</t>
  </si>
  <si>
    <t>2212-0955</t>
  </si>
  <si>
    <t>10.1016/j.uclim.2021.100947</t>
  </si>
  <si>
    <t>Muñoz-Liesa, J; Toboso-Chavero, S; Beltran, AM; Cuerva, E; Gallo, E; Gassó-Domingo, S; Josa, A</t>
  </si>
  <si>
    <t>Munoz-Liesa, Joan; Toboso-Chavero, Susana; Mendoza Beltran, Angelica; Cuerva, Eva; Gallo, Esteban; Gasso-Domingo, Santiago; Josa, Alejandro</t>
  </si>
  <si>
    <t>Building-integrated agriculture: Are we shifting environmental impacts? An environmental assessment and structural improvement of urban greenhouses</t>
  </si>
  <si>
    <t>Life cycle assessment; Material flow analysis; Resource use efficiency; Structural modeling; Urban agriculture; Urban metabolism</t>
  </si>
  <si>
    <t>LIFE-CYCLE ASSESSMENT; ROOFTOP GREENHOUSE; TOMATO PRODUCTION; FOOD-PRODUCTION; ENERGY; IMPLEMENTATION</t>
  </si>
  <si>
    <t>10.1016/j.resconrec.2021.105526</t>
  </si>
  <si>
    <t>Islam, KMN; Sarker, T; Taghizadeh-Hesary, F; Atri, AC; Alam, MS</t>
  </si>
  <si>
    <t>Islam, K. M. Nazmul; Sarker, Tapan; Taghizadeh-Hesary, Farhad; Atri, Anashuwa Chowdhury; Alam, Mohammad Shafiul</t>
  </si>
  <si>
    <t>Renewable energy generation from livestock waste for a sustainable circular economy in Bangladesh</t>
  </si>
  <si>
    <t>Bio-energy; Life Cycle Assessment; Climate change mitigation; Green growth; Urban metabolism</t>
  </si>
  <si>
    <t>GREENHOUSE-GAS EMISSIONS; BIOGAS PRODUCTION; TECHNOLOGY; MITIGATION; SCENARIO; FUTURE; CHINA; STRATEGIES; DIFFUSION; TRANSPORT</t>
  </si>
  <si>
    <t>10.1016/j.rser.2020.110695</t>
  </si>
  <si>
    <t>Zheng, HM; Fath, BD; Zhang, Y</t>
  </si>
  <si>
    <t>Zheng, Hongmei; Fath, Brian D.; Zhang, Yan</t>
  </si>
  <si>
    <t>An Urban Metabolism and Carbon Footprint Analysis of the Jing-Jin-Ji Regional Agglomeration</t>
  </si>
  <si>
    <t>Beijing-Tianjin-Hebei; embodied energy; industrial ecology; multiregional input-output; network analysis; systems ecology</t>
  </si>
  <si>
    <t>INPUT-OUTPUT-ANALYSIS; ECOLOGICAL NETWORK ANALYSIS; ENERGY-CONSUMPTION; CO2 EMISSIONS; DIOXIDE EMISSIONS; MODEL DEVELOPMENT; ENVIRONMENTAL IMPACTS; CHINA; SYSTEM; REQUIREMENTS</t>
  </si>
  <si>
    <t>10.1111/jiec.12432</t>
  </si>
  <si>
    <t>Zhang, LX; Li, ZW; Jia, XP; Tan, RR; Wang, F</t>
  </si>
  <si>
    <t>Zhang, Lanxin; Li, Zhiwei; Jia, Xiaoping; Tan, Raymond R.; Wang, Fang</t>
  </si>
  <si>
    <t>Targeting carbon emissions mitigation in the transport sector - A case study in Urumqi, China</t>
  </si>
  <si>
    <t>Transport sector; Carbon emissions; Sustainability; Urban metabolism; Pinch analysis</t>
  </si>
  <si>
    <t>MUNICIPAL SOLID-WASTE; GREENHOUSE-GAS EMISSIONS; PINCH ANALYSIS CEPA; CO2 EMISSIONS; SUSTAINABLE DEVELOPMENT; ELECTRICITY-GENERATION; ENERGY-CONSUMPTION; NEW-ZEALAND; REDUCTION; DEMAND</t>
  </si>
  <si>
    <t>10.1016/j.jclepro.2020.120811</t>
  </si>
  <si>
    <t>Marcone, RD; Schmid, M; Meylan, G</t>
  </si>
  <si>
    <t>Marcone, Roberto Davide; Schmid, Marc; Meylan, Gregoire</t>
  </si>
  <si>
    <t>Closing the gap between EU-wide national bioeconomy monitoring frameworks and urban circular bioeconomy development</t>
  </si>
  <si>
    <t>Circular bioeconomy; Indicators; Policy development; Urban metabolism</t>
  </si>
  <si>
    <t>INDICATORS; CITIES</t>
  </si>
  <si>
    <t>2022 DEC 15</t>
  </si>
  <si>
    <t>10.1016/j.jclepro.2022.134563</t>
  </si>
  <si>
    <t>Liu, HM; Fang, CL; Gao, Q</t>
  </si>
  <si>
    <t>Liu, Haimeng; Fang, Chuanglin; Gao, Qian</t>
  </si>
  <si>
    <t>Evaluating the Real-Time Impact of COVID-19 on Cities: China as a Case Study</t>
  </si>
  <si>
    <t>COMPLEXITY</t>
  </si>
  <si>
    <t>1076-2787</t>
  </si>
  <si>
    <t>1099-0526</t>
  </si>
  <si>
    <t>NOV 4</t>
  </si>
  <si>
    <t>10.1155/2020/8855521</t>
  </si>
  <si>
    <t>Mathematics, Interdisciplinary Applications; Multidisciplinary Sciences</t>
  </si>
  <si>
    <t>Nogue-Alguero, B</t>
  </si>
  <si>
    <t>Nogue-Alguero, Borja</t>
  </si>
  <si>
    <t>Growth in the docks: ports, metabolic flows and socio-environmental impacts</t>
  </si>
  <si>
    <t>SUSTAINABILITY SCIENCE</t>
  </si>
  <si>
    <t>Ports; Shipping; Blue economy; Blue growth; Environmental impacts; De-growth</t>
  </si>
  <si>
    <t>POLITICAL ECOLOGY; SUSTAINABLE DEVELOPMENT; EMPIRICAL-EVIDENCE; MARITIME LOGISTICS; URBAN METABOLISM; ECONOMIC-IMPACT; AIR-POLLUTION; BLUE GROWTH; POLICY; OCEAN</t>
  </si>
  <si>
    <t>1862-4065</t>
  </si>
  <si>
    <t>1862-4057</t>
  </si>
  <si>
    <t>10.1007/s11625-019-00764-y</t>
  </si>
  <si>
    <t>Ahams, IC; Paterson, W; Garcia, S; Rushforth, R; Ruddell, BL; Mejia, A</t>
  </si>
  <si>
    <t>Ahams, Ikechukwu C.; Paterson, Willa; Garcia, Susana; Rushforth, Richard; Ruddell, Benjamin L.; Mejia, Alfonso</t>
  </si>
  <si>
    <t>Water Footprint of 65 Mid- to Large-Sized US Cities and Their Metropolitan Areas</t>
  </si>
  <si>
    <t>JOURNAL OF THE AMERICAN WATER RESOURCES ASSOCIATION</t>
  </si>
  <si>
    <t>water use; water footprint; virtual water; material flow; urban metabolism; consumptive use; water sustainability</t>
  </si>
  <si>
    <t>UNITED-STATES; FOOD-CONSUMPTION; ENERGY; LCA; RESOURCES; IMPACTS; SYSTEMS; TRADE; CROPS; GREEN</t>
  </si>
  <si>
    <t>1093-474X</t>
  </si>
  <si>
    <t>1752-1688</t>
  </si>
  <si>
    <t>10.1111/1752-1688.12563</t>
  </si>
  <si>
    <t>Engineering, Environmental; Geosciences, Multidisciplinary; Water Resources</t>
  </si>
  <si>
    <t>Zhang, Y; Zheng, HM; Yang, ZF; Li, YX; Liu, GY; Su, MR; Yin, XN</t>
  </si>
  <si>
    <t>Zhang, Yan; Zheng, Hongmei; Yang, Zhifeng; Li, Yanxian; Liu, Gengyuan; Su, Meirong; Yin, Xinan</t>
  </si>
  <si>
    <t>Urban energy flow processes in the Beijing-Tianjin-Hebei (Jing-Jin-Ji) urban agglomeration: combining multi-regional input-output tables with ecological network analysis</t>
  </si>
  <si>
    <t>Urban ecology; Energy flows; Jing-Jin-Ji; Urban agglomeration; Ecological hierarchy</t>
  </si>
  <si>
    <t>EMBODIED ENERGY; CO2 EMISSIONS; LIFE-CYCLE; INTERNATIONAL-TRADE; MODEL DEVELOPMENT; METABOLIC SYSTEM; CHINA; REQUIREMENTS; CONSUMPTION; ECONOMY</t>
  </si>
  <si>
    <t>10.1016/j.jclepro.2015.06.093</t>
  </si>
  <si>
    <t>Geospatial assessment of potential bioenergy crop production on urban marginal land</t>
  </si>
  <si>
    <t>Urban marginal land; Bioenergy; Urban metabolism; Urban sustainability; Energy resilience</t>
  </si>
  <si>
    <t>RENEWABLE ENERGY-SYSTEMS; BIOFUEL PRODUCTION; UNITED-STATES; BIOMASS; DEFINITIONS; INTEGRATION; AREAS; CHINA; YIELD; HEAT</t>
  </si>
  <si>
    <t>10.1016/j.apenergy.2015.09.021</t>
  </si>
  <si>
    <t>Yang, D; Dang, MY; Guo, J; Sun, LW; Zhang, RR; Han, F; Shi, F; Liu, Q; Tanikawa, H</t>
  </si>
  <si>
    <t>Yang, Dong; Dang, Mengyuan; Guo, Jing; Sun, Lingwen; Zhang, Ruirui; Han, Feng; Shi, Feng; Liu, Qian; Tanikawa, Hiroki</t>
  </si>
  <si>
    <t>Spatial-temporal dynamics of the built environment toward sustainability: A material stock and flow analysis in Chinese new and old urban areas</t>
  </si>
  <si>
    <t>buildings; environmental impact; geographic information systems; industrial ecology; material stock and flows analysis; urban metabolism and sustainability</t>
  </si>
  <si>
    <t>DEMOLITION WASTE; BUILDING STOCK; CONSTRUCTION; PREFABRICATION; METABOLISM; EMISSIONS; SHENZHEN; SYSTEM; MODEL</t>
  </si>
  <si>
    <t>10.1111/jiec.13335</t>
  </si>
  <si>
    <t>Ghisellini, P; Ncube, A; Casazza, M; Passaro, R</t>
  </si>
  <si>
    <t>Ghisellini, Patrizia; Ncube, Amos; Casazza, Marco; Passaro, Renato</t>
  </si>
  <si>
    <t>Toward circular and socially just urban mining in global societies and cities: Present state and future perspectives</t>
  </si>
  <si>
    <t>circular economy; construction and demolition waste; waste electrical and electronic equipment; urban mining; circular urban mining; just urban mining</t>
  </si>
  <si>
    <t>DEMOLITION WASTE MANAGEMENT; LIFE-CYCLE ASSESSMENT; IMPACT ASSESSMENT; ELECTRONIC EQUIPMENT; CONSTRUCTION; ECONOMY; WEEE; METABOLISM; BENEFITS; CHINA</t>
  </si>
  <si>
    <t>SEP 30</t>
  </si>
  <si>
    <t>10.3389/frsc.2022.930061</t>
  </si>
  <si>
    <t>Lu, WS; Lou, JF; Webster, C; Xue, F; Bao, ZK; Chi, B</t>
  </si>
  <si>
    <t>Lu, Weisheng; Lou, Jinfeng; Webster, Chris; Xue, Fan; Bao, Zhikang; Chi, Bin</t>
  </si>
  <si>
    <t>Estimating construction waste generation in the Greater Bay Area, China using machine learning</t>
  </si>
  <si>
    <t>Construction waste; Waste quantification; Greater Bay Area; China; Machine learning</t>
  </si>
  <si>
    <t>BUILDING-RELATED CONSTRUCTION; MULTIPLE LINEAR-REGRESSION; DEMOLITION WASTE; NEURAL-NETWORK; ENVIRONMENTAL-IMPACT; PREDICTION; MODEL; MANAGEMENT; METABOLISM; FRAMEWORK</t>
  </si>
  <si>
    <t>10.1016/j.wasman.2021.08.012</t>
  </si>
  <si>
    <t>Rufí-Salís, M; Petit-Boix, A; Villalba, G; Gabarrell, X; Leipold, S</t>
  </si>
  <si>
    <t>Rufi-Salis, Marti; Petit-Boix, Anna; Villalba, Gara; Gabarrell, Xavier; Leipold, Sina</t>
  </si>
  <si>
    <t>Combining LCA and circularity assessments in complex production systems: the case of urban agriculture</t>
  </si>
  <si>
    <t>Circular economy; Life Cycle Assessment; Industrial ecology; Urban agriculture; Urban metabolism; Circularity Indicators</t>
  </si>
  <si>
    <t>LIFE-CYCLE ASSESSMENT; ENVIRONMENTAL ASSESSMENT; ROOFTOP GREENHOUSES; PHOSPHORUS RECOVERY; FOOD-PRODUCTION; ECONOMY; FUTURE; ENERGY; INDICATORS; IMPACTS</t>
  </si>
  <si>
    <t>10.1016/j.resconrec.2020.105359</t>
  </si>
  <si>
    <t>Voukkali, I; Loizia, P; Pedreño, JN; Zorpas, AA</t>
  </si>
  <si>
    <t>Voukkali, Irene; Loizia, Pantelisa; Navarro Pedreno, Jose; Zorpas, Antonis A.</t>
  </si>
  <si>
    <t>Urban strategies evaluation for waste management in coastal areas in the framework of area metabolism</t>
  </si>
  <si>
    <t>Area metabolism; key performance indicators; waste strategies; accumulation rate; waste compositional analysis; microplastics; clean coast index; European Green Deal; United Nations Sustainable Development Goals; hospitality industry</t>
  </si>
  <si>
    <t>SOLID-WASTE; MICROPLASTICS; PREVENTION; IMPACT; IDENTIFICATION; BEACHES; TOURISM; INDEXES; LITTER; COSTS</t>
  </si>
  <si>
    <t>10.1177/0734242X20972773</t>
  </si>
  <si>
    <t>Mazzocchi, G; Marino, D</t>
  </si>
  <si>
    <t>Mazzocchi, Giampiero; Marino, Davide</t>
  </si>
  <si>
    <t>Rome, a Policy without Politics: The Participatory Process for a Metropolitan Scale Food Policy</t>
  </si>
  <si>
    <t>food policy; food system sustainability; urban agriculture; local development; food governance; stakeholder engagement</t>
  </si>
  <si>
    <t>FOODSCAPE</t>
  </si>
  <si>
    <t>10.3390/ijerph17020479</t>
  </si>
  <si>
    <t>Ke, YH; Xia, LL; Wang, RW; Liang, S; Yang, ZF</t>
  </si>
  <si>
    <t>Ke, Yuhan; Xia, Linlin; Wang, Ruwei; Liang, Sai; Yang, Zhifeng</t>
  </si>
  <si>
    <t>Construction of a methodology framework to characterize dynamic full-sector land-use carbon emissions embodied in trade</t>
  </si>
  <si>
    <t>Full-sector estimates; Embodied land-use emissions; Transboundary carbon emissions; Land-use emission intensities</t>
  </si>
  <si>
    <t>URBAN METABOLISM; EXPANSION; CYCLE</t>
  </si>
  <si>
    <t>2024 FEB 25</t>
  </si>
  <si>
    <t>10.1016/j.scitotenv.2023.169768</t>
  </si>
  <si>
    <t>JAN 2024</t>
  </si>
  <si>
    <t>Westin, AL; Kalmykova, Y; Rosado, L; Oliveira, F; Laurenti, R; Rydberg, T</t>
  </si>
  <si>
    <t>Westin, Alexandra Lavers; Kalmykova, Yuliya; Rosado, Leonardo; Oliveira, Felipe; Laurenti, Rafael; Rydberg, Tomas</t>
  </si>
  <si>
    <t>Combining material flow analysis with life cycle assessment to identify environmental hotspots of urban consumption</t>
  </si>
  <si>
    <t>Consumption Environmental impact; Hybrid MFA-LCA; Hotspot; Urban areas; Urban metabolism</t>
  </si>
  <si>
    <t>CARBON-FOOTPRINT; IMPACTS; METABOLISM; OPPORTUNITIES; SWEDEN</t>
  </si>
  <si>
    <t>JUL 20</t>
  </si>
  <si>
    <t>10.1016/j.jclepro.2019.04.036</t>
  </si>
  <si>
    <t>Viglia, S; Civitillo, DF; Cacciapuoti, G; Ulgiati, S</t>
  </si>
  <si>
    <t>Viglia, Silvio; Civitillo, Dario Felice; Cacciapuoti, Gianluca; Ulgiati, Sergio</t>
  </si>
  <si>
    <t>Indicators of environmental loading and sustainability of urban systems. An emergy-based environmental footprint</t>
  </si>
  <si>
    <t>Energy efficiency; Urban systems; Sustainability; Emergy; Environmental accounting</t>
  </si>
  <si>
    <t>MATERIAL FLOW; RESOURCE USE; ENERGY; CHINA; GEOBIOSPHERE; PERFORMANCE; METABOLISM; CITIES; ROME; CITY</t>
  </si>
  <si>
    <t>10.1016/j.ecolind.2017.03.060</t>
  </si>
  <si>
    <t>Montealegre, AL; García-Pérez, S; Guillén-Lambea, S; Monzón-Chavarrías, M; Sierra-Pérez, J</t>
  </si>
  <si>
    <t>Montealegre, A. L.; Garcia-Perez, S.; Guillen-Lambea, S.; Monzon-Chavarrias, M.; Sierra-Perez, J.</t>
  </si>
  <si>
    <t>GIS-based assessment for the potential of implementation of food-energy-water systems on building rooftops at the urban level</t>
  </si>
  <si>
    <t>LiDAR; Cadastral data; FEW systems; Urban morphology; Urban metabolism; Urban self-sufficiency</t>
  </si>
  <si>
    <t>ENVIRONMENTAL ASSESSMENT; SURFACE-AREA; PV SYSTEMS; SOLAR; AGRICULTURE; MODEL; METHODOLOGY; CONSUMPTION; GREENHOUSE; ROOFS</t>
  </si>
  <si>
    <t>2022 JAN 10</t>
  </si>
  <si>
    <t>10.1016/j.scitotenv.2021.149963</t>
  </si>
  <si>
    <t>Villalba, G; Hoekman, P</t>
  </si>
  <si>
    <t>Villalba, Gara; Hoekman, Paul</t>
  </si>
  <si>
    <t>Using Web-Based Technology to Bring Hands-On Urban Material Flow Analysis to the Classroom</t>
  </si>
  <si>
    <t>education and training; software; learning by doing; economy-wide material flow analysis (EW-MFA); urban metabolism; environmental education</t>
  </si>
  <si>
    <t>METABOLISM; ENERGY</t>
  </si>
  <si>
    <t>10.1111/jiec.12553</t>
  </si>
  <si>
    <t>Aguilera, MA; Araya, A; Rojas, A; Ortiz, L; Strain, EMA</t>
  </si>
  <si>
    <t>Aguilera, Moises A.; Araya, Angelo; Rojas, Ariel; Ortiz, Leslie; Strain, Elisabeth M. A.</t>
  </si>
  <si>
    <t>Designing urban ports for improved coastal ecosystem services: Lessons learnt for enhancing biodiversity and reducing social-ecological conflicts</t>
  </si>
  <si>
    <t>REGIONAL STUDIES IN MARINE SCIENCE</t>
  </si>
  <si>
    <t>Built infrastructure; Ecological engineering; Ecosystem services; Port pressures; Urban metabolism</t>
  </si>
  <si>
    <t>OCEAN SPRAWL; MARINE; MANAGEMENT; FRAMEWORK; INFRASTRUCTURE; METABOLISM; SUSTAINABILITY; SYSTEMS; IMPACTS; LIGHT</t>
  </si>
  <si>
    <t>2352-4855</t>
  </si>
  <si>
    <t>10.1016/j.rsma.2023.102886</t>
  </si>
  <si>
    <t>FEB 2023</t>
  </si>
  <si>
    <t>Ecology; Marine &amp; Freshwater Biology</t>
  </si>
  <si>
    <t>Cai, QX; Zeng, N; Zhao, F; Han, PF; Liu, D; Lin, XH; Chen, JW</t>
  </si>
  <si>
    <t>Cai, Qixiang; Zeng, Ning; Zhao, Fang; Han, Pengfei; Liu, Di; Lin, Xiaohui; Chen, Jingwen</t>
  </si>
  <si>
    <t>The impact of human and livestock respiration on CO2 emissions from 14 global cities</t>
  </si>
  <si>
    <t>CARBON BALANCE AND MANAGEMENT</t>
  </si>
  <si>
    <t>Human respiration; Livestock respiration; City CO2 emission; Urban metabolism</t>
  </si>
  <si>
    <t>BASAL METABOLIC-RATES; CARBON-DIOXIDE; ATMOSPHERIC CO2; URBAN; FLUXES; CONSUMPTION; ALLOMETRY; SUBURBAN; MAMMALS; BUDGET</t>
  </si>
  <si>
    <t>1750-0680</t>
  </si>
  <si>
    <t>NOV 3</t>
  </si>
  <si>
    <t>10.1186/s13021-022-00217-7</t>
  </si>
  <si>
    <t>Qu, YC; Zhang, J; Xu, CY; Gao, YC; Zheng, SW; Xia, ML</t>
  </si>
  <si>
    <t>Qu, Yongchao; Zhang, Jian; Xu, Chongyuan; Gao, Yichao; Zheng, Shanwen; Xia, Meiling</t>
  </si>
  <si>
    <t>Analysis of Spatial Carbon Metabolism by ENA: A Case Study of Tongzhou District, Beijing</t>
  </si>
  <si>
    <t>carbon metabolism; carbon flow; ENA; spatial and temporal characteristics; Tongzhou District</t>
  </si>
  <si>
    <t>LAND-USE; ECOLOGICAL RELATIONSHIPS; URBAN METABOLISM; NETWORK; EMISSIONS; CONSUMPTION; PATTERNS; AREAS</t>
  </si>
  <si>
    <t>10.3390/land11091573</t>
  </si>
  <si>
    <t>Lauk, C; Kaufmann, L; Theurl, MC; Wittmann, F; Eder, M; Hörtenhuber, S; Freyer, B; Krausmann, F</t>
  </si>
  <si>
    <t>Lauk, Christian; Kaufmann, Lisa; Theurl, Michaela C.; Wittmann, Fritz; Eder, Michael; Hoertenhuber, Stefan; Freyer, Bernhard; Krausmann, Fridolin</t>
  </si>
  <si>
    <t>Demand side options to reduce greenhouse gas emissions and the land footprint of urban food systems: A scenario analysis for the City of Vienna</t>
  </si>
  <si>
    <t>Sustainable food system; Urban metabolism; Climate change mitigation; Regionalization; Organic agriculture; Low meat diets</t>
  </si>
  <si>
    <t>DIETARY RECOMMENDATIONS; DAIRY PRODUCTION; SEQUESTRATION</t>
  </si>
  <si>
    <t>10.1016/j.jclepro.2022.132064</t>
  </si>
  <si>
    <t>Chaker, M; Berezowska-Azzag, E; Perrotti, D</t>
  </si>
  <si>
    <t>Chaker, Mazia; Berezowska-Azzag, Ewa; Perrotti, Daniela</t>
  </si>
  <si>
    <t>Exploring the performances of urban local symbiosis strategy in Algiers, between a potential of energy use optimization and CO2 emissions mitigation</t>
  </si>
  <si>
    <t>CO2 emissions reduction; Local urban planning; Symbiotic urban system; Low carbon urban symbiosis; Circular urban metabolism; Waste-energy metabolic flows</t>
  </si>
  <si>
    <t>INDUSTRIAL SYMBIOSIS; QUANTITATIVE ASSESSMENT; WASTE HEAT; KAWASAKI</t>
  </si>
  <si>
    <t>2021 APR 10</t>
  </si>
  <si>
    <t>10.1016/j.jclepro.2021.125850</t>
  </si>
  <si>
    <t>Zang, HK; Zhang, LR; Xu, Y; Li, W</t>
  </si>
  <si>
    <t>Zang, Hongkuan; Zhang, Lirong; Xu, Ye; Li, Wei</t>
  </si>
  <si>
    <t>Dynamic Input-Output Analysis of a Carbon Emission System at the Aggregated and Disaggregated Levels: A Case Study in the Northeast Industrial District</t>
  </si>
  <si>
    <t>input-output analysis; urban agglomeration; structural decomposition analysis; Northeast Industrial District; different energy types</t>
  </si>
  <si>
    <t>ECOLOGICAL-NETWORK-ANALYSIS; ENERGY-METABOLISM SYSTEM; GREENHOUSE-GAS EMISSIONS; URBAN METABOLISM; CO2 EMISSIONS; DECOMPOSITION ANALYSIS; SOCIOECONOMIC DRIVERS; AGGLOMERATION; CHINA; CONSUMPTION</t>
  </si>
  <si>
    <t>10.3390/su12072708</t>
  </si>
  <si>
    <t>Chiu, C</t>
  </si>
  <si>
    <t>Chiu, Chihsin</t>
  </si>
  <si>
    <t>Greening informality through metabolic coordination: An urban political ecology of governing extralegal housing forms in Taiwan</t>
  </si>
  <si>
    <t>extralegal construction; metabolic circulation; sustainable design; urban informality; urban political ecology</t>
  </si>
  <si>
    <t>STRATEGIC-RELATIONAL APPROACH; CLIMATE-CHANGE; GOVERNANCE; SETTLEMENT; ILLEGAL; COMPLEX; SPACE</t>
  </si>
  <si>
    <t>2023 NOV 10</t>
  </si>
  <si>
    <t>10.1177/00420980231202684</t>
  </si>
  <si>
    <t>NOV 2023</t>
  </si>
  <si>
    <t>de Souza, VM; Fröhling, M; Pigosso, DCA</t>
  </si>
  <si>
    <t>de Souza, Vitor Miranda; Froehling, Magnus; Pigosso, Daniela C. A.</t>
  </si>
  <si>
    <t>A Multi-level Resource Circularity Index based in the European Union's Circular Economy Monitoring Framework</t>
  </si>
  <si>
    <t>WASTE AND BIOMASS VALORIZATION</t>
  </si>
  <si>
    <t>Circularity metrics; Circularity gap; Circular material use rate; Urban metabolism; Urban resource centre; Preparation for reuse</t>
  </si>
  <si>
    <t>SUPPLY NETWORKS; METABOLISM; SYSTEMS</t>
  </si>
  <si>
    <t>1877-2641</t>
  </si>
  <si>
    <t>1877-265X</t>
  </si>
  <si>
    <t>10.1007/s12649-023-02193-6</t>
  </si>
  <si>
    <t>Ekman, U</t>
  </si>
  <si>
    <t>Ekman, Ulrik</t>
  </si>
  <si>
    <t>Peripheral: Resilient Hydrological Infrastructures</t>
  </si>
  <si>
    <t>INFRASTRUCTURES</t>
  </si>
  <si>
    <t>urban-environmental infrastructure; urban periphery; urban design; rising sea levels; resilience; adaptive planning; ecotone cities</t>
  </si>
  <si>
    <t>SEA-LEVEL RISE; COMPLEX ADAPTIVE SYSTEMS; CLIMATE-CHANGE; PLANETARY URBANIZATION; POLITICAL ECOLOGY; URBAN METABOLISM; TARAWA ATOLL; ADAPTATION; WATER; ANTHROPOCENE</t>
  </si>
  <si>
    <t>2412-3811</t>
  </si>
  <si>
    <t>10.3390/infrastructures8070111</t>
  </si>
  <si>
    <t>Construction &amp; Building Technology; Engineering, Civil; Transportation Science &amp; Technology</t>
  </si>
  <si>
    <t>Marini, M; Caro, D; Thomsen, M</t>
  </si>
  <si>
    <t>Marini, Michele; Caro, Dario; Thomsen, Marianne</t>
  </si>
  <si>
    <t>Investigating local policy instruments for different types of urban agriculture in four European cities: A case study analysis on the use and effectiveness of the applied policy instruments</t>
  </si>
  <si>
    <t>Urban agriculture; Controlled-environment agriculture; Municipal policies; Local; Government; Policy effects</t>
  </si>
  <si>
    <t>ECOSYSTEM SERVICES; FOOD SECURITY; SYSTEMS; SUSTAINABILITY; ENVIRONMENT; CHALLENGE; GARDENS; CITY; GOVERNANCE; INSIGHTS</t>
  </si>
  <si>
    <t>10.1016/j.landusepol.2023.106695</t>
  </si>
  <si>
    <t>Lausselet, C; Ellingsen, LAW; Stromman, AH; Brattebo, H</t>
  </si>
  <si>
    <t>Lausselet, Carine; Ellingsen, Linda Ager-Wick; Stromman, Anders Hammer; Brattebo, Helge</t>
  </si>
  <si>
    <t>A life-cycle assessment model for zero emission neighborhoods</t>
  </si>
  <si>
    <t>buildings; built environment; functional unit; life cycle assessment (LCA); urban metabolism; zero emissions</t>
  </si>
  <si>
    <t>ENERGY DEMAND; RESIDENTIAL BUILDINGS; ENVIRONMENTAL-IMPACT; BUILT ENVIRONMENT; EFFICIENCY; DENSITY; STOCKS; URBAN; HOUSEHOLDS; STRATEGIES</t>
  </si>
  <si>
    <t>10.1111/jiec.12960</t>
  </si>
  <si>
    <t>OCT 2019</t>
  </si>
  <si>
    <t>Chen, W; Geng, Y; Dong, HJ; Tian, X; Zhong, SZ; Wu, Q; Xu, Y; Zhang, Q; Li, S</t>
  </si>
  <si>
    <t>Chen, Wei; Geng, Yong; Dong, Huijuan; Tian, Xu; Zhong, Shaozhuo; Wu, Qi; Xu, Yue; Zhang, Qiang; Li, Shun</t>
  </si>
  <si>
    <t>An emergy accounting based regional sustainability evaluation: A case of Qinghai in China</t>
  </si>
  <si>
    <t>Emergy; Indicators; Socio-economic system; Sustainability; Qinghai Province</t>
  </si>
  <si>
    <t>ENVIRONMENTAL SUSTAINABILITY; URBAN METABOLISM; TIBETAN PLATEAU; PROVINCE; ECONOMY; RESOURCES; RESERVES; POWER</t>
  </si>
  <si>
    <t>10.1016/j.ecolind.2017.12.069</t>
  </si>
  <si>
    <t>van den Berghe, KBJ; Verhagen, TJ</t>
  </si>
  <si>
    <t>van den Berghe, Karel B. J.; Verhagen, Teun J.</t>
  </si>
  <si>
    <t>Making it Concrete: Analysing the Role of Concrete Plants' Locations for Circular City Policy Goals</t>
  </si>
  <si>
    <t>concrete; urban metabolism; (re)supply chain; circular city; circular washing</t>
  </si>
  <si>
    <t>ECONOMY; CONSTRUCTION; METABOLISM; SOCIETY</t>
  </si>
  <si>
    <t>OCT 22</t>
  </si>
  <si>
    <t>10.3389/fbuil.2021.748842</t>
  </si>
  <si>
    <t>Guo, Z; Shi, HH; Zhang, PD; Chi, Y; Feng, AP</t>
  </si>
  <si>
    <t>Guo, Zhen; Shi, Honghua; Zhang, Peidong; Chi, Yuan; Feng, Aiping</t>
  </si>
  <si>
    <t>Material metabolism and lifecycle impact assessment towards sustainable resource management: A case study of the highway infrastructural system in Shandong Peninsula, China</t>
  </si>
  <si>
    <t>Highway system; Stock study; Material metabolism; Lifecycle impact assessment (LCIA); Infrastructure resource management</t>
  </si>
  <si>
    <t>URBAN METABOLISM; BUILDING STOCK; CONSUMPTION; DEMOLITION; WASTE; MODEL</t>
  </si>
  <si>
    <t>10.1016/j.jclepro.2017.03.194</t>
  </si>
  <si>
    <t>Pearce, BJ; Chertow, M</t>
  </si>
  <si>
    <t>Pearce, BinBin J.; Chertow, Marian</t>
  </si>
  <si>
    <t>Scenarios for achieving absolute reductions in phosphorus consumption in Singapore</t>
  </si>
  <si>
    <t>Phosphorus balance; Urban metabolism; Material flow analysis; Urban systems; Scenario analysis</t>
  </si>
  <si>
    <t>USE-EFFICIENCY; FLOW-ANALYSIS; URBAN; EUTROPHICATION; 20TH-CENTURY; AGRICULTURE; PERSPECTIVE; MANAGEMENT; ECOSYSTEM; NITROGEN</t>
  </si>
  <si>
    <t>10.1016/j.jclepro.2016.09.199</t>
  </si>
  <si>
    <t>Cui, SH; Xu, S; Huang, W; Bai, XM; Huang, YF; Li, GL</t>
  </si>
  <si>
    <t>Cui, Shenghui; Xu, Su; Huang, Wei; Bai, Xuemei; Huang, Yunfeng; Li, Guilin</t>
  </si>
  <si>
    <t>Changing urban phosphorus metabolism: Evidence from Longyan City, China</t>
  </si>
  <si>
    <t>Phosphorus; Substance flow analysis; Urban metabolism; Urbanization; China</t>
  </si>
  <si>
    <t>FLOW-ANALYSIS; FOOD-CONSUMPTION; EUTROPHICATION; ENVIRONMENT; SYSTEMS; REQUIREMENT; SECURITY; NITROGEN; IMPACT; RICE</t>
  </si>
  <si>
    <t>10.1016/j.scitotenv.2015.06.073</t>
  </si>
  <si>
    <t>Gravagnuolo, A; Angrisano, M; Girard, LF</t>
  </si>
  <si>
    <t>Gravagnuolo, Antonia; Angrisano, Mariarosaria; Girard, Luigi Fusco</t>
  </si>
  <si>
    <t>Circular Economy Strategies in Eight Historic Port Cities: Criteria and Indicators Towards a Circular City Assessment Framework</t>
  </si>
  <si>
    <t>circular economy; circular city; urban circular economy; port cities; historic cities; built environment; indicators; evaluation; urban metabolisms</t>
  </si>
  <si>
    <t>SMART CITIES; SUSTAINABLE DEVELOPMENT; URBAN RESILIENCE; CONSTRUCTION; LANDSCAPE; DIMENSIONS; MANAGEMENT; INNOVATION; DESIGN; SYSTEM</t>
  </si>
  <si>
    <t>10.3390/su11133512</t>
  </si>
  <si>
    <t>Ness, DA; Xing, K</t>
  </si>
  <si>
    <t>Ness, David A.; Xing, Ke</t>
  </si>
  <si>
    <t>Toward a Resource-Efficient Built Environment A Literature Review and Conceptual Model</t>
  </si>
  <si>
    <t>asset management; carbon neutrality; circular economy; industrial ecology; sustainable development; urban development</t>
  </si>
  <si>
    <t>EMBODIED ENERGY MEASUREMENT; CIRCULAR ECONOMY; INDUSTRIAL SYMBIOSIS; URBAN METABOLISM; HAMMARBY SJOSTAD; BUILDING STOCK; CLIMATE-CHANGE; SYSTEM; PRODUCT; CONSUMPTION</t>
  </si>
  <si>
    <t>10.1111/jiec.12586</t>
  </si>
  <si>
    <t>Forkes, J</t>
  </si>
  <si>
    <t>Forkes, Jennifer</t>
  </si>
  <si>
    <t>Nitrogen balance for the urban food metabolism of Toronto, Canada</t>
  </si>
  <si>
    <t>nutrient balance; urban metabolism; food system; waste; nitrogen cycling</t>
  </si>
  <si>
    <t>WASTE</t>
  </si>
  <si>
    <t>10.1016/j.resconrec.2007.02.003</t>
  </si>
  <si>
    <t>Xu, WH; Xie, YL; Cai, YP; Ji, L; Wang, BS; Yang, ZF</t>
  </si>
  <si>
    <t>Xu, Wenhao; Xie, Yulei; Cai, Yanpeng; Ji, Ling; Wang, Bishi; Yang, Zhifeng</t>
  </si>
  <si>
    <t>Environmentally-extended input-output and ecological network analysis for Energy-Water-CO2 metabolic system in China</t>
  </si>
  <si>
    <t>Energy-Water-CO2 metabolic system; Ecological network analysis; Industrial relatedness; Resources and environment responses; China</t>
  </si>
  <si>
    <t>ENERGY-CONSUMPTION; URBAN METABOLISM; WATER FOOTPRINT; EMISSIONS; FLOWS; MODEL; FOOD</t>
  </si>
  <si>
    <t>10.1016/j.scitotenv.2020.143931</t>
  </si>
  <si>
    <t>Renouf, MA; Kenway, SJ; Lam, KL; Weber, T; Roux, E; Serrao-Neumann, S; Choy, DL; Morgan, EA</t>
  </si>
  <si>
    <t>Renouf, Marguerite A.; Kenway, Steven J.; Lam, Ka Leung; Weber, Tony; Roux, Estelle; Serrao-Neumann, Silvia; Choy, Darryl Low; Morgan, Edward A.</t>
  </si>
  <si>
    <t>Understanding urban water performance at the city-region scale using an urban water metabolism evaluation framework</t>
  </si>
  <si>
    <t>Urban metabolism; Water mass balance; Water efficiency; Wastewater recycling; Stormwater; Water sensitive cities; System boundary</t>
  </si>
  <si>
    <t>DECISION-SUPPORT; MASS-BALANCE; SUSTAINABILITY; URBANIZATION; DEFINITION; INDICATORS; SYSTEMS; RUNOFF; CITIES; ENERGY</t>
  </si>
  <si>
    <t>10.1016/j.watres.2018.01.070</t>
  </si>
  <si>
    <t>Hao, Y; Zhang, MH; Zhang, Y; Fu, CL; Lu, ZM</t>
  </si>
  <si>
    <t>Hao, Yan; Zhang, Menghui; Zhang, Yan; Fu, Chenling; Lu, Zhongming</t>
  </si>
  <si>
    <t>Multi-scale analysis of the energy metabolic processes in the Beijing-Tianjin-Hebei (Jing-Jin-Ji) urban agglomeration</t>
  </si>
  <si>
    <t>Urban energy metabolism; Ecological network analysis; Multi-scale analysis; Urban agglomeration; Jing-Jin-Ji</t>
  </si>
  <si>
    <t>ECOLOGICAL NETWORK ANALYSIS; INPUT-OUTPUT-ANALYSIS; VIRTUAL WATER; INTERNATIONAL-TRADE; CARBON FOOTPRINT; DOMESTIC TRADE; CHINA; CONSUMPTION; SYSTEM; MODEL</t>
  </si>
  <si>
    <t>10.1016/j.ecolmodel.2017.12.012</t>
  </si>
  <si>
    <t>Thakuriah, P; Sila-Nowicka, K; Hong, JY; Boididou, C; Osborne, M; Lido, C; McHugh, A</t>
  </si>
  <si>
    <t>Thakuriah, Piyushimita (Vonu); Sila-Nowicka, Katarzyna; Hong, Jinhyun; Boididou, Christina; Osborne, Michael; Lido, Catherine; McHugh, Andrew</t>
  </si>
  <si>
    <t>Integrated Multimedia City Data (iMCD): A composite survey and sensing approach to understanding urban living and mobility</t>
  </si>
  <si>
    <t>Wearable sensors; Image data; Urban metabolism; Travel behavior; Social media; Smart cities</t>
  </si>
  <si>
    <t>SOCIAL-ISOLATION; GPS TRAJECTORIES; MENTAL-HEALTH; BIG DATA; CHALLENGES; MEDIA</t>
  </si>
  <si>
    <t>10.1016/j.compenvurbsys.2019.101427</t>
  </si>
  <si>
    <t>Kalmykova, Y; Rosado, L; Patrício, J</t>
  </si>
  <si>
    <t>Kalmykova, Yuliya; Rosado, Leonardo; Patricio, Joao</t>
  </si>
  <si>
    <t>Resource consumption drivers and pathways to reduction: economy, policy and lifestyle impact on material flows at the national and urban scale</t>
  </si>
  <si>
    <t>Decoupling; Material flow analysis; Urban metabolism; Eco-effitiency</t>
  </si>
  <si>
    <t>METABOLISM; CITIES; TRANSITIONS</t>
  </si>
  <si>
    <t>10.1016/j.jclepro.2015.02.027</t>
  </si>
  <si>
    <t>Tian, GL; Xia, Q; Wu, Z; Fu, TB</t>
  </si>
  <si>
    <t>Tian, Guiliang; Xia, Qing; Wu, Zheng; Fu, Tianbo</t>
  </si>
  <si>
    <t>Ecological network analysis of industrial wastes metabolism based on input-output model for Jiangsu, China</t>
  </si>
  <si>
    <t>Industrial wastes metabolism system; Input-output analysis; Ecological network analysis; Jiangsu province</t>
  </si>
  <si>
    <t>SOLID-WASTE; CARBON EMISSIONS; GUANGDONG PROVINCE; ECONOMIC-STRUCTURE; URBAN METABOLISM; WORLD-ECONOMY; SUPPLY CHAIN; SYSTEM; ENERGY; WATER</t>
  </si>
  <si>
    <t>2022 APR 15</t>
  </si>
  <si>
    <t>10.1016/j.wasman.2022.02.011</t>
  </si>
  <si>
    <t>Serrao-Neumann, S; Renouf, M; Kenway, SJ; Choy, DL</t>
  </si>
  <si>
    <t>Serrao-Neumann, S.; Renouf, M.; Kenway, S. J.; Choy, D. Low</t>
  </si>
  <si>
    <t>Connecting land-use and water planning: Prospects for an urban water metabolism approach</t>
  </si>
  <si>
    <t>Water sensitive cities; Australia; Urban and regional planning; Water resource management; Landscape scale; Climate change</t>
  </si>
  <si>
    <t>CLIMATE-CHANGE; SUSTAINABILITY; OPPORTUNITIES; VULNERABILITY; PERCEPTIONS; ADAPTATION; GOVERNANCE; RESOURCES; ENERGY; FLOWS</t>
  </si>
  <si>
    <t>10.1016/j.cities.2016.07.003</t>
  </si>
  <si>
    <t>Ecological network and emergy analysis of urban metabolic systems: Model development, and a case study of four Chinese cities</t>
  </si>
  <si>
    <t>Urban metabolism; Ecological network analysis; Metabolic component analysis; Urban metabolic pathways; Metabolic relationships</t>
  </si>
  <si>
    <t>NEUSE RIVER ESTUARY; DISTRIBUTED CONTROL; 7-COMPARTMENT MODEL; NITROGEN FLOW; ENVIRON NETWORKS; ECOSYSTEM; USA; INFORMATION; SUSTAINABILITY; TRANSFORMITY</t>
  </si>
  <si>
    <t>10.1016/j.ecolmodel.2009.02.001</t>
  </si>
  <si>
    <t>Xia, LL; Wei, JF; Wang, RW; Chen, L; Zhang, Y; Yang, ZF</t>
  </si>
  <si>
    <t>Xia, Linlin; Wei, Jianfeng; Wang, Ruwei; Chen, Lei; Zhang, Yan; Yang, Zhifeng</t>
  </si>
  <si>
    <t>Exploring Potential Ways to Reduce the Carbon Emission Gap in an Urban Metabolic System: A Network Perspective</t>
  </si>
  <si>
    <t>network insight; urban carbon metabolism; center of gravity; carbon neutral paths</t>
  </si>
  <si>
    <t>GREATER BAY AREA; CO2 EMISSIONS; LAND-USE; ENERGY-CONSUMPTION; DIOXIDE EMISSIONS; CLIMATE-CHANGE; CHINA; CITIES; PEAK; SEQUESTRATION</t>
  </si>
  <si>
    <t>10.3390/ijerph19105793</t>
  </si>
  <si>
    <t>Xia, CY; Li, Y; Xu, TB; Ye, YM; Shi, Z; Peng, Y; Liu, JM</t>
  </si>
  <si>
    <t>Xia, Chuyu; Li, Yan; Xu, Tingbao; Ye, Yanmei; Shi, Zhou; Peng, Yuan; Liu, Jingming</t>
  </si>
  <si>
    <t>Quantifying the spatial patterns of urban carbon metabolism: A case study of Hangzhou, China</t>
  </si>
  <si>
    <t>Urban carbon metabolism; Spatial pattern; Carbon transitions; Urban form; Panel data analysis; Low-carbon</t>
  </si>
  <si>
    <t>CO2 EMISSIONS; ENERGY-CONSUMPTION; ECOLOGICAL RELATIONSHIPS; SOCIOECONOMIC-FACTORS; FORM; URBANIZATION; CITY; IMPACTS; ENVIRONMENT; AGRICULTURE</t>
  </si>
  <si>
    <t>10.1016/j.ecolind.2018.07.053</t>
  </si>
  <si>
    <t>Rice, S; Tyner, J</t>
  </si>
  <si>
    <t>Rice, Stian; Tyner, James</t>
  </si>
  <si>
    <t>The rice cities of the Khmer Rouge: an urban political ecology of rural mass violence</t>
  </si>
  <si>
    <t>Cambodia; Khmer Rouge; political economy; urban political ecology; urbicide</t>
  </si>
  <si>
    <t>GREEN SPACE; URBICIDE; CAMBODIA; GENOCIDE; ECONOMY; JUSTICE</t>
  </si>
  <si>
    <t>10.1111/tran.12187</t>
  </si>
  <si>
    <t>Magnusson, S; Johansson, M; Frosth, S; Lundberg, K</t>
  </si>
  <si>
    <t>Magnusson, Simon; Johansson, Maria; Frosth, Sandra; Lundberg, Kristina</t>
  </si>
  <si>
    <t>Coordinating soil and rock material in urban construction - Scenario analysis of material flows and greenhouse gas emissions</t>
  </si>
  <si>
    <t>Construction; Urban metabolism; Rock and soil material flow; Greenhouse gas emissions; Recycling</t>
  </si>
  <si>
    <t>WASTE; TRANSPORTATION; SUITABILITY; AGGREGATE; ENGLAND; SITES</t>
  </si>
  <si>
    <t>DEC 20</t>
  </si>
  <si>
    <t>10.1016/j.jclepro.2019.118236</t>
  </si>
  <si>
    <t>Zheng, HM; Wang, XJ; Li, MJ; Zhang, Y; Fan, YC</t>
  </si>
  <si>
    <t>Zheng, Hongmei; Wang, Xinjing; Li, Mingjing; Zhang, Yan; Fan, Yachun</t>
  </si>
  <si>
    <t>Interregional trade among regions of urban energy metabolism: A case study between Beijing-Tianjin-Hebei and others in China</t>
  </si>
  <si>
    <t>Urban ecology; Interregional trade; Ecological network analysis; Multi-regional input-output table; Jing-Jin-Ji urban agglomeration</t>
  </si>
  <si>
    <t>ECOLOGICAL NETWORK ANALYSIS; INPUT-OUTPUT-ANALYSIS; MODEL DEVELOPMENT; CARBON FOOTPRINT; DOMESTIC TRADE; WATER NEXUS; CONSUMPTION; PERSPECTIVE; SYSTEM; AGGLOMERATION</t>
  </si>
  <si>
    <t>10.1016/j.resconrec.2017.05.010</t>
  </si>
  <si>
    <t>Chien, SS; Chang, YT</t>
  </si>
  <si>
    <t>Chien, Shiuh-Shen; Chang, Yi-Ting</t>
  </si>
  <si>
    <t>Explosion, subterranean infrastructure and the elemental of earth in the contemporary city: The case of Kaohsiung, Taiwan</t>
  </si>
  <si>
    <t>Elemental of earth; Subterranean infrastructure; Striated earth; Rhizomorphic earth; Affective earth</t>
  </si>
  <si>
    <t>ECOLOGY; SECURE; VOLUME; DEPTH; ROCK</t>
  </si>
  <si>
    <t>10.1016/j.geoforum.2021.03.005</t>
  </si>
  <si>
    <t>Salgueiro, V; Cerqueira, M; Monteiro, A; Alves, C; Rafael, S; Borrego, C; Pio, C</t>
  </si>
  <si>
    <t>Salgueiro, Vanda; Cerqueira, Mario; Monteiro, Alexandra; Alves, Celia; Rafael, Sandra; Borrego, Carlos; Pio, Casimiro</t>
  </si>
  <si>
    <t>Annual and seasonal variability of greenhouse gases fluxes over coastal urban and suburban areas in Portugal: Measurements and source partitioning</t>
  </si>
  <si>
    <t>ATMOSPHERIC ENVIRONMENT</t>
  </si>
  <si>
    <t>CO2 fluxes; H2O fluxes; Eddy covariance; Modelling; Urban fluxes; Porto urban metabolism</t>
  </si>
  <si>
    <t>EDDY COVARIANCE MEASUREMENTS; CARBON-DIOXIDE EMISSIONS; CITY-CENTER; TEMPORAL VARIABILITY; CO2 EMISSIONS; WATER-VAPOR; HEAT; METHANE; NEIGHBORHOOD; RADIATION</t>
  </si>
  <si>
    <t>1352-2310</t>
  </si>
  <si>
    <t>1873-2844</t>
  </si>
  <si>
    <t>10.1016/j.atmosenv.2019.117204</t>
  </si>
  <si>
    <t>D'Amico, G; L'Abbate, P; Liao, WJ; Yigitcanlar, T; Ioppolo, G</t>
  </si>
  <si>
    <t>D'Amico, Gaspare; L'Abbate, Pasqua; Liao, Wenjie; Yigitcanlar, Tan; Ioppolo, Giuseppe</t>
  </si>
  <si>
    <t>Understanding Sensor Cities: Insights from Technology Giant Company Driven Smart Urbanism Practices</t>
  </si>
  <si>
    <t>SENSORS</t>
  </si>
  <si>
    <t>sensor city; City 4; 0; sustainable urban development; smart city; smart urbanism; smart governance; disruptive urban transition; Internet-of-Things (IoT); technology giants; sensors</t>
  </si>
  <si>
    <t>BIG DATA ANALYTICS; SUSTAINABLE CITIES; FRAMEWORK; IOT; INTERNET; THINGS; SYSTEM; FUTURE; ICT; INFRASTRUCTURE</t>
  </si>
  <si>
    <t>1424-8220</t>
  </si>
  <si>
    <t>10.3390/s20164391</t>
  </si>
  <si>
    <t>Chemistry, Analytical; Engineering, Electrical &amp; Electronic; Instruments &amp; Instrumentation</t>
  </si>
  <si>
    <t>Zhai, MY; Huang, GH; Liu, LR; Su, S</t>
  </si>
  <si>
    <t>Zhai, Mengyu; Huang, Guohe; Liu, Lirong; Su, Shuai</t>
  </si>
  <si>
    <t>Dynamic input-output analysis for energy metabolism system in the Province of Guangdong, China</t>
  </si>
  <si>
    <t>Urban energy metabolism system; Integral flow control intensity; Indirect effect indicator; Revised robustness analysis; Ecological network analysis</t>
  </si>
  <si>
    <t>ECOLOGICAL NETWORK ANALYSIS; VIRTUAL WATER NETWORK; URBAN METABOLISM; MODEL DEVELOPMENT; EMERGY SYNTHESIS; FLOW-ANALYSIS; SUSTAINABILITY; CITIES; CONSUMPTION; FOOTPRINT</t>
  </si>
  <si>
    <t>10.1016/j.jclepro.2018.06.084</t>
  </si>
  <si>
    <t>Lee, SE; Braithwaite, P; Leach, JM; Rogers, CDF</t>
  </si>
  <si>
    <t>Lee, Susan E.; Braithwaite, Peter; Leach, Joanne M.; Rogers, Chris D. F.</t>
  </si>
  <si>
    <t>A comparison of energy systems in Birmingham, UK, with Masdar City, an embryonic city in Abu Dhabi Emirate</t>
  </si>
  <si>
    <t>Sustainability; Resilience; Energy systems; Experimentation; Lock-in; Flexibility; Governance</t>
  </si>
  <si>
    <t>10.1016/j.rser.2016.07.019</t>
  </si>
  <si>
    <t>Venkatesh, G; Saegrov, S; Brattebo, H</t>
  </si>
  <si>
    <t>Venkatesh, G.; Saegrov, Sueinung; Brattebo, Helge</t>
  </si>
  <si>
    <t>Dynamic metabolism modelling of urban water services - Demonstrating effectiveness as a decision-support tool for Oslo, Norway</t>
  </si>
  <si>
    <t>Urban water services; Urban metabolism; Sustainability; Environmental impacts; Life cycle assessment; Dynamic modelling</t>
  </si>
  <si>
    <t>ENERGY-CONSUMPTION; ENVIRONMENT; MANAGEMENT; CHEMICALS; SYSTEMS</t>
  </si>
  <si>
    <t>10.1016/j.watres.2014.05.004</t>
  </si>
  <si>
    <t>Andrews, CJ</t>
  </si>
  <si>
    <t>Andrews, Clinton J.</t>
  </si>
  <si>
    <t>Energy Conversion Goes Local: Implications for Planners</t>
  </si>
  <si>
    <t>JOURNAL OF THE AMERICAN PLANNING ASSOCIATION</t>
  </si>
  <si>
    <t>energy networks; infrastructure planning; energy efficiency; siting conflicts</t>
  </si>
  <si>
    <t>POWER</t>
  </si>
  <si>
    <t>0194-4363</t>
  </si>
  <si>
    <t>1939-0130</t>
  </si>
  <si>
    <t>PII 792288701</t>
  </si>
  <si>
    <t>10.1080/01944360801993531</t>
  </si>
  <si>
    <t>Mörtberg, U; Haas, J; Zetterberg, A; Franklin, JP; Jonsson, D; Deal, B</t>
  </si>
  <si>
    <t>Mortberg, Ulla; Haas, Jan; Zetterberg, Andreas; Franklin, Joel P.; Jonsson, Daniel; Deal, Brian</t>
  </si>
  <si>
    <t>Urban ecosystems and sustainable urban development-analysing and assessing interacting systems in the Stockholm region</t>
  </si>
  <si>
    <t>Urban ecosystems; Urban development; Interacting urban systems; Biodiversity; Ecosystem services; Model integration</t>
  </si>
  <si>
    <t>LANDSCAPE CONNECTIVITY; ECOLOGICAL NETWORKS; LAND-USE; CONSERVATION; BIODIVERSITY; ENERGY; MODEL; WATER; URBANIZATION; GRAPHS</t>
  </si>
  <si>
    <t>10.1007/s11252-012-0270-3</t>
  </si>
  <si>
    <t>Green, L</t>
  </si>
  <si>
    <t>Green, Lesley</t>
  </si>
  <si>
    <t>Paradigm shifts for a planetary emergency: Towards an anthropocenography for urban coastal research at False Bay, Cape Town, South Africa</t>
  </si>
  <si>
    <t>SOUTH AFRICAN JOURNAL OF SCIENCE</t>
  </si>
  <si>
    <t>transdisciplinarity False Bay; contamination environmental; humanities environmental social; sciences urban ocean Anthropocene</t>
  </si>
  <si>
    <t>0038-2353</t>
  </si>
  <si>
    <t>1996-7489</t>
  </si>
  <si>
    <t>10.17159/sajs.2022/12552</t>
  </si>
  <si>
    <t>Dextre, RM; Eschenhagen, ML; Hernández, MC; Rangecroft, S; Clason, C; Couldrick, L; Morera, S</t>
  </si>
  <si>
    <t>Dextre, Rosa Maria; Eschenhagen, Maria Luisa; Hernandez, Mirtha Camacho; Rangecroft, Sally; Clason, Caroline; Couldrick, Laurence; Morera, Sergio</t>
  </si>
  <si>
    <t>Payment for ecosystem services in Peru: Assessing the socio-ecological dimension of water services in the upper Santa River basin</t>
  </si>
  <si>
    <t>ECOSYSTEM SERVICES</t>
  </si>
  <si>
    <t>Peru; Payment for ecosystem services; Water services degradation; Water -human interactions; Social perception; Decision -making processes</t>
  </si>
  <si>
    <t>GLACIER RECESSION; LATIN-AMERICA; ENVIRONMENTAL SERVICES; URBAN METABOLISM; GOVERNANCE; VALUATION; SOCIETAL; SYSTEMS; SCALE; PES</t>
  </si>
  <si>
    <t>2212-0416</t>
  </si>
  <si>
    <t>10.1016/j.ecoser.2022.101454</t>
  </si>
  <si>
    <t>Ecology; Environmental Sciences; Environmental Studies</t>
  </si>
  <si>
    <t>Voukkali, I; Papamichael, I; Loizia, P; Zorpas, AA</t>
  </si>
  <si>
    <t>Voukkali, Irene; Papamichael, Iliana; Loizia, Pantelitsa; Zorpas, Antonis A.</t>
  </si>
  <si>
    <t>Urbanization and solid waste production: prospects and challenges</t>
  </si>
  <si>
    <t>Urbanization; Urban metabolism; Municipal solid waste; Sustainable Development Goals; Waste compositional analysis</t>
  </si>
  <si>
    <t>CIRCULAR ECONOMY; COASTAL AREAS; MANAGEMENT; FRAMEWORK; METABOLISM</t>
  </si>
  <si>
    <t>2023 JUN 4</t>
  </si>
  <si>
    <t>10.1007/s11356-023-27670-2</t>
  </si>
  <si>
    <t>Emamjomehzadeh, O; Kerachian, R; Emami-Skardi, MJ; Momeni, M</t>
  </si>
  <si>
    <t>Emamjomehzadeh, Omid; Kerachian, Reza; Emami-Skardi, Mohammad Javad; Momeni, Marzieh</t>
  </si>
  <si>
    <t>Combining urban metabolism and reinforcement learning concepts for sustainable water resources management: A nexus approach</t>
  </si>
  <si>
    <t>Water-energy-food-GHG nexus; Physical -behavioral simulation; Social choice procedures; Wastewater reuse; WaterMet 2; Tehran city</t>
  </si>
  <si>
    <t>ENERGY-CONSUMPTION</t>
  </si>
  <si>
    <t>2023 MAR 1</t>
  </si>
  <si>
    <t>10.1016/j.jenvman.2022.117046</t>
  </si>
  <si>
    <t>Creutzig, F; Lohrey, S; Bai, XM; Baklanov, A; Dawson, R; Dhakal, S; Lamb, WF; McPhearson, T; Minx, J; Munoz, E; Walsh, B</t>
  </si>
  <si>
    <t>Creutzig, Felix; Lohrey, Steffen; Bai, Xuemei; Baklanov, Alexander; Dawson, Richard; Dhakal, Shobhakar; Lamb, William F.; McPhearson, Timon; Minx, Jan; Munoz, Esteban; Walsh, Brenna</t>
  </si>
  <si>
    <t>Upscaling urban data science for global climate solutions</t>
  </si>
  <si>
    <t>GLOBAL SUSTAINABILITY</t>
  </si>
  <si>
    <t>adaptation and mitigation; policies; politics and governance; urban systems</t>
  </si>
  <si>
    <t>FREE-RUNNING TEMPERATURE; CO2 EMISSIONS; SOCIAL-MEDIA; HEAT-ISLAND; ENERGY USE; BIG DATA; PARTICULATE MATTER; HUMAN-SETTLEMENTS; VEGETATION INDEX; CHINESE CITIES</t>
  </si>
  <si>
    <t>2059-4798</t>
  </si>
  <si>
    <t>e2</t>
  </si>
  <si>
    <t>10.1017/sus.2018.16</t>
  </si>
  <si>
    <t>Beck, MB; Thompson, M; Gyawali, D; Langan, S; Linnerooth-Bayer, J</t>
  </si>
  <si>
    <t>Beck, Michael Bruce; Thompson, Michael; Gyawali, Dipak; Langan, Simon; Linnerooth-Bayer, JoAnne</t>
  </si>
  <si>
    <t>Viewpoint - Pouring Money Down the Drain: Can We Break the Habit by Reconceiving Wastes as Resources?</t>
  </si>
  <si>
    <t>WATER ALTERNATIVES-AN INTERDISCIPLINARY JOURNAL ON WATER POLITICS AND DEVELOPMENT</t>
  </si>
  <si>
    <t>Circular economy; clumsiness; Cultural Theory; lock-in; nutrient recovery; plural rationality; plural schools of engineering thought; Rhine restoration; technological invention and innovation; urban metabolism</t>
  </si>
  <si>
    <t>ECOSYSTEM SERVICES; URBAN WATER; FLOW; PERSPECTIVE; TRANSITION; DYNAMICS; SYSTEMS; CITIES; PARIS; FOOD</t>
  </si>
  <si>
    <t>1965-0175</t>
  </si>
  <si>
    <t>Environmental Studies; Water Resources</t>
  </si>
  <si>
    <t>Material flow accounting in an Irish city-region 1992-2002</t>
  </si>
  <si>
    <t>Material flow accounting; Dematerialisation; Decoupling</t>
  </si>
  <si>
    <t>ECOLOGICAL FOOTPRINTS; URBAN METABOLISM; HONG-KONG; SUSTAINABILITY; CITIES; FRAMEWORK; ECONOMY; CONSUMPTION</t>
  </si>
  <si>
    <t>JUN-JUL</t>
  </si>
  <si>
    <t>9-10</t>
  </si>
  <si>
    <t>10.1016/j.jclepro.2011.01.007</t>
  </si>
  <si>
    <t>Zhang, XL; Zhang, Y; Fath, BD</t>
  </si>
  <si>
    <t>Zhang, Xiaolin; Zhang, Yan; Fath, Brian D.</t>
  </si>
  <si>
    <t>Analysis of anthropogenic nitrogen and its influencing factors in Beijing</t>
  </si>
  <si>
    <t>Anthropogenic nitrogen; Urban metabolism; Consumption; Influencing factors; LMDI method; Beijing</t>
  </si>
  <si>
    <t>REACTIVE NITROGEN; CHINA; CYCLE; SYSTEM; URBANIZATION; CONSUMPTION; DYNAMICS; BALANCE; FLOWS; NANI</t>
  </si>
  <si>
    <t>10.1016/j.jclepro.2019.118780</t>
  </si>
  <si>
    <t>Bergesen, JD; Suh, S; Baynes, TM; Musango, JK</t>
  </si>
  <si>
    <t>Bergesen, Joseph D.; Suh, Sangwon; Baynes, Timothy M.; Musango, Josephine Kaviti</t>
  </si>
  <si>
    <t>Environmental and natural resource implications of sustainable urban infrastructure systems</t>
  </si>
  <si>
    <t>life cycle assessment; urban metabolism; bus rapid transit; decarbonization; district energy; green buildings</t>
  </si>
  <si>
    <t>LIFE-CYCLE ASSESSMENT; EMISSIONS; IMPACTS; ENERGY; GAS</t>
  </si>
  <si>
    <t>10.1088/1748-9326/aa98ca</t>
  </si>
  <si>
    <t>Yin, L; Sharifi, A; Liqiao, H; Jinyu, C</t>
  </si>
  <si>
    <t>Yin, Long; Sharifi, Ayyoob; Liqiao, Huang; Jinyu, Chen</t>
  </si>
  <si>
    <t>Urban carbon accounting: An overview</t>
  </si>
  <si>
    <t>Urban CO2 emissions; Accounting; Carbon footprint; Inventories; Climate change mitigation</t>
  </si>
  <si>
    <t>EDDY COVARIANCE MEASUREMENTS; INPUT-OUTPUT-ANALYSIS; FUEL CO2 EMISSIONS; ENERGY-CONSUMPTION; DIOXIDE EMISSIONS; ATMOSPHERIC CO2; DECOMPOSITION ANALYSIS; DIURNAL-VARIATIONS; BOUNDARY-LAYER; CHINESE CITIES</t>
  </si>
  <si>
    <t>10.1016/j.uclim.2022.101195</t>
  </si>
  <si>
    <t>Elliot, T; Almenar, JB; Rugani, B</t>
  </si>
  <si>
    <t>Elliot, Thomas; Almenar, Javier Babi; Rugani, Benedetto</t>
  </si>
  <si>
    <t>Impacts of policy on urban energy metabolism at tackling climate change: The case of Lisbon</t>
  </si>
  <si>
    <t>Logarithmic mean divisia index (LMDI); Sustainability; Urban metabolism; Energy policy; Life cycle assessment (LCA); Ecosystem services; Global climate regulation (GCR); Carbon sequestration</t>
  </si>
  <si>
    <t>TECHNO-ECOLOGICAL SYNERGY; CARBON SEQUESTRATION; ECOSYSTEM SERVICES; ECONOMIC-GROWTH; EMISSIONS; HEAT; CITY; SUSTAINABILITY; DECOMPOSITION; CONSUMPTION</t>
  </si>
  <si>
    <t>DEC 10</t>
  </si>
  <si>
    <t>10.1016/j.jclepro.2020.123510</t>
  </si>
  <si>
    <t>Zheng, XG; Huang, GH; Li, JY; Liu, LR; Zhang, XY; Pan, XJ</t>
  </si>
  <si>
    <t>Zheng, Xiaogui; Huang, Guohe; Li, Jianyong; Liu, Lirong; Zhang, Xiaoyue; Pan, Xiaojie</t>
  </si>
  <si>
    <t>Development of a factorial water policy simulation approach from production and consumption perspectives</t>
  </si>
  <si>
    <t>Factorial analysis; Water management; Policy simulation; Industrial technology upgrade; Consumption-orientation; Municipality</t>
  </si>
  <si>
    <t>STRUCTURAL PATH-ANALYSIS; ECOLOGICAL NETWORK ANALYSIS; INPUT-OUTPUT; ENVIRONMENTAL PRESSURE; COMPREHENSIVE ANALYSIS; URBAN METABOLISM; CO2 EMISSIONS; GHG-EMISSIONS; SUPPLY CHAIN; CITY LEVEL</t>
  </si>
  <si>
    <t>2021 APR 1</t>
  </si>
  <si>
    <t>10.1016/j.watres.2021.116892</t>
  </si>
  <si>
    <t>Zhang, Y; Lu, HJ; Fath, BD; Zheng, HM</t>
  </si>
  <si>
    <t>Zhang, Yan; Lu, Hanjing; Fath, Brian D.; Zheng, Hongmei</t>
  </si>
  <si>
    <t>Modelling urban nitrogen metabolic processes based on ecological network analysis: A case of study in Beijing, China</t>
  </si>
  <si>
    <t>Urban ecology; Nitrogen cycles; Metabolism; Ecological network analysis; Ecological relationship; Beijing</t>
  </si>
  <si>
    <t>TIME-SERIES ANALYSIS; NEUSE RIVER ESTUARY; REACTIVE NITROGEN; ENVIRON ANALYSIS; FOOD-CHAIN; 7-COMPARTMENT MODEL; DISTRIBUTED CONTROL; REGIONAL SCALES; NUTRIENT FLOWS; ECOSYSTEMS</t>
  </si>
  <si>
    <t>OCT 10</t>
  </si>
  <si>
    <t>10.1016/j.ecolmodel.2016.06.001</t>
  </si>
  <si>
    <t>Zang, HK; Xu, Y; Zhai, MY; Li, W; Su, S</t>
  </si>
  <si>
    <t>Zang, Hongkuan; Xu, Ye; Zhai, Mengyu; Li, Wei; Su, Shuai</t>
  </si>
  <si>
    <t>Development of carbon emission interactive network model: A case study of Northeast Industrial District</t>
  </si>
  <si>
    <t>Factorial analysis; Revised utility indicator; Network interactive simulation; Input-output analysis; Structural path betweenness method</t>
  </si>
  <si>
    <t>INPUT-OUTPUT TABLES; URBAN METABOLISM; GUANGDONG PROVINCE; SYSTEM</t>
  </si>
  <si>
    <t>2021 DEC 15</t>
  </si>
  <si>
    <t>10.1016/j.jenvman.2021.113618</t>
  </si>
  <si>
    <t>Elshaboury, N; Almetwaly, WM</t>
  </si>
  <si>
    <t>Elshaboury, Nehal; Almetwaly, Wael M.</t>
  </si>
  <si>
    <t>Modeling construction and demolition waste quantities in Tanta City, Egypt: a synergistic approach of remote sensing, geographic information system, and hybrid fuzzy neural networks</t>
  </si>
  <si>
    <t>Waste quantification; Socioeconomic analysis; Machine learning; Adaptive quantum particle swarm optimization algorithm; Hierarchical pruning; Prediction performance</t>
  </si>
  <si>
    <t>GENERATION; CHINA</t>
  </si>
  <si>
    <t>10.1007/s11356-023-29735-8</t>
  </si>
  <si>
    <t>Guo, Z; Chen, SS; Kattel, GR; Mkumbo, AC; Xiong, CH; Gao, Q; Shen, QS</t>
  </si>
  <si>
    <t>Guo, Zheng; Chen, Sophia Shuang; Kattel, Giri Raj; Mkumbo, Anna Charles; Xiong, Chuanhe; Gao, Qun; Shen, Qiushi</t>
  </si>
  <si>
    <t>Scenario analysis of phosphorus flow in food production and consumption system in the Mwanza region, Tanzania</t>
  </si>
  <si>
    <t>Phosphorus flow model; Sustainable management; Food production and consumption; Mwanza region; Tanzania</t>
  </si>
  <si>
    <t>URBAN METABOLISM; NITROGEN; MANAGEMENT; CITY; WATER; CHINA; PATHWAYS; IMPACTS; COUNTY; CYCLE</t>
  </si>
  <si>
    <t>10.1016/j.scitotenv.2023.162991</t>
  </si>
  <si>
    <t>Lee, JCK; Wen, ZG</t>
  </si>
  <si>
    <t>Lee, Jason C. K.; Wen, Zongguo</t>
  </si>
  <si>
    <t>Rare Earths from Mines to Metals Comparing Environmental Impacts from China's Main Production Pathways</t>
  </si>
  <si>
    <t>cleaner production; environmental impact; life cycle assessment (LCA); metallurgy; mining; systems analysis</t>
  </si>
  <si>
    <t>URBAN METABOLISM; AFRICA; ENERGY; URBANIZATION; ECONOMICS; ECOLOGY; CITY</t>
  </si>
  <si>
    <t>10.1111/jiec.12491</t>
  </si>
  <si>
    <t>Rufí-Salís, M; Parada, F; Arcas-Pilz, V; Petit-Boix, A; Villalba, G; Gabarrell, X</t>
  </si>
  <si>
    <t>Rufi-Salis, Marti; Parada, Felipe; Arcas-Pilz, Veronica; Petit-Boix, Anna; Villalba, Gara; Gabarrell, Xavier</t>
  </si>
  <si>
    <t>Closed-Loop Crop Cascade to Optimize Nutrient Flows and Grow Low-Impact Vegetables in Cities</t>
  </si>
  <si>
    <t>FRONTIERS IN PLANT SCIENCE</t>
  </si>
  <si>
    <t>cascade systems; nutrient recycling; urban agriculture; industrial ecology; urban metabolism</t>
  </si>
  <si>
    <t>TOMATO; GREENHOUSE; LETTUCE; IRRIGATION; SALINITY; CULTURE; QUALITY; SYSTEM</t>
  </si>
  <si>
    <t>1664-462X</t>
  </si>
  <si>
    <t>NOV 12</t>
  </si>
  <si>
    <t>10.3389/fpls.2020.596550</t>
  </si>
  <si>
    <t>Plant Sciences</t>
  </si>
  <si>
    <t>Manzanera-Benito, G; Capellan-Perez, I</t>
  </si>
  <si>
    <t>Manzanera-Benito, Gaspar; Capellan-Perez, Inigo</t>
  </si>
  <si>
    <t>Mapping the Energy Flows and GHG Emissions of a Medium-Size City: The Case of Valladolid (Spain)</t>
  </si>
  <si>
    <t>energy transition; decarbonization; urban sustainability; GHG emissions; energy balances</t>
  </si>
  <si>
    <t>LIFE-CYCLE ASSESSMENT; URBAN METABOLISM; ENVIRONMENTAL EVALUATION; TRANSPORT; REQUIREMENTS; CONSUMPTION; MUSIASEM; CITIES</t>
  </si>
  <si>
    <t>10.3390/su132313181</t>
  </si>
  <si>
    <t>Ghosh, R; Kansal, A; Venkatesh, G</t>
  </si>
  <si>
    <t>Ghosh, Ruchira; Kansal, Arun; Venkatesh, G.</t>
  </si>
  <si>
    <t>Urban Water Security Assessment Using an Integrated Metabolism Approach-Case Study of the National Capital Territory of Delhi in India</t>
  </si>
  <si>
    <t>RESOURCES-BASEL</t>
  </si>
  <si>
    <t>hydrological performance; metabolic flow; urban water systems; water resources; water security</t>
  </si>
  <si>
    <t>REUSE; TOOL</t>
  </si>
  <si>
    <t>2079-9276</t>
  </si>
  <si>
    <t>10.3390/resources8020062</t>
  </si>
  <si>
    <t>Wang, XJ; Xu, DX; Zhang, Y; Li, YX</t>
  </si>
  <si>
    <t>Wang, Xinjing; Xu, Dongxiao; Zhang, Yan; Li, Yanxian</t>
  </si>
  <si>
    <t>Flows and connections of metabolic nodes in Beijing-Tianjin-Hebei Region and its cities: A study at two scales</t>
  </si>
  <si>
    <t>Urban material metabolism; Ecological network analysis; Connection degree; Two scales; Beijing; Tianjin-Hebei region; Urban agglomeration</t>
  </si>
  <si>
    <t>ECOLOGICAL NETWORK ANALYSIS; URBAN MATERIAL METABOLISM; NITROGEN-METABOLISM; ENERGY-METABOLISM; SYSTEM; MODEL; PERSPECTIVE; CITY</t>
  </si>
  <si>
    <t>10.1016/j.jenvman.2022.115371</t>
  </si>
  <si>
    <t>Kalbar, PP; Birkved, M; Kabins, S; Nygaard, SE</t>
  </si>
  <si>
    <t>Kalbar, Pradip P.; Birkved, Morten; Kabins, Simon; Nygaard, Simon Elsborg</t>
  </si>
  <si>
    <t>Personal Metabolism (PM) coupled with Life Cycle Assessment (LCA) model: Danish Case Study</t>
  </si>
  <si>
    <t>Personal Metabolism; Sustainable consumption; Resource consumption; Life cycle assessment; Sustainability assessment, Sustainable development</t>
  </si>
  <si>
    <t>CARBON FOOTPRINT; URBAN METABOLISM; CONSUMPTION; INDICATOR; EMISSIONS; FRAMEWORK; ATTITUDES; HEALTHY; SYSTEMS; ENERGY</t>
  </si>
  <si>
    <t>10.1016/j.envint.2016.02.032</t>
  </si>
  <si>
    <t>Demaria, F; Schindler, S</t>
  </si>
  <si>
    <t>Demaria, Federico; Schindler, Seth</t>
  </si>
  <si>
    <t>Contesting Urban Metabolism: Struggles Over Waste-to-Energy in Delhi, India</t>
  </si>
  <si>
    <t>environmental justice; political economy; Southern metropolises; urban political ecology; waste; commodity frontier</t>
  </si>
  <si>
    <t>POLITICAL ECOLOGY; STATE; CITY; MANAGEMENT; ECONOMY; JUSTICE; POWER; POOR</t>
  </si>
  <si>
    <t>10.1111/anti.12191</t>
  </si>
  <si>
    <t>Deus, RM; Mele, FD; Bezerra, BS; Battistelle, RAG</t>
  </si>
  <si>
    <t>Deus, Rafael Mattos; Daniel Mele, Fernando; Bezerra, Barbara Stolte; Gomes Battistelle, Rosane Aparecida</t>
  </si>
  <si>
    <t>A municipal solid waste indicator for environmental impact: Assessment and identification of best management practices</t>
  </si>
  <si>
    <t>Indicators; Strategic waste management; Environmental analysis; Carbon dioxide equivalent</t>
  </si>
  <si>
    <t>LIFE-CYCLE ASSESSMENT; URBAN METABOLISM; SYSTEMS; SUSTAINABILITY; PERFORMANCE; INDEX; REDUCTIONS; CONTEXT; CITIES; BRAZIL</t>
  </si>
  <si>
    <t>10.1016/j.jclepro.2019.118433</t>
  </si>
  <si>
    <t>Kennedy, CA</t>
  </si>
  <si>
    <t>A comparison of the sustainability of public and private transportation systems: Study of the Greater Toronto Area</t>
  </si>
  <si>
    <t>TRANSPORTATION</t>
  </si>
  <si>
    <t>automobiles; Greater Toronto Area; public transportation; sustainable cities; sustainable transportation</t>
  </si>
  <si>
    <t>0049-4488</t>
  </si>
  <si>
    <t>10.1023/A:1016302913909</t>
  </si>
  <si>
    <t>Engineering, Civil; Transportation; Transportation Science &amp; Technology</t>
  </si>
  <si>
    <t>Anttiroiko, AV</t>
  </si>
  <si>
    <t>Anttiroiko, Ari-Veikko</t>
  </si>
  <si>
    <t>Smart Circular Cities: Governing the Relationality, Spatiality, and Digitality in the Promotion of Circular Economy in an Urban Region</t>
  </si>
  <si>
    <t>circular economy; circularity; circular city; smart circular city; urban metabolism; dissipative structure; urban governance; public governance; relationality; spatiality; eco-industrial park; digitality; smart city; tampere; Nokia; Finland</t>
  </si>
  <si>
    <t>SUSTAINABLE DEVELOPMENT; CLIMATE-CHANGE; CITY LEVEL; GOVERNANCE; METABOLISM; PERSPECTIVE; MITIGATION; NETWORKS; BARRIERS; POLICIES</t>
  </si>
  <si>
    <t>10.3390/su151712680</t>
  </si>
  <si>
    <t>Ghazal, I; Mansour, R; Davidová, M</t>
  </si>
  <si>
    <t>Ghazal, Iyad; Mansour, Reema; Davidova, Marie</t>
  </si>
  <si>
    <t>AGRI|gen: Analysis and Design of a Parametric Modular System for Vertical Urban Agriculture</t>
  </si>
  <si>
    <t>urban agriculture; urban metabolism; regenerative community; green walls; productive facades; digital architecture and design; vertical farming; rhino grasshopper; parametric design; research by design</t>
  </si>
  <si>
    <t>GREENING SYSTEMS</t>
  </si>
  <si>
    <t>10.3390/su15065284</t>
  </si>
  <si>
    <t>Xu, D; Cheng, J; Xu, S; Geng, J; Yang, F; Fang, H; Xu, JF; Wang, S; Wang, YB; Huang, JC; Zhang, R; Liu, MQ; Li, HX</t>
  </si>
  <si>
    <t>Xu, Dong; Cheng, Jie; Xu, Shen; Geng, Jing; Yang, Feng; Fang, He; Xu, Jinfeng; Wang, Sheng; Wang, Yubai; Huang, Jincai; Zhang, Rui; Liu, Manqing; Li, Haixing</t>
  </si>
  <si>
    <t>Understanding the Relationship between China's Eco-Environmental Quality and Urbanization Using Multisource Remote Sensing Data</t>
  </si>
  <si>
    <t>M-RSEQI; DMSP; entropy method; coupling coordination degree model; remote sensing data; urbanization</t>
  </si>
  <si>
    <t>ECOLOGICAL FOOTPRINT; URBAN METABOLISM; COUPLING MODEL; RIVER DELTA; COORDINATION; EMISSIONS; DYNAMICS; GROWTH</t>
  </si>
  <si>
    <t>10.3390/rs14010198</t>
  </si>
  <si>
    <t>Theory of urban energetics and mechanisms of urban development</t>
  </si>
  <si>
    <t>ecological economics; emergy; simulation; urban energetics</t>
  </si>
  <si>
    <t>ECOSYSTEMS; HIERARCHY; CITIES; SYSTEM; ENERGY; MODEL; FORM</t>
  </si>
  <si>
    <t>NOV 25</t>
  </si>
  <si>
    <t>10.1016/j.ecolmodel.2005.03.004</t>
  </si>
  <si>
    <t>Gu, BJ; Chang, J; Ge, Y; Ge, HL; Yuan, C; Peng, CH; Jiang, H</t>
  </si>
  <si>
    <t>Gu, Baojing; Chang, Jie; Ge, Ying; Ge, Hanliang; Yuan, Chi; Peng, Changhui; Jiang, Hong</t>
  </si>
  <si>
    <t>Anthropogenic modification of the nitrogen cycling within the Greater Hangzhou Area system, China</t>
  </si>
  <si>
    <t>ECOLOGICAL APPLICATIONS</t>
  </si>
  <si>
    <t>air pollution; biogeochemistry; denitrification; fertilizer; fossil fuel combustion; Greater Hangzhou Area, China; urbanization; urban-rural complex system; wastewater</t>
  </si>
  <si>
    <t>URBAN METABOLISM; ECOSYSTEM; BALANCE; DENITRIFICATION; URBANIZATION; CONSEQUENCES; ENVIRONMENT; RETENTION; IMPACTS; FLUXES</t>
  </si>
  <si>
    <t>1051-0761</t>
  </si>
  <si>
    <t>1939-5582</t>
  </si>
  <si>
    <t>10.1890/08-0027.1</t>
  </si>
  <si>
    <t>Zhang, Q; Liu, SM; Wang, T; Dai, XH; Baninla, Y; Nakatani, J; Moriguchi, Y</t>
  </si>
  <si>
    <t>Zhang, Qian; Liu, Shuming; Wang, Tao; Dai, Xiaohu; Baninla, Yvette; Nakatani, Jun; Moriguchi, Yuichi</t>
  </si>
  <si>
    <t>Urbanization impacts on greenhouse gas (GHG) emissions of the water infrastructure in China: Trade-offs among sustainable development goals (SDGs)</t>
  </si>
  <si>
    <t>SDG 6; GHG emissions; Urban water systems; Sustainable urban water management; Urban policy; Material flow analysis (MFA)</t>
  </si>
  <si>
    <t>LIFE-CYCLE ASSESSMENT; WASTE-WATER; URBAN WATER; MATERIAL STOCK; CO2 EMISSIONS; ENERGY USE; TREATMENT PLANTS; MANAGEMENT; SYSTEMS; TIME</t>
  </si>
  <si>
    <t>10.1016/j.jclepro.2019.05.333</t>
  </si>
  <si>
    <t>Gopal, S; Tang, XJ; Phillips, N; Nomack, M; Pasquarella, V; Pitts, J</t>
  </si>
  <si>
    <t>Gopal, Sucharita; Tang, Xiaojing; Phillips, Nathan; Nomack, Mallory; Pasquarella, Valerie; Pitts, Joshua</t>
  </si>
  <si>
    <t>Characterizing urban landscapes using fuzzy sets</t>
  </si>
  <si>
    <t>Urban; Fuzzy sets; GIS; Remote sensing; Land cover; Validation; Mapping; Land use; Mapping; Database; Transportation; NDVI</t>
  </si>
  <si>
    <t>LAND-COVER; EXPERT-SYSTEM; NORTH-AMERICA; CLASSIFICATION; FRAMEWORK; RISE; URBANIZATION; WASHINGTON; BALTIMORE; SATELLITE</t>
  </si>
  <si>
    <t>10.1016/j.compenvurbsys.2016.02.002</t>
  </si>
  <si>
    <t>Chen, C; Zhai, MY; Wang, X; Li, W; Xu, Y; Zhu, Y</t>
  </si>
  <si>
    <t>Chen, Chen; Zhai, Mengyu; Wang, Xu; Li, Wei; Xu, Ye; Zhu, Yue</t>
  </si>
  <si>
    <t>Development of an industrial solid waste ecological analysis model in Shanghai, China</t>
  </si>
  <si>
    <t>Input-output; Solid waste threat coefficient; Solid waste value-added coefficient; Network utility analysis; Network control analysis; Economic development</t>
  </si>
  <si>
    <t>INPUT-OUTPUT TABLES; NETWORK ANALYSIS; CARBON EMISSIONS; METABOLISM SYSTEM; URBAN METABOLISM; MANAGEMENT; INCINERATION; TIANJIN; PARK</t>
  </si>
  <si>
    <t>2024 JAN</t>
  </si>
  <si>
    <t>10.1007/s11356-023-31724-w</t>
  </si>
  <si>
    <t>Lehmann, S</t>
  </si>
  <si>
    <t>Lehmann, Steffen</t>
  </si>
  <si>
    <t>RESOURCE RECOVERY AND MATERIALS FLOW IN THE CITY Zero Waste and Sustainable Consumption as Paradigm in Urban Development</t>
  </si>
  <si>
    <t>resource recovery; materials flow; closed-loop urban metabolism; zero waste concepts; recycling and reuse; reducing consumption; waste avoidance; changing behavior</t>
  </si>
  <si>
    <t>Tirado, R; Aublet, A; Laurenceau, S; Thorel, M; Louerat, M; Habert, G</t>
  </si>
  <si>
    <t>Tirado, Rafaela; Aublet, Adelaide; Laurenceau, Sylvain; Thorel, Mathieu; Louerat, Mathilde; Habert, Guillaume</t>
  </si>
  <si>
    <t>Component-Based Model for Building Material Stock and Waste-Flow Characterization: A Case in the ile-de-France Region</t>
  </si>
  <si>
    <t>building-stock modeling; material-flow analysis (MFA); bottom-up; component-based; circular economy; urban metabolism</t>
  </si>
  <si>
    <t>LIFE-CYCLE ASSESSMENT; DEMOLITION WASTE; CONSTRUCTION WASTE; CIRCULAR ECONOMY; RESIDENTIAL BUILDINGS; URBAN; CHALLENGES; MANAGEMENT; GERMANY; SYSTEM</t>
  </si>
  <si>
    <t>10.3390/su132313159</t>
  </si>
  <si>
    <t>Zhao, RQ; Liu, Y; Tian, MM; Ding, ML; Cao, LH; Zhang, ZP; Chuai, XW; Xiao, LG; Yao, LG</t>
  </si>
  <si>
    <t>Zhao, Rongqin; Liu, Ying; Tian, Mengmeng; Ding, Minglei; Cao, Lianhai; Zhang, Zhanping; Chuai, Xiaowei; Xiao, Liangang; Yao, Lunguang</t>
  </si>
  <si>
    <t>Impacts of water and land resources exploitation on agricultural carbon emissions: The water-land-energy-carbon nexus</t>
  </si>
  <si>
    <t>Agricultural carbon emission; Water resources; Land resources; Exploitation; China</t>
  </si>
  <si>
    <t>GREENHOUSE-GAS EMISSIONS; CROP PRODUCTION; DECOMPOSITION ANALYSIS; CLIMATE-CHANGE; ECOSYSTEM SERVICES; LMDI DECOMPOSITION; URBAN METABOLISM; USE EFFICIENCY; CO2 EMISSIONS; CHINA</t>
  </si>
  <si>
    <t>10.1016/j.landusepol.2017.12.029</t>
  </si>
  <si>
    <t>Liang, LF; Xu, YB; Liu, B; Liu, CL; Luther, M; Xu, YQ</t>
  </si>
  <si>
    <t>Liang, Lingfeng; Xu, Yabing; Liu, Bin; Liu, Chunlu; Luther, Mark; Xu, Youquan</t>
  </si>
  <si>
    <t>Embodied energy-based ecological network analysis on growth and development of the national industrial system: An empirical study in Australia</t>
  </si>
  <si>
    <t>Australia; Embodied energy; Growth and development; Industrial system; Information-based ecological network analysis</t>
  </si>
  <si>
    <t>INPUT-OUTPUT-ANALYSIS; FINANCIAL DEVELOPMENT; INTERNATIONAL-TRADE; URBAN METABOLISM; ECONOMIC-SYSTEMS; ENVIRON-ANALYSIS; CONSUMPTION; SUSTAINABILITY; ECOSYSTEM; PAKISTAN</t>
  </si>
  <si>
    <t>2021 NOV 15</t>
  </si>
  <si>
    <t>10.1016/j.jclepro.2021.129253</t>
  </si>
  <si>
    <t>Mangone, G</t>
  </si>
  <si>
    <t>Mangone, Giancarlo</t>
  </si>
  <si>
    <t>Constructing hybrid infrastructure: Exploring the potential ecological, social, and economic benefits of integrating municipal infrastructure into constructed environments</t>
  </si>
  <si>
    <t>Hybrid infrastructure; Decentralized infrastructure; Ecological performance; Building performance; Sustainability; Ecological design</t>
  </si>
  <si>
    <t>WASTE-WATER TREATMENT; SUSTAINABLE URBAN METABOLISM; ECOSYSTEM SERVICES; GREEN INFRASTRUCTURE; MANAGEMENT-PRACTICES; ENERGY EFFICIENCY; BIODIVERSITY; CONSERVATION; SYSTEMS; PERFORMANCE</t>
  </si>
  <si>
    <t>10.1016/j.cities.2016.04.004</t>
  </si>
  <si>
    <t>Rushforth, RR; Ruddell, BL</t>
  </si>
  <si>
    <t>Rushforth, Richard R.; Ruddell, Benjamin L.</t>
  </si>
  <si>
    <t>The Hydro-Economic Interdependency of Cities: Virtual Water Connections of the Phoenix, Arizona Metropolitan Area</t>
  </si>
  <si>
    <t>urban water footprint; virtual water; water infrastructure; commodity flows; metropolitan area; cooperative water resources management; science of cities; economic networks; urban metabolism; socio-hydrology; hydro-economics; coupled natural-human systems</t>
  </si>
  <si>
    <t>MODEL; INFRASTRUCTURE; CONSUMPTION; MANAGEMENT; FOOTPRINTS; ENERGY</t>
  </si>
  <si>
    <t>10.3390/su7078522</t>
  </si>
  <si>
    <t>Barles, S.</t>
  </si>
  <si>
    <t>Urban metabolism and river systems: an historical perspective - Paris and the Seine, 1790-1970</t>
  </si>
  <si>
    <t>HYDROLOGY AND EARTH SYSTEM SCIENCES</t>
  </si>
  <si>
    <t>CITY; NITROGEN</t>
  </si>
  <si>
    <t>1027-5606</t>
  </si>
  <si>
    <t>1607-7938</t>
  </si>
  <si>
    <t>10.5194/hess-11-1757-2007</t>
  </si>
  <si>
    <t>Geosciences, Multidisciplinary; Water Resources</t>
  </si>
  <si>
    <t>Al-Thani, NA; Al-Ansari, T</t>
  </si>
  <si>
    <t>Al-Thani, Nayla Ahmad; Al-Ansari, Tareq</t>
  </si>
  <si>
    <t>Comparing the convergence and divergence within industrial ecology, circular economy, and the energy-water-food nexus based on resource management objectives</t>
  </si>
  <si>
    <t>Sustainability indicators; Eco-industrial parks; Resource use efficiency; Urban metabolism; Industrial symbiosis</t>
  </si>
  <si>
    <t>LIFE-CYCLE ASSESSMENT; SUSTAINABILITY EVALUATION; COLLABORATION PLATFORM; PERFORMANCE INDICATORS; SYMBIOSIS APPLICATION; PRODUCTION SYSTEMS; ECO-EFFICIENCY; SOLID-WASTE; URBAN; CHINA</t>
  </si>
  <si>
    <t>10.1016/j.spc.2021.04.008</t>
  </si>
  <si>
    <t>Zhang, CB; Hu, MM; Dong, L; Xiang, PC; Zhang, Q; Wu, JB; Li, B; Shi, SY</t>
  </si>
  <si>
    <t>Zhang, Chunbo; Hu, Mingming; Dong, Liang; Xiang, Pengcheng; Zhang, Qian; Wu, Jiangbo; Li, Bo; Shi, Shiying</t>
  </si>
  <si>
    <t>Co-benefits of urban concrete recycling on the mitigation of greenhouse gas emissions and land use change: A case in Chongqing metropolis, China</t>
  </si>
  <si>
    <t>Urban concrete recycling; Construction and demolition waste; Greenhouse gas; Land use change; Material flow analysis; Life cycle assessment</t>
  </si>
  <si>
    <t>MATERIAL FLOW-ANALYSIS; WASTE MANAGEMENT; DEMOLITION WASTE; CONSTRUCTION; SYMBIOSIS</t>
  </si>
  <si>
    <t>10.1016/j.jclepro.2018.07.238</t>
  </si>
  <si>
    <t>Wang, NF; Chen, XP; Zhang, Y; Pang, JX; Long, Z; Chen, YB; Zhang, ZL</t>
  </si>
  <si>
    <t>Wang, Ningfei; Chen, Xingpeng; Zhang, Yan; Pang, Jiaxing; Long, Zhi; Chen, Yanbi; Zhang, Zilong</t>
  </si>
  <si>
    <t>Integrated effects of land use and land cover change on carbon metabolism: Based on ecological network analysis</t>
  </si>
  <si>
    <t>Carbon metabolism; Land use and land cover; Ecological network analysis; Ecological relationships</t>
  </si>
  <si>
    <t>RESTORATION PROJECTS; SPATIAL-PATTERNS; URBAN METABOLISM; IMPACTS; EMISSIONS</t>
  </si>
  <si>
    <t>10.1016/j.eiar.2023.107320</t>
  </si>
  <si>
    <t>Plank, C; Görg, C; Kalt, G; Kaufmann, L; Dullinger, S; Krausmann, F</t>
  </si>
  <si>
    <t>Plank, Christina; Goerg, Christoph; Kalt, Gerald; Kaufmann, Lisa; Dullinger, Stefan; Krausmann, Fridolin</t>
  </si>
  <si>
    <t>Biomass from somewhere? Governing the spatial mismatch of Viennese biomass consumption and its impact on biodiversity</t>
  </si>
  <si>
    <t>Food regime theory; Multi-scale governance; Urban metabolism; Spatial mismatch; Teleconnections; Biodiversity</t>
  </si>
  <si>
    <t>LAND-USE; FOOD; GOVERNANCE; CERTIFICATION; AGRICULTURE; PLANTATIONS; INCREASES; FOOTPRINT; AGROFUELS; EXPANSION</t>
  </si>
  <si>
    <t>10.1016/j.landusepol.2023.106693</t>
  </si>
  <si>
    <t>Residential building material stocks and component-level circularity: The case of Singapore</t>
  </si>
  <si>
    <t>Material flow analysis; Circular economy; Urban metabolism; Built environment</t>
  </si>
  <si>
    <t>MATERIAL FLOW-ANALYSIS; DEMOLITION WASTE; CONSTRUCTION; URBAN; QUANTIFICATION; DYNAMICS; CHINA; TIME</t>
  </si>
  <si>
    <t>APR 10</t>
  </si>
  <si>
    <t>10.1016/j.jclepro.2019.01.199</t>
  </si>
  <si>
    <t>Steeneveld, GJ; Klompmaker, JO; Groen, RJA; Holtslag, AAM</t>
  </si>
  <si>
    <t>Steeneveld, Gert-Jan; Klompmaker, Jochern O.; Groen, Ronald J. A.; Holtslag, Albert A. M.</t>
  </si>
  <si>
    <t>An urban climate assessment and management tool for combined heat and air quality judgements at neighbourhood scales</t>
  </si>
  <si>
    <t>Urban heat island; Air quality; Mortality; Weather research and forecasting model; Urban climate index; Health</t>
  </si>
  <si>
    <t>THERMAL COMFORT; BOUNDARY-LAYER; HUMAN HEALTH; MORTALITY; WEATHER; IMPACT; MODEL; TEMPERATURE; COLD; POLLUTION</t>
  </si>
  <si>
    <t>10.1016/j.resconrec.2016.12.002</t>
  </si>
  <si>
    <t>Arboleda, Martin</t>
  </si>
  <si>
    <t>In the Nature of the Non-City: Expanded Infrastructural Networks and the Political Ecology of Planetary Urbanisation</t>
  </si>
  <si>
    <t>planetary urbanization; urban political ecology; world ecology; urban metabolism; neo-extractivism</t>
  </si>
  <si>
    <t>10.1111/anti.12175</t>
  </si>
  <si>
    <t>Güneralp, B; Seto, KC</t>
  </si>
  <si>
    <t>Gueneralp, Burak; Seto, Karen C.</t>
  </si>
  <si>
    <t>Can gains in efficiency offset the resource demands and CO2 emissions from constructing and operating the built environment?</t>
  </si>
  <si>
    <t>APPLIED GEOGRAPHY</t>
  </si>
  <si>
    <t>Energy efficiency; Urban density; Urbanization; Urban metabolism; Sustainability; Climate change; Greenhouse gas</t>
  </si>
  <si>
    <t>PEARL RIVER DELTA; LAND-USE CHANGE; ENERGY USE; ECONOMIC-GROWTH; KUZNETS CURVE; COVER CHANGES; URBAN FORM; CHINA; CONSUMPTION; SUSTAINABILITY</t>
  </si>
  <si>
    <t>0143-6228</t>
  </si>
  <si>
    <t>1873-7730</t>
  </si>
  <si>
    <t>10.1016/j.apgeog.2010.11.011</t>
  </si>
  <si>
    <t>Garcia-Montiel, DC; Verdejo-Ortiz, JC; Santiago-Bartolomei, R; Vila-Ruiz, CP; Santiago, L; Melendez-Ackerman, E</t>
  </si>
  <si>
    <t>Garcia-Montiel, Diana C.; Verdejo-Ortiz, Julio C.; Santiago-Bartolomei, Raul; Vila-Ruiz, Cristina P.; Santiago, Luis; Melendez-Ackerman, Elvia</t>
  </si>
  <si>
    <t>Food Sources and Accessibility and Waste Disposal Patterns across an Urban Tropical Watershed: Implications for the Flow of Materials and Energy</t>
  </si>
  <si>
    <t>household; nutrient cycling; San Juan ULTRA; social-ecological systems; urban biogeochemistry; urban ecology; urban metabolism; watershed</t>
  </si>
  <si>
    <t>NITROGEN; CONSUMPTION; METABOLISM; FLUXES</t>
  </si>
  <si>
    <t>10.5751/ES-06118-190137</t>
  </si>
  <si>
    <t>Mao, T; Liu, YP; Chen, WQ; Li, N; Dong, N; Shi, Y</t>
  </si>
  <si>
    <t>Mao, Ting; Liu, Yupeng; Chen, Wei-Qiang; Li, Nan; Dong, Nan; Shi, Yao</t>
  </si>
  <si>
    <t>Quantifying spatiotemporal dynamics of urban building and material metabolism by combining a random forest model and GIS-based material flow analysis</t>
  </si>
  <si>
    <t>FRONTIERS IN EARTH SCIENCE</t>
  </si>
  <si>
    <t>material flow analysis; geographic information systems; spatiotemporal analysis; random forest; building vintage; industrial ecology; high-resolution urban grids</t>
  </si>
  <si>
    <t>MATERIAL STOCK ANALYSIS; CONSTRUCTION; REGRESSION; WASTE; TIME; AGE</t>
  </si>
  <si>
    <t>2296-6463</t>
  </si>
  <si>
    <t>10.3389/feart.2022.944865</t>
  </si>
  <si>
    <t>Stelwagen, RE; Slegers, PM; de Schutter, L; van Leeuwen, ES</t>
  </si>
  <si>
    <t>Stelwagen, Rianne Eleonore; Slegers, Petronella Margaretha; de Schutter, Liesbeth; van Leeuwen, Eveline S.</t>
  </si>
  <si>
    <t>A bottom-up approach to model the environmental impact of the last-mile in an urban food-system</t>
  </si>
  <si>
    <t>Urban food consumption; Food-system; Environmental impact assessment; Bottom-up modelling; UM-LCA method; Last-mile</t>
  </si>
  <si>
    <t>GREENHOUSE-GAS EMISSIONS; METABOLISM; DIETS; ENERGY; CONSUMPTION; FOOTPRINT; NETHERLANDS; HEALTHY</t>
  </si>
  <si>
    <t>10.1016/j.spc.2020.12.039</t>
  </si>
  <si>
    <t>Zhai, MY; Huang, GH; Liu, HZ; Liu, LR; He, CY; Liu, ZP</t>
  </si>
  <si>
    <t>Zhai, Mengyu; Huang, Guohe; Liu, Hongzhi; Liu, Lirong; He, Chengyu; Liu, Zhengping</t>
  </si>
  <si>
    <t>Three-perspective energy-carbon nexus analysis for developing China's policies of CO2-emission mitigation</t>
  </si>
  <si>
    <t>Energy-carbon nexus; Emission factor; Input-output analysis; Policy making; Environmental management</t>
  </si>
  <si>
    <t>ECOLOGICAL NETWORK ANALYSIS; GREENHOUSE-GAS MITIGATION; INPUT-OUTPUT; WATER NEXUS; URBAN METABOLISM; EMBODIED ENERGY; VIRTUAL WATER; EMISSIONS; SYSTEM; FOOD</t>
  </si>
  <si>
    <t>FEB 25</t>
  </si>
  <si>
    <t>10.1016/j.scitotenv.2019.135857</t>
  </si>
  <si>
    <t>Shanmugam, K; Gadhamshetty, V; Tysklind, M; Bhattacharyya, D; Upadhyayula, VKK</t>
  </si>
  <si>
    <t>Shanmugam, Kavitha; Gadhamshetty, Venkataramana; Tysklind, Mats; Bhattacharyya, Debraj; Upadhyayula, Venkata K. K.</t>
  </si>
  <si>
    <t>A sustainable performance assessment framework for circular management of municipal wastewater treatment plants</t>
  </si>
  <si>
    <t>Wastewater treatment plants; Circular centric viewpoint; Layered assessment framework; Environmental performance; Total cost assessment; Sustainable value case study</t>
  </si>
  <si>
    <t>LIFE-CYCLE ASSESSMENT; MICROBIAL FUEL-CELL; EMERGING CONTAMINANTS; URBAN METABOLISM; PHARMACEUTICALS; INTEGRATION; PRODUCTS; REACTOR</t>
  </si>
  <si>
    <t>2022 MAR 10</t>
  </si>
  <si>
    <t>10.1016/j.jclepro.2022.130657</t>
  </si>
  <si>
    <t>Optimizing Urban Material Flows and Waste Streams in Urban Development through Principles of Zero Waste and Sustainable Consumption</t>
  </si>
  <si>
    <t>urban waste streams; material flow; closed-loop urban metabolism; zero waste concept; resource recovery; recycling and reuse; reducing consumption; product stewardship; waste avoidance; changing behavior; adaptive re-use of buildings</t>
  </si>
  <si>
    <t>10.3390/su3010155</t>
  </si>
  <si>
    <t>Cremer, A; Müller, K; Berger, M; Finkbeiner, M</t>
  </si>
  <si>
    <t>Cremer, Alexander; Mueller, Katrin; Berger, Markus; Finkbeiner, Matthias</t>
  </si>
  <si>
    <t>A framework for environmental decision support in cities incorporating organizational LCA</t>
  </si>
  <si>
    <t>Life cycle assessment; Organizations; Cities; Urban development; Organizational power</t>
  </si>
  <si>
    <t>LIFE-CYCLE ASSESSMENTS; URBAN METABOLISM; SUSTAINABILITY; PERSPECTIVE; TERRITORY; FOOTPRINT; SYSTEMS; CHINA</t>
  </si>
  <si>
    <t>2020 NOV</t>
  </si>
  <si>
    <t>10.1007/s11367-020-01822-9</t>
  </si>
  <si>
    <t>Coelho, A</t>
  </si>
  <si>
    <t>Coelho, Andre</t>
  </si>
  <si>
    <t>Preliminary study for self-sufficiency of construction materials in a Portuguese region - Evora</t>
  </si>
  <si>
    <t>Self-sufficiency; Construction materials; Portuguese region; Evora</t>
  </si>
  <si>
    <t>DEMOLITION WASTE; ENVIRONMENTAL-IMPACT; URBAN METABOLISM; ENERGY; MANAGEMENT; RESOURCES; HOUSES</t>
  </si>
  <si>
    <t>10.1016/j.jclepro.2015.06.113</t>
  </si>
  <si>
    <t>Rufí-Salís, M; Petit-Boix, A; Villalba, G; Ercilla-Montserrat, M; Sanjuan-Delmás, D; Parada, F; Arcas, V; Muñoz-Liesa, J; Gabarrell, X</t>
  </si>
  <si>
    <t>Rufi-Salis, Marti; Petit-Boix, Anna; Villalba, Gara; Ercilla-Montserrat, Mireia; Sanjuan-Delmas, David; Parada, Felipe; Arcas, Veronica; Munoz-Liesa, Joan; Gabarrell, Xavier</t>
  </si>
  <si>
    <t>Identifying eco-efficient year-round crop combinations for rooftop greenhouse agriculture</t>
  </si>
  <si>
    <t>Crop combinations; Eco-efficiency; Industrial ecology; Life cycle assessment; Rooftop greenhouses; Sustainability; Urban agriculture; Urban metabolism</t>
  </si>
  <si>
    <t>LIFE-CYCLE ASSESSMENT; ENVIRONMENTAL-IMPACT ASSESSMENT; URBAN AGRICULTURE; FOOD-PRODUCTION; WASTE-WATER; FUTURE; CULTIVATION; PERFORMANCE; PHOSPHORUS; GARDENS</t>
  </si>
  <si>
    <t>2020 MAR</t>
  </si>
  <si>
    <t>10.1007/s11367-019-01724-5</t>
  </si>
  <si>
    <t>JAN 2020</t>
  </si>
  <si>
    <t>Kerdlap, P; Low, JSC; Tan, DZL; Yeo, ZQ; Ramakrishna, S</t>
  </si>
  <si>
    <t>Kerdlap, Piya; Low, Jonathan Sze Choong; Tan, Daren Zong Loong; Yeo, Zhiquan; Ramakrishna, Seeram</t>
  </si>
  <si>
    <t>UM3-LCE3-ISN: a methodology for multi-level life cycle environmental and economic evaluation of industrial symbiosis networks</t>
  </si>
  <si>
    <t>Circular economy; Industrial ecology; Life cycle costing; Cost-benefit analysis; Urban metabolism; Waste management; Recycling; Computational structure</t>
  </si>
  <si>
    <t>COLLABORATION PLATFORM; CIRCULAR ECONOMY; PERFORMANCE</t>
  </si>
  <si>
    <t>2022 JAN 24</t>
  </si>
  <si>
    <t>10.1007/s11367-022-02024-1</t>
  </si>
  <si>
    <t>Bibri, SE</t>
  </si>
  <si>
    <t>Bibri, Simon Elias</t>
  </si>
  <si>
    <t>Eco-districts and data-driven smart eco-cities: Emerging approaches to strategic planning by design and spatial scaling and evaluation by technology</t>
  </si>
  <si>
    <t>Eco-districts; Data-driven smart eco-cities; Greening; Energy; Spatial scale; planning; Design; Evaluation; Urban intelligence; Big data technologies</t>
  </si>
  <si>
    <t>SUSTAINABLE URBAN-DEVELOPMENT; STOCKHOLM ROYAL SEAPORT; CITY; STRESS; ENVIRONMENT; DIMENSIONS; METABOLISM; RECOVERY; SYSTEMS; HEALTH</t>
  </si>
  <si>
    <t>10.1016/j.landusepol.2021.105830</t>
  </si>
  <si>
    <t>Huang, CL; Yu, CP; Lin, T; Ye, ZL</t>
  </si>
  <si>
    <t>Huang, Chu-Long; Yu, Chang-Ping; Lin, Tao; Ye, Zhilong</t>
  </si>
  <si>
    <t>Water conservation significance of municipal solid waste management: a case of Xiamen in China</t>
  </si>
  <si>
    <t>Municipal solid waste; Virtual water accounting; Process analysis; Water conservation potential; Xiamen</t>
  </si>
  <si>
    <t>INPUT-OUTPUT-ANALYSIS; VIRTUAL WATER; URBAN WATER; E-TOWN; FOOTPRINT; RESOURCES; TRADE; CHALLENGES; CONSUMPTION; SCARCITY</t>
  </si>
  <si>
    <t>10.1016/j.jclepro.2016.03.062</t>
  </si>
  <si>
    <t>van Timmeren, A; Zwetsloot, J; Brezet, H; Silvester, S</t>
  </si>
  <si>
    <t>van Timmeren, Arjan; Zwetsloot, Jonna; Brezet, Han; Silvester, Sacha</t>
  </si>
  <si>
    <t>Sustainable Urban Regeneration Based on Energy Balance</t>
  </si>
  <si>
    <t>energy approach planning; sustainable energy balance; storage; flexible devices; infrastructures; case study</t>
  </si>
  <si>
    <t>10.3390/su4071488</t>
  </si>
  <si>
    <t>Structuring Hydrosocial Relations in Urban Water Governance</t>
  </si>
  <si>
    <t>infrastructure; political ecology; stormwater; urban metabolism; water governance; infraestructura; ecologia politica; agua lluvia; metabolismo urbano; gobernanza del agua</t>
  </si>
  <si>
    <t>POLITICAL ECOLOGY; STORMWATER GOVERNANCE; BOUNDARY OBJECTS; SCIENCE; MANAGEMENT; KNOWLEDGE; CLIMATE; JUSTICE; INFRASTRUCTURE; SUBJECTIVITIES</t>
  </si>
  <si>
    <t>10.1080/24694452.2017.1293501</t>
  </si>
  <si>
    <t>Mirabella, N; Allacker, K; Sala, S</t>
  </si>
  <si>
    <t>Mirabella, Nadia; Allacker, Karen; Sala, Serenella</t>
  </si>
  <si>
    <t>Current trends and limitations of life cycle assessment applied to the urban scale: critical analysis and review of selected literature</t>
  </si>
  <si>
    <t>City; LCA; Sustainable city; Urban environmental assessment; Urban metabolism; Urban sustainability; Urban systems</t>
  </si>
  <si>
    <t>SOLID-WASTE MANAGEMENT; ENVIRONMENTAL ASSESSMENT; ASSESSMENT LCA; LAND-USE; IMPACT ASSESSMENT; SUPPORT TOOL; WATER-SYSTEM; FOOD WASTE; CITY; ENERGY</t>
  </si>
  <si>
    <t>10.1007/s11367-018-1467-3</t>
  </si>
  <si>
    <t>Arboleda, M; Banoub, D</t>
  </si>
  <si>
    <t>Arboleda, Martin; Banoub, Daniel</t>
  </si>
  <si>
    <t>Market monstrosity in industrial fishing: capital as subject and the urbanization of nature</t>
  </si>
  <si>
    <t>SOCIAL &amp; CULTURAL GEOGRAPHY</t>
  </si>
  <si>
    <t>Planetary urbanization; urban political ecology; urban metabolism; science and technology studies; aesthetic theory; dialectical criticism; urbanisation planetaire; ecologie urbaine politique; metabolisme urbain; etudes des sciences et de la technologie; theorie esthetique; critique dialectique; Urbanizacionplanetaria; ecologiapoliticaurbana; metabolism urbano; estudios de ciencia; tecnologia y sociedad; teoriaestetica</t>
  </si>
  <si>
    <t>FLUID SPACES; SEA; GEOGRAPHIES; WATER; COMMUNITIES; GEOPOLITICS; NETWORKS; THINKING; DEBRIS; OCEAN</t>
  </si>
  <si>
    <t>1464-9365</t>
  </si>
  <si>
    <t>1470-1197</t>
  </si>
  <si>
    <t>10.1080/14649365.2016.1266025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</si>
</sst>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x.doi.org/10.15196/RS090103" TargetMode="External"/><Relationship Id="rId_hyperlink_2" Type="http://schemas.openxmlformats.org/officeDocument/2006/relationships/hyperlink" Target="https%3A%2F%2Fwww.webofscience.com%2Fwos%2Fwoscc%2Ffull-record%2F" TargetMode="External"/><Relationship Id="rId_hyperlink_3" Type="http://schemas.openxmlformats.org/officeDocument/2006/relationships/hyperlink" Target="http://dx.doi.org/10.1016/j.ecolind.2020.106808" TargetMode="External"/><Relationship Id="rId_hyperlink_4" Type="http://schemas.openxmlformats.org/officeDocument/2006/relationships/hyperlink" Target="https%3A%2F%2Fwww.webofscience.com%2Fwos%2Fwoscc%2Ffull-record%2F" TargetMode="External"/><Relationship Id="rId_hyperlink_5" Type="http://schemas.openxmlformats.org/officeDocument/2006/relationships/hyperlink" Target="http://dx.doi.org/10.1016/j.landurbplan.2022.104376" TargetMode="External"/><Relationship Id="rId_hyperlink_6" Type="http://schemas.openxmlformats.org/officeDocument/2006/relationships/hyperlink" Target="https%3A%2F%2Fwww.webofscience.com%2Fwos%2Fwoscc%2Ffull-record%2F" TargetMode="External"/><Relationship Id="rId_hyperlink_7" Type="http://schemas.openxmlformats.org/officeDocument/2006/relationships/hyperlink" Target="http://dx.doi.org/10.1016/j.resconrec.2017.09.014" TargetMode="External"/><Relationship Id="rId_hyperlink_8" Type="http://schemas.openxmlformats.org/officeDocument/2006/relationships/hyperlink" Target="https%3A%2F%2Fwww.webofscience.com%2Fwos%2Fwoscc%2Ffull-record%2F" TargetMode="External"/><Relationship Id="rId_hyperlink_9" Type="http://schemas.openxmlformats.org/officeDocument/2006/relationships/hyperlink" Target="http://dx.doi.org/10.1177/0309132514558442" TargetMode="External"/><Relationship Id="rId_hyperlink_10" Type="http://schemas.openxmlformats.org/officeDocument/2006/relationships/hyperlink" Target="https%3A%2F%2Fwww.webofscience.com%2Fwos%2Fwoscc%2Ffull-record%2F" TargetMode="External"/><Relationship Id="rId_hyperlink_11" Type="http://schemas.openxmlformats.org/officeDocument/2006/relationships/hyperlink" Target="http://dx.doi.org/10.1111/jiec.12923" TargetMode="External"/><Relationship Id="rId_hyperlink_12" Type="http://schemas.openxmlformats.org/officeDocument/2006/relationships/hyperlink" Target="https%3A%2F%2Fwww.webofscience.com%2Fwos%2Fwoscc%2Ffull-record%2F" TargetMode="External"/><Relationship Id="rId_hyperlink_13" Type="http://schemas.openxmlformats.org/officeDocument/2006/relationships/hyperlink" Target="http://dx.doi.org/10.1016/j.resconrec.2017.12.023" TargetMode="External"/><Relationship Id="rId_hyperlink_14" Type="http://schemas.openxmlformats.org/officeDocument/2006/relationships/hyperlink" Target="https%3A%2F%2Fwww.webofscience.com%2Fwos%2Fwoscc%2Ffull-record%2F" TargetMode="External"/><Relationship Id="rId_hyperlink_15" Type="http://schemas.openxmlformats.org/officeDocument/2006/relationships/hyperlink" Target="https%3A%2F%2Fwww.webofscience.com%2Fwos%2Fwoscc%2Ffull-record%2F" TargetMode="External"/><Relationship Id="rId_hyperlink_16" Type="http://schemas.openxmlformats.org/officeDocument/2006/relationships/hyperlink" Target="http://dx.doi.org/10.1016/j.resconrec.2017.07.005" TargetMode="External"/><Relationship Id="rId_hyperlink_17" Type="http://schemas.openxmlformats.org/officeDocument/2006/relationships/hyperlink" Target="https%3A%2F%2Fwww.webofscience.com%2Fwos%2Fwoscc%2Ffull-record%2F" TargetMode="External"/><Relationship Id="rId_hyperlink_18" Type="http://schemas.openxmlformats.org/officeDocument/2006/relationships/hyperlink" Target="http://dx.doi.org/10.3389/frsc.2019.00001" TargetMode="External"/><Relationship Id="rId_hyperlink_19" Type="http://schemas.openxmlformats.org/officeDocument/2006/relationships/hyperlink" Target="https%3A%2F%2Fwww.webofscience.com%2Fwos%2Fwoscc%2Ffull-record%2F" TargetMode="External"/><Relationship Id="rId_hyperlink_20" Type="http://schemas.openxmlformats.org/officeDocument/2006/relationships/hyperlink" Target="http://dx.doi.org/10.12775/EQ.2020.031" TargetMode="External"/><Relationship Id="rId_hyperlink_21" Type="http://schemas.openxmlformats.org/officeDocument/2006/relationships/hyperlink" Target="https%3A%2F%2Fwww.webofscience.com%2Fwos%2Fwoscc%2Ffull-record%2F" TargetMode="External"/><Relationship Id="rId_hyperlink_22" Type="http://schemas.openxmlformats.org/officeDocument/2006/relationships/hyperlink" Target="http://dx.doi.org/10.1016/j.ecolecon.2018.12.007" TargetMode="External"/><Relationship Id="rId_hyperlink_23" Type="http://schemas.openxmlformats.org/officeDocument/2006/relationships/hyperlink" Target="https%3A%2F%2Fwww.webofscience.com%2Fwos%2Fwoscc%2Ffull-record%2F" TargetMode="External"/><Relationship Id="rId_hyperlink_24" Type="http://schemas.openxmlformats.org/officeDocument/2006/relationships/hyperlink" Target="http://dx.doi.org/10.1016/j.ecolind.2018.05.056" TargetMode="External"/><Relationship Id="rId_hyperlink_25" Type="http://schemas.openxmlformats.org/officeDocument/2006/relationships/hyperlink" Target="https%3A%2F%2Fwww.webofscience.com%2Fwos%2Fwoscc%2Ffull-record%2F" TargetMode="External"/><Relationship Id="rId_hyperlink_26" Type="http://schemas.openxmlformats.org/officeDocument/2006/relationships/hyperlink" Target="http://dx.doi.org/10.1080/08111146.2013.826578" TargetMode="External"/><Relationship Id="rId_hyperlink_27" Type="http://schemas.openxmlformats.org/officeDocument/2006/relationships/hyperlink" Target="https%3A%2F%2Fwww.webofscience.com%2Fwos%2Fwoscc%2Ffull-record%2F" TargetMode="External"/><Relationship Id="rId_hyperlink_28" Type="http://schemas.openxmlformats.org/officeDocument/2006/relationships/hyperlink" Target="http://dx.doi.org/10.1016/j.envpol.2010.10.022" TargetMode="External"/><Relationship Id="rId_hyperlink_29" Type="http://schemas.openxmlformats.org/officeDocument/2006/relationships/hyperlink" Target="https%3A%2F%2Fwww.webofscience.com%2Fwos%2Fwoscc%2Ffull-record%2F" TargetMode="External"/><Relationship Id="rId_hyperlink_30" Type="http://schemas.openxmlformats.org/officeDocument/2006/relationships/hyperlink" Target="http://dx.doi.org/10.1080/18626033.2018.1476031" TargetMode="External"/><Relationship Id="rId_hyperlink_31" Type="http://schemas.openxmlformats.org/officeDocument/2006/relationships/hyperlink" Target="https%3A%2F%2Fwww.webofscience.com%2Fwos%2Fwoscc%2Ffull-record%2F" TargetMode="External"/><Relationship Id="rId_hyperlink_32" Type="http://schemas.openxmlformats.org/officeDocument/2006/relationships/hyperlink" Target="http://dx.doi.org/10.1080/10630732.2014.954899" TargetMode="External"/><Relationship Id="rId_hyperlink_33" Type="http://schemas.openxmlformats.org/officeDocument/2006/relationships/hyperlink" Target="https%3A%2F%2Fwww.webofscience.com%2Fwos%2Fwoscc%2Ffull-record%2F" TargetMode="External"/><Relationship Id="rId_hyperlink_34" Type="http://schemas.openxmlformats.org/officeDocument/2006/relationships/hyperlink" Target="http://dx.doi.org/10.1016/j.landurbplan.2012.06.006" TargetMode="External"/><Relationship Id="rId_hyperlink_35" Type="http://schemas.openxmlformats.org/officeDocument/2006/relationships/hyperlink" Target="https%3A%2F%2Fwww.webofscience.com%2Fwos%2Fwoscc%2Ffull-record%2F" TargetMode="External"/><Relationship Id="rId_hyperlink_36" Type="http://schemas.openxmlformats.org/officeDocument/2006/relationships/hyperlink" Target="http://dx.doi.org/10.17645/up.v4i1.1750" TargetMode="External"/><Relationship Id="rId_hyperlink_37" Type="http://schemas.openxmlformats.org/officeDocument/2006/relationships/hyperlink" Target="https%3A%2F%2Fwww.webofscience.com%2Fwos%2Fwoscc%2Ffull-record%2F" TargetMode="External"/><Relationship Id="rId_hyperlink_38" Type="http://schemas.openxmlformats.org/officeDocument/2006/relationships/hyperlink" Target="http://dx.doi.org/10.1111/j.1530-9290.2012.00556.x" TargetMode="External"/><Relationship Id="rId_hyperlink_39" Type="http://schemas.openxmlformats.org/officeDocument/2006/relationships/hyperlink" Target="https%3A%2F%2Fwww.webofscience.com%2Fwos%2Fwoscc%2Ffull-record%2F" TargetMode="External"/><Relationship Id="rId_hyperlink_40" Type="http://schemas.openxmlformats.org/officeDocument/2006/relationships/hyperlink" Target="http://dx.doi.org/10.1177/2399808319832611" TargetMode="External"/><Relationship Id="rId_hyperlink_41" Type="http://schemas.openxmlformats.org/officeDocument/2006/relationships/hyperlink" Target="https%3A%2F%2Fwww.webofscience.com%2Fwos%2Fwoscc%2Ffull-record%2F" TargetMode="External"/><Relationship Id="rId_hyperlink_42" Type="http://schemas.openxmlformats.org/officeDocument/2006/relationships/hyperlink" Target="http://dx.doi.org/10.1016/j.ecolind.2020.106746" TargetMode="External"/><Relationship Id="rId_hyperlink_43" Type="http://schemas.openxmlformats.org/officeDocument/2006/relationships/hyperlink" Target="https%3A%2F%2Fwww.webofscience.com%2Fwos%2Fwoscc%2Ffull-record%2F" TargetMode="External"/><Relationship Id="rId_hyperlink_44" Type="http://schemas.openxmlformats.org/officeDocument/2006/relationships/hyperlink" Target="http://dx.doi.org/10.1016/j.geoforum.2016.10.011" TargetMode="External"/><Relationship Id="rId_hyperlink_45" Type="http://schemas.openxmlformats.org/officeDocument/2006/relationships/hyperlink" Target="https%3A%2F%2Fwww.webofscience.com%2Fwos%2Fwoscc%2Ffull-record%2F" TargetMode="External"/><Relationship Id="rId_hyperlink_46" Type="http://schemas.openxmlformats.org/officeDocument/2006/relationships/hyperlink" Target="http://dx.doi.org/10.1016/j.spc.2023.05.017" TargetMode="External"/><Relationship Id="rId_hyperlink_47" Type="http://schemas.openxmlformats.org/officeDocument/2006/relationships/hyperlink" Target="https%3A%2F%2Fwww.webofscience.com%2Fwos%2Fwoscc%2Ffull-record%2F" TargetMode="External"/><Relationship Id="rId_hyperlink_48" Type="http://schemas.openxmlformats.org/officeDocument/2006/relationships/hyperlink" Target="http://dx.doi.org/10.1016/j.resconrec.2018.09.010" TargetMode="External"/><Relationship Id="rId_hyperlink_49" Type="http://schemas.openxmlformats.org/officeDocument/2006/relationships/hyperlink" Target="https%3A%2F%2Fwww.webofscience.com%2Fwos%2Fwoscc%2Ffull-record%2F" TargetMode="External"/><Relationship Id="rId_hyperlink_50" Type="http://schemas.openxmlformats.org/officeDocument/2006/relationships/hyperlink" Target="http://dx.doi.org/10.1016/j.ecolind.2014.07.039" TargetMode="External"/><Relationship Id="rId_hyperlink_51" Type="http://schemas.openxmlformats.org/officeDocument/2006/relationships/hyperlink" Target="https%3A%2F%2Fwww.webofscience.com%2Fwos%2Fwoscc%2Ffull-record%2F" TargetMode="External"/><Relationship Id="rId_hyperlink_52" Type="http://schemas.openxmlformats.org/officeDocument/2006/relationships/hyperlink" Target="http://dx.doi.org/10.1016/j.buildenv.2014.10.020" TargetMode="External"/><Relationship Id="rId_hyperlink_53" Type="http://schemas.openxmlformats.org/officeDocument/2006/relationships/hyperlink" Target="https%3A%2F%2Fwww.webofscience.com%2Fwos%2Fwoscc%2Ffull-record%2F" TargetMode="External"/><Relationship Id="rId_hyperlink_54" Type="http://schemas.openxmlformats.org/officeDocument/2006/relationships/hyperlink" Target="http://dx.doi.org/10.1111/jiec.13435" TargetMode="External"/><Relationship Id="rId_hyperlink_55" Type="http://schemas.openxmlformats.org/officeDocument/2006/relationships/hyperlink" Target="https%3A%2F%2Fwww.webofscience.com%2Fwos%2Fwoscc%2Ffull-record%2F" TargetMode="External"/><Relationship Id="rId_hyperlink_56" Type="http://schemas.openxmlformats.org/officeDocument/2006/relationships/hyperlink" Target="http://dx.doi.org/10.1111/jiec.12038" TargetMode="External"/><Relationship Id="rId_hyperlink_57" Type="http://schemas.openxmlformats.org/officeDocument/2006/relationships/hyperlink" Target="https%3A%2F%2Fwww.webofscience.com%2Fwos%2Fwoscc%2Ffull-record%2F" TargetMode="External"/><Relationship Id="rId_hyperlink_58" Type="http://schemas.openxmlformats.org/officeDocument/2006/relationships/hyperlink" Target="http://dx.doi.org/10.36253/techne-9857" TargetMode="External"/><Relationship Id="rId_hyperlink_59" Type="http://schemas.openxmlformats.org/officeDocument/2006/relationships/hyperlink" Target="https%3A%2F%2Fwww.webofscience.com%2Fwos%2Fwoscc%2Ffull-record%2F" TargetMode="External"/><Relationship Id="rId_hyperlink_60" Type="http://schemas.openxmlformats.org/officeDocument/2006/relationships/hyperlink" Target="https%3A%2F%2Fwww.webofscience.com%2Fwos%2Fwoscc%2Ffull-record%2F" TargetMode="External"/><Relationship Id="rId_hyperlink_61" Type="http://schemas.openxmlformats.org/officeDocument/2006/relationships/hyperlink" Target="https%3A%2F%2Fwww.webofscience.com%2Fwos%2Fwoscc%2Ffull-record%2F" TargetMode="External"/><Relationship Id="rId_hyperlink_62" Type="http://schemas.openxmlformats.org/officeDocument/2006/relationships/hyperlink" Target="http://dx.doi.org/10.1111/jiec.12259" TargetMode="External"/><Relationship Id="rId_hyperlink_63" Type="http://schemas.openxmlformats.org/officeDocument/2006/relationships/hyperlink" Target="https%3A%2F%2Fwww.webofscience.com%2Fwos%2Fwoscc%2Ffull-record%2F" TargetMode="External"/><Relationship Id="rId_hyperlink_64" Type="http://schemas.openxmlformats.org/officeDocument/2006/relationships/hyperlink" Target="http://dx.doi.org/10.1080/00343404.2014.950885" TargetMode="External"/><Relationship Id="rId_hyperlink_65" Type="http://schemas.openxmlformats.org/officeDocument/2006/relationships/hyperlink" Target="https%3A%2F%2Fwww.webofscience.com%2Fwos%2Fwoscc%2Ffull-record%2F" TargetMode="External"/><Relationship Id="rId_hyperlink_66" Type="http://schemas.openxmlformats.org/officeDocument/2006/relationships/hyperlink" Target="http://dx.doi.org/10.1177/0739456X15588462" TargetMode="External"/><Relationship Id="rId_hyperlink_67" Type="http://schemas.openxmlformats.org/officeDocument/2006/relationships/hyperlink" Target="https%3A%2F%2Fwww.webofscience.com%2Fwos%2Fwoscc%2Ffull-record%2F" TargetMode="External"/><Relationship Id="rId_hyperlink_68" Type="http://schemas.openxmlformats.org/officeDocument/2006/relationships/hyperlink" Target="http://dx.doi.org/10.1162/jie.2007.1293" TargetMode="External"/><Relationship Id="rId_hyperlink_69" Type="http://schemas.openxmlformats.org/officeDocument/2006/relationships/hyperlink" Target="https%3A%2F%2Fwww.webofscience.com%2Fwos%2Fwoscc%2Ffull-record%2F" TargetMode="External"/><Relationship Id="rId_hyperlink_70" Type="http://schemas.openxmlformats.org/officeDocument/2006/relationships/hyperlink" Target="https%3A%2F%2Fwww.webofscience.com%2Fwos%2Fwoscc%2Ffull-record%2F" TargetMode="External"/><Relationship Id="rId_hyperlink_71" Type="http://schemas.openxmlformats.org/officeDocument/2006/relationships/hyperlink" Target="http://dx.doi.org/10.1080/08111146.2014.967443" TargetMode="External"/><Relationship Id="rId_hyperlink_72" Type="http://schemas.openxmlformats.org/officeDocument/2006/relationships/hyperlink" Target="https%3A%2F%2Fwww.webofscience.com%2Fwos%2Fwoscc%2Ffull-record%2F" TargetMode="External"/><Relationship Id="rId_hyperlink_73" Type="http://schemas.openxmlformats.org/officeDocument/2006/relationships/hyperlink" Target="http://dx.doi.org/10.1016/j.ecolind.2017.10.043" TargetMode="External"/><Relationship Id="rId_hyperlink_74" Type="http://schemas.openxmlformats.org/officeDocument/2006/relationships/hyperlink" Target="https%3A%2F%2Fwww.webofscience.com%2Fwos%2Fwoscc%2Ffull-record%2F" TargetMode="External"/><Relationship Id="rId_hyperlink_75" Type="http://schemas.openxmlformats.org/officeDocument/2006/relationships/hyperlink" Target="http://dx.doi.org/10.1016/j.wasman.2011.08.018" TargetMode="External"/><Relationship Id="rId_hyperlink_76" Type="http://schemas.openxmlformats.org/officeDocument/2006/relationships/hyperlink" Target="https%3A%2F%2Fwww.webofscience.com%2Fwos%2Fwoscc%2Ffull-record%2F" TargetMode="External"/><Relationship Id="rId_hyperlink_77" Type="http://schemas.openxmlformats.org/officeDocument/2006/relationships/hyperlink" Target="http://dx.doi.org/10.1111/j.1530-9290.2012.00548.x" TargetMode="External"/><Relationship Id="rId_hyperlink_78" Type="http://schemas.openxmlformats.org/officeDocument/2006/relationships/hyperlink" Target="https%3A%2F%2Fwww.webofscience.com%2Fwos%2Fwoscc%2Ffull-record%2F" TargetMode="External"/><Relationship Id="rId_hyperlink_79" Type="http://schemas.openxmlformats.org/officeDocument/2006/relationships/hyperlink" Target="http://dx.doi.org/10.1080/09654313.2020.1740173" TargetMode="External"/><Relationship Id="rId_hyperlink_80" Type="http://schemas.openxmlformats.org/officeDocument/2006/relationships/hyperlink" Target="https%3A%2F%2Fwww.webofscience.com%2Fwos%2Fwoscc%2Ffull-record%2F" TargetMode="External"/><Relationship Id="rId_hyperlink_81" Type="http://schemas.openxmlformats.org/officeDocument/2006/relationships/hyperlink" Target="http://dx.doi.org/10.1016/j.resconrec.2016.09.009" TargetMode="External"/><Relationship Id="rId_hyperlink_82" Type="http://schemas.openxmlformats.org/officeDocument/2006/relationships/hyperlink" Target="https%3A%2F%2Fwww.webofscience.com%2Fwos%2Fwoscc%2Ffull-record%2F" TargetMode="External"/><Relationship Id="rId_hyperlink_83" Type="http://schemas.openxmlformats.org/officeDocument/2006/relationships/hyperlink" Target="http://dx.doi.org/10.1016/j.eiar.2012.06.007" TargetMode="External"/><Relationship Id="rId_hyperlink_84" Type="http://schemas.openxmlformats.org/officeDocument/2006/relationships/hyperlink" Target="https%3A%2F%2Fwww.webofscience.com%2Fwos%2Fwoscc%2Ffull-record%2F" TargetMode="External"/><Relationship Id="rId_hyperlink_85" Type="http://schemas.openxmlformats.org/officeDocument/2006/relationships/hyperlink" Target="http://dx.doi.org/10.1111/jiec.13361" TargetMode="External"/><Relationship Id="rId_hyperlink_86" Type="http://schemas.openxmlformats.org/officeDocument/2006/relationships/hyperlink" Target="https%3A%2F%2Fwww.webofscience.com%2Fwos%2Fwoscc%2Ffull-record%2F" TargetMode="External"/><Relationship Id="rId_hyperlink_87" Type="http://schemas.openxmlformats.org/officeDocument/2006/relationships/hyperlink" Target="http://dx.doi.org/10.1088/1748-9326/aa7c21" TargetMode="External"/><Relationship Id="rId_hyperlink_88" Type="http://schemas.openxmlformats.org/officeDocument/2006/relationships/hyperlink" Target="https%3A%2F%2Fwww.webofscience.com%2Fwos%2Fwoscc%2Ffull-record%2F" TargetMode="External"/><Relationship Id="rId_hyperlink_89" Type="http://schemas.openxmlformats.org/officeDocument/2006/relationships/hyperlink" Target="http://dx.doi.org/10.3390/su12010353" TargetMode="External"/><Relationship Id="rId_hyperlink_90" Type="http://schemas.openxmlformats.org/officeDocument/2006/relationships/hyperlink" Target="https%3A%2F%2Fwww.webofscience.com%2Fwos%2Fwoscc%2Ffull-record%2F" TargetMode="External"/><Relationship Id="rId_hyperlink_91" Type="http://schemas.openxmlformats.org/officeDocument/2006/relationships/hyperlink" Target="http://dx.doi.org/10.1007/s11252-016-0615-4" TargetMode="External"/><Relationship Id="rId_hyperlink_92" Type="http://schemas.openxmlformats.org/officeDocument/2006/relationships/hyperlink" Target="https%3A%2F%2Fwww.webofscience.com%2Fwos%2Fwoscc%2Ffull-record%2F" TargetMode="External"/><Relationship Id="rId_hyperlink_93" Type="http://schemas.openxmlformats.org/officeDocument/2006/relationships/hyperlink" Target="http://dx.doi.org/10.1016/j.landusepol.2021.105819" TargetMode="External"/><Relationship Id="rId_hyperlink_94" Type="http://schemas.openxmlformats.org/officeDocument/2006/relationships/hyperlink" Target="https%3A%2F%2Fwww.webofscience.com%2Fwos%2Fwoscc%2Ffull-record%2F" TargetMode="External"/><Relationship Id="rId_hyperlink_95" Type="http://schemas.openxmlformats.org/officeDocument/2006/relationships/hyperlink" Target="http://dx.doi.org/10.1016/j.resconrec.2017.01.010" TargetMode="External"/><Relationship Id="rId_hyperlink_96" Type="http://schemas.openxmlformats.org/officeDocument/2006/relationships/hyperlink" Target="https%3A%2F%2Fwww.webofscience.com%2Fwos%2Fwoscc%2Ffull-record%2F" TargetMode="External"/><Relationship Id="rId_hyperlink_97" Type="http://schemas.openxmlformats.org/officeDocument/2006/relationships/hyperlink" Target="http://dx.doi.org/10.3390/ijerph16010090" TargetMode="External"/><Relationship Id="rId_hyperlink_98" Type="http://schemas.openxmlformats.org/officeDocument/2006/relationships/hyperlink" Target="https%3A%2F%2Fwww.webofscience.com%2Fwos%2Fwoscc%2Ffull-record%2F" TargetMode="External"/><Relationship Id="rId_hyperlink_99" Type="http://schemas.openxmlformats.org/officeDocument/2006/relationships/hyperlink" Target="http://dx.doi.org/10.1139/L02-105" TargetMode="External"/><Relationship Id="rId_hyperlink_100" Type="http://schemas.openxmlformats.org/officeDocument/2006/relationships/hyperlink" Target="https%3A%2F%2Fwww.webofscience.com%2Fwos%2Fwoscc%2Ffull-record%2F" TargetMode="External"/><Relationship Id="rId_hyperlink_101" Type="http://schemas.openxmlformats.org/officeDocument/2006/relationships/hyperlink" Target="http://dx.doi.org/10.1016/j.resconrec.2017.08.004" TargetMode="External"/><Relationship Id="rId_hyperlink_102" Type="http://schemas.openxmlformats.org/officeDocument/2006/relationships/hyperlink" Target="https%3A%2F%2Fwww.webofscience.com%2Fwos%2Fwoscc%2Ffull-record%2F" TargetMode="External"/><Relationship Id="rId_hyperlink_103" Type="http://schemas.openxmlformats.org/officeDocument/2006/relationships/hyperlink" Target="http://dx.doi.org/10.1016/j.ecolmodel.2018.09.016" TargetMode="External"/><Relationship Id="rId_hyperlink_104" Type="http://schemas.openxmlformats.org/officeDocument/2006/relationships/hyperlink" Target="https%3A%2F%2Fwww.webofscience.com%2Fwos%2Fwoscc%2Ffull-record%2F" TargetMode="External"/><Relationship Id="rId_hyperlink_105" Type="http://schemas.openxmlformats.org/officeDocument/2006/relationships/hyperlink" Target="http://dx.doi.org/10.1155/2021/5545307" TargetMode="External"/><Relationship Id="rId_hyperlink_106" Type="http://schemas.openxmlformats.org/officeDocument/2006/relationships/hyperlink" Target="https%3A%2F%2Fwww.webofscience.com%2Fwos%2Fwoscc%2Ffull-record%2F" TargetMode="External"/><Relationship Id="rId_hyperlink_107" Type="http://schemas.openxmlformats.org/officeDocument/2006/relationships/hyperlink" Target="http://dx.doi.org/10.1016/j.ecoinf.2014.09.010" TargetMode="External"/><Relationship Id="rId_hyperlink_108" Type="http://schemas.openxmlformats.org/officeDocument/2006/relationships/hyperlink" Target="https%3A%2F%2Fwww.webofscience.com%2Fwos%2Fwoscc%2Ffull-record%2F" TargetMode="External"/><Relationship Id="rId_hyperlink_109" Type="http://schemas.openxmlformats.org/officeDocument/2006/relationships/hyperlink" Target="http://dx.doi.org/10.1016/j.ecolmodel.2015.10.009" TargetMode="External"/><Relationship Id="rId_hyperlink_110" Type="http://schemas.openxmlformats.org/officeDocument/2006/relationships/hyperlink" Target="https%3A%2F%2Fwww.webofscience.com%2Fwos%2Fwoscc%2Ffull-record%2F" TargetMode="External"/><Relationship Id="rId_hyperlink_111" Type="http://schemas.openxmlformats.org/officeDocument/2006/relationships/hyperlink" Target="http://dx.doi.org/10.3390/su142113964" TargetMode="External"/><Relationship Id="rId_hyperlink_112" Type="http://schemas.openxmlformats.org/officeDocument/2006/relationships/hyperlink" Target="https%3A%2F%2Fwww.webofscience.com%2Fwos%2Fwoscc%2Ffull-record%2F" TargetMode="External"/><Relationship Id="rId_hyperlink_113" Type="http://schemas.openxmlformats.org/officeDocument/2006/relationships/hyperlink" Target="http://dx.doi.org/10.1111/j.1533-8525.2012.01247.x" TargetMode="External"/><Relationship Id="rId_hyperlink_114" Type="http://schemas.openxmlformats.org/officeDocument/2006/relationships/hyperlink" Target="https%3A%2F%2Fwww.webofscience.com%2Fwos%2Fwoscc%2Ffull-record%2F" TargetMode="External"/><Relationship Id="rId_hyperlink_115" Type="http://schemas.openxmlformats.org/officeDocument/2006/relationships/hyperlink" Target="http://dx.doi.org/10.1080/713684114" TargetMode="External"/><Relationship Id="rId_hyperlink_116" Type="http://schemas.openxmlformats.org/officeDocument/2006/relationships/hyperlink" Target="https%3A%2F%2Fwww.webofscience.com%2Fwos%2Fwoscc%2Ffull-record%2F" TargetMode="External"/><Relationship Id="rId_hyperlink_117" Type="http://schemas.openxmlformats.org/officeDocument/2006/relationships/hyperlink" Target="http://dx.doi.org/10.1177/00961442211073461" TargetMode="External"/><Relationship Id="rId_hyperlink_118" Type="http://schemas.openxmlformats.org/officeDocument/2006/relationships/hyperlink" Target="https%3A%2F%2Fwww.webofscience.com%2Fwos%2Fwoscc%2Ffull-record%2F" TargetMode="External"/><Relationship Id="rId_hyperlink_119" Type="http://schemas.openxmlformats.org/officeDocument/2006/relationships/hyperlink" Target="http://dx.doi.org/10.1177/0734242X18793339" TargetMode="External"/><Relationship Id="rId_hyperlink_120" Type="http://schemas.openxmlformats.org/officeDocument/2006/relationships/hyperlink" Target="https%3A%2F%2Fwww.webofscience.com%2Fwos%2Fwoscc%2Ffull-record%2F" TargetMode="External"/><Relationship Id="rId_hyperlink_121" Type="http://schemas.openxmlformats.org/officeDocument/2006/relationships/hyperlink" Target="http://dx.doi.org/10.1016/j.ecolind.2021.107345" TargetMode="External"/><Relationship Id="rId_hyperlink_122" Type="http://schemas.openxmlformats.org/officeDocument/2006/relationships/hyperlink" Target="https%3A%2F%2Fwww.webofscience.com%2Fwos%2Fwoscc%2Ffull-record%2F" TargetMode="External"/><Relationship Id="rId_hyperlink_123" Type="http://schemas.openxmlformats.org/officeDocument/2006/relationships/hyperlink" Target="http://dx.doi.org/10.1016/j.jclepro.2020.125224" TargetMode="External"/><Relationship Id="rId_hyperlink_124" Type="http://schemas.openxmlformats.org/officeDocument/2006/relationships/hyperlink" Target="https%3A%2F%2Fwww.webofscience.com%2Fwos%2Fwoscc%2Ffull-record%2F" TargetMode="External"/><Relationship Id="rId_hyperlink_125" Type="http://schemas.openxmlformats.org/officeDocument/2006/relationships/hyperlink" Target="http://dx.doi.org/10.1162/jie.2007.1107" TargetMode="External"/><Relationship Id="rId_hyperlink_126" Type="http://schemas.openxmlformats.org/officeDocument/2006/relationships/hyperlink" Target="https%3A%2F%2Fwww.webofscience.com%2Fwos%2Fwoscc%2Ffull-record%2F" TargetMode="External"/><Relationship Id="rId_hyperlink_127" Type="http://schemas.openxmlformats.org/officeDocument/2006/relationships/hyperlink" Target="http://dx.doi.org/10.1016/j.ecolind.2014.09.021" TargetMode="External"/><Relationship Id="rId_hyperlink_128" Type="http://schemas.openxmlformats.org/officeDocument/2006/relationships/hyperlink" Target="https%3A%2F%2Fwww.webofscience.com%2Fwos%2Fwoscc%2Ffull-record%2F" TargetMode="External"/><Relationship Id="rId_hyperlink_129" Type="http://schemas.openxmlformats.org/officeDocument/2006/relationships/hyperlink" Target="http://dx.doi.org/10.1016/j.ecolind.2018.11.022" TargetMode="External"/><Relationship Id="rId_hyperlink_130" Type="http://schemas.openxmlformats.org/officeDocument/2006/relationships/hyperlink" Target="https%3A%2F%2Fwww.webofscience.com%2Fwos%2Fwoscc%2Ffull-record%2F" TargetMode="External"/><Relationship Id="rId_hyperlink_131" Type="http://schemas.openxmlformats.org/officeDocument/2006/relationships/hyperlink" Target="https%3A%2F%2Fwww.webofscience.com%2Fwos%2Fwoscc%2Ffull-record%2F" TargetMode="External"/><Relationship Id="rId_hyperlink_132" Type="http://schemas.openxmlformats.org/officeDocument/2006/relationships/hyperlink" Target="http://dx.doi.org/10.1016/j.energy.2020.117048" TargetMode="External"/><Relationship Id="rId_hyperlink_133" Type="http://schemas.openxmlformats.org/officeDocument/2006/relationships/hyperlink" Target="https%3A%2F%2Fwww.webofscience.com%2Fwos%2Fwoscc%2Ffull-record%2F" TargetMode="External"/><Relationship Id="rId_hyperlink_134" Type="http://schemas.openxmlformats.org/officeDocument/2006/relationships/hyperlink" Target="http://dx.doi.org/10.1007/s10901-007-9098-1" TargetMode="External"/><Relationship Id="rId_hyperlink_135" Type="http://schemas.openxmlformats.org/officeDocument/2006/relationships/hyperlink" Target="https%3A%2F%2Fwww.webofscience.com%2Fwos%2Fwoscc%2Ffull-record%2F" TargetMode="External"/><Relationship Id="rId_hyperlink_136" Type="http://schemas.openxmlformats.org/officeDocument/2006/relationships/hyperlink" Target="https%3A%2F%2Fwww.webofscience.com%2Fwos%2Fwoscc%2Ffull-record%2F" TargetMode="External"/><Relationship Id="rId_hyperlink_137" Type="http://schemas.openxmlformats.org/officeDocument/2006/relationships/hyperlink" Target="http://dx.doi.org/10.2747/0272-3638.28.2.206" TargetMode="External"/><Relationship Id="rId_hyperlink_138" Type="http://schemas.openxmlformats.org/officeDocument/2006/relationships/hyperlink" Target="https%3A%2F%2Fwww.webofscience.com%2Fwos%2Fwoscc%2Ffull-record%2F" TargetMode="External"/><Relationship Id="rId_hyperlink_139" Type="http://schemas.openxmlformats.org/officeDocument/2006/relationships/hyperlink" Target="http://dx.doi.org/10.1016/j.cosust.2012.08.004" TargetMode="External"/><Relationship Id="rId_hyperlink_140" Type="http://schemas.openxmlformats.org/officeDocument/2006/relationships/hyperlink" Target="https%3A%2F%2Fwww.webofscience.com%2Fwos%2Fwoscc%2Ffull-record%2F" TargetMode="External"/><Relationship Id="rId_hyperlink_141" Type="http://schemas.openxmlformats.org/officeDocument/2006/relationships/hyperlink" Target="http://dx.doi.org/10.1016/j.envpol.2013.03.052" TargetMode="External"/><Relationship Id="rId_hyperlink_142" Type="http://schemas.openxmlformats.org/officeDocument/2006/relationships/hyperlink" Target="https%3A%2F%2Fwww.webofscience.com%2Fwos%2Fwoscc%2Ffull-record%2F" TargetMode="External"/><Relationship Id="rId_hyperlink_143" Type="http://schemas.openxmlformats.org/officeDocument/2006/relationships/hyperlink" Target="http://dx.doi.org/10.3390/su13169094" TargetMode="External"/><Relationship Id="rId_hyperlink_144" Type="http://schemas.openxmlformats.org/officeDocument/2006/relationships/hyperlink" Target="https%3A%2F%2Fwww.webofscience.com%2Fwos%2Fwoscc%2Ffull-record%2F" TargetMode="External"/><Relationship Id="rId_hyperlink_145" Type="http://schemas.openxmlformats.org/officeDocument/2006/relationships/hyperlink" Target="http://dx.doi.org/10.1111/jiec.12925" TargetMode="External"/><Relationship Id="rId_hyperlink_146" Type="http://schemas.openxmlformats.org/officeDocument/2006/relationships/hyperlink" Target="https%3A%2F%2Fwww.webofscience.com%2Fwos%2Fwoscc%2Ffull-record%2F" TargetMode="External"/><Relationship Id="rId_hyperlink_147" Type="http://schemas.openxmlformats.org/officeDocument/2006/relationships/hyperlink" Target="https%3A%2F%2Fwww.webofscience.com%2Fwos%2Fwoscc%2Ffull-record%2F" TargetMode="External"/><Relationship Id="rId_hyperlink_148" Type="http://schemas.openxmlformats.org/officeDocument/2006/relationships/hyperlink" Target="https%3A%2F%2Fwww.webofscience.com%2Fwos%2Fwoscc%2Ffull-record%2F" TargetMode="External"/><Relationship Id="rId_hyperlink_149" Type="http://schemas.openxmlformats.org/officeDocument/2006/relationships/hyperlink" Target="http://dx.doi.org/10.3390/su13116043" TargetMode="External"/><Relationship Id="rId_hyperlink_150" Type="http://schemas.openxmlformats.org/officeDocument/2006/relationships/hyperlink" Target="https%3A%2F%2Fwww.webofscience.com%2Fwos%2Fwoscc%2Ffull-record%2F" TargetMode="External"/><Relationship Id="rId_hyperlink_151" Type="http://schemas.openxmlformats.org/officeDocument/2006/relationships/hyperlink" Target="http://dx.doi.org/10.1016/j.jclepro.2016.09.014" TargetMode="External"/><Relationship Id="rId_hyperlink_152" Type="http://schemas.openxmlformats.org/officeDocument/2006/relationships/hyperlink" Target="https%3A%2F%2Fwww.webofscience.com%2Fwos%2Fwoscc%2Ffull-record%2F" TargetMode="External"/><Relationship Id="rId_hyperlink_153" Type="http://schemas.openxmlformats.org/officeDocument/2006/relationships/hyperlink" Target="http://dx.doi.org/10.1139/L03-054" TargetMode="External"/><Relationship Id="rId_hyperlink_154" Type="http://schemas.openxmlformats.org/officeDocument/2006/relationships/hyperlink" Target="https%3A%2F%2Fwww.webofscience.com%2Fwos%2Fwoscc%2Ffull-record%2F" TargetMode="External"/><Relationship Id="rId_hyperlink_155" Type="http://schemas.openxmlformats.org/officeDocument/2006/relationships/hyperlink" Target="http://dx.doi.org/10.1016/j.scs.2020.102695" TargetMode="External"/><Relationship Id="rId_hyperlink_156" Type="http://schemas.openxmlformats.org/officeDocument/2006/relationships/hyperlink" Target="https%3A%2F%2Fwww.webofscience.com%2Fwos%2Fwoscc%2Ffull-record%2F" TargetMode="External"/><Relationship Id="rId_hyperlink_157" Type="http://schemas.openxmlformats.org/officeDocument/2006/relationships/hyperlink" Target="http://dx.doi.org/10.1016/j.jclepro.2015.05.053" TargetMode="External"/><Relationship Id="rId_hyperlink_158" Type="http://schemas.openxmlformats.org/officeDocument/2006/relationships/hyperlink" Target="https%3A%2F%2Fwww.webofscience.com%2Fwos%2Fwoscc%2Ffull-record%2F" TargetMode="External"/><Relationship Id="rId_hyperlink_159" Type="http://schemas.openxmlformats.org/officeDocument/2006/relationships/hyperlink" Target="http://dx.doi.org/10.1016/j.buildenv.2016.12.035" TargetMode="External"/><Relationship Id="rId_hyperlink_160" Type="http://schemas.openxmlformats.org/officeDocument/2006/relationships/hyperlink" Target="https%3A%2F%2Fwww.webofscience.com%2Fwos%2Fwoscc%2Ffull-record%2F" TargetMode="External"/><Relationship Id="rId_hyperlink_161" Type="http://schemas.openxmlformats.org/officeDocument/2006/relationships/hyperlink" Target="http://dx.doi.org/10.1016/j.ecoinf.2014.09.009" TargetMode="External"/><Relationship Id="rId_hyperlink_162" Type="http://schemas.openxmlformats.org/officeDocument/2006/relationships/hyperlink" Target="https%3A%2F%2Fwww.webofscience.com%2Fwos%2Fwoscc%2Ffull-record%2F" TargetMode="External"/><Relationship Id="rId_hyperlink_163" Type="http://schemas.openxmlformats.org/officeDocument/2006/relationships/hyperlink" Target="http://dx.doi.org/10.1007/s13280-016-0785-6" TargetMode="External"/><Relationship Id="rId_hyperlink_164" Type="http://schemas.openxmlformats.org/officeDocument/2006/relationships/hyperlink" Target="https%3A%2F%2Fwww.webofscience.com%2Fwos%2Fwoscc%2Ffull-record%2F" TargetMode="External"/><Relationship Id="rId_hyperlink_165" Type="http://schemas.openxmlformats.org/officeDocument/2006/relationships/hyperlink" Target="http://dx.doi.org/10.1061/(ASCE)WR.1943-5452.0000739" TargetMode="External"/><Relationship Id="rId_hyperlink_166" Type="http://schemas.openxmlformats.org/officeDocument/2006/relationships/hyperlink" Target="https%3A%2F%2Fwww.webofscience.com%2Fwos%2Fwoscc%2Ffull-record%2F" TargetMode="External"/><Relationship Id="rId_hyperlink_167" Type="http://schemas.openxmlformats.org/officeDocument/2006/relationships/hyperlink" Target="https%3A%2F%2Fwww.webofscience.com%2Fwos%2Fwoscc%2Ffull-record%2F" TargetMode="External"/><Relationship Id="rId_hyperlink_168" Type="http://schemas.openxmlformats.org/officeDocument/2006/relationships/hyperlink" Target="http://dx.doi.org/10.1016/j.resconrec.2016.03.023" TargetMode="External"/><Relationship Id="rId_hyperlink_169" Type="http://schemas.openxmlformats.org/officeDocument/2006/relationships/hyperlink" Target="https%3A%2F%2Fwww.webofscience.com%2Fwos%2Fwoscc%2Ffull-record%2F" TargetMode="External"/><Relationship Id="rId_hyperlink_170" Type="http://schemas.openxmlformats.org/officeDocument/2006/relationships/hyperlink" Target="http://dx.doi.org/10.1016/j.landurbplan.2012.12.005" TargetMode="External"/><Relationship Id="rId_hyperlink_171" Type="http://schemas.openxmlformats.org/officeDocument/2006/relationships/hyperlink" Target="https%3A%2F%2Fwww.webofscience.com%2Fwos%2Fwoscc%2Ffull-record%2F" TargetMode="External"/><Relationship Id="rId_hyperlink_172" Type="http://schemas.openxmlformats.org/officeDocument/2006/relationships/hyperlink" Target="http://dx.doi.org/10.3389/frsc.2022.1114692" TargetMode="External"/><Relationship Id="rId_hyperlink_173" Type="http://schemas.openxmlformats.org/officeDocument/2006/relationships/hyperlink" Target="https%3A%2F%2Fwww.webofscience.com%2Fwos%2Fwoscc%2Ffull-record%2F" TargetMode="External"/><Relationship Id="rId_hyperlink_174" Type="http://schemas.openxmlformats.org/officeDocument/2006/relationships/hyperlink" Target="http://dx.doi.org/10.1016/j.resconrec.2021.106017" TargetMode="External"/><Relationship Id="rId_hyperlink_175" Type="http://schemas.openxmlformats.org/officeDocument/2006/relationships/hyperlink" Target="https%3A%2F%2Fwww.webofscience.com%2Fwos%2Fwoscc%2Ffull-record%2F" TargetMode="External"/><Relationship Id="rId_hyperlink_176" Type="http://schemas.openxmlformats.org/officeDocument/2006/relationships/hyperlink" Target="http://dx.doi.org/10.3389/frsc.2022.875912" TargetMode="External"/><Relationship Id="rId_hyperlink_177" Type="http://schemas.openxmlformats.org/officeDocument/2006/relationships/hyperlink" Target="https%3A%2F%2Fwww.webofscience.com%2Fwos%2Fwoscc%2Ffull-record%2F" TargetMode="External"/><Relationship Id="rId_hyperlink_178" Type="http://schemas.openxmlformats.org/officeDocument/2006/relationships/hyperlink" Target="http://dx.doi.org/10.1016/j.ecolmodel.2014.11.027" TargetMode="External"/><Relationship Id="rId_hyperlink_179" Type="http://schemas.openxmlformats.org/officeDocument/2006/relationships/hyperlink" Target="https%3A%2F%2Fwww.webofscience.com%2Fwos%2Fwoscc%2Ffull-record%2F" TargetMode="External"/><Relationship Id="rId_hyperlink_180" Type="http://schemas.openxmlformats.org/officeDocument/2006/relationships/hyperlink" Target="http://dx.doi.org/10.3390/su6117982" TargetMode="External"/><Relationship Id="rId_hyperlink_181" Type="http://schemas.openxmlformats.org/officeDocument/2006/relationships/hyperlink" Target="https%3A%2F%2Fwww.webofscience.com%2Fwos%2Fwoscc%2Ffull-record%2F" TargetMode="External"/><Relationship Id="rId_hyperlink_182" Type="http://schemas.openxmlformats.org/officeDocument/2006/relationships/hyperlink" Target="https%3A%2F%2Fwww.webofscience.com%2Fwos%2Fwoscc%2Ffull-record%2F" TargetMode="External"/><Relationship Id="rId_hyperlink_183" Type="http://schemas.openxmlformats.org/officeDocument/2006/relationships/hyperlink" Target="http://dx.doi.org/10.1016/j.indic.2023.100324" TargetMode="External"/><Relationship Id="rId_hyperlink_184" Type="http://schemas.openxmlformats.org/officeDocument/2006/relationships/hyperlink" Target="https%3A%2F%2Fwww.webofscience.com%2Fwos%2Fwoscc%2Ffull-record%2F" TargetMode="External"/><Relationship Id="rId_hyperlink_185" Type="http://schemas.openxmlformats.org/officeDocument/2006/relationships/hyperlink" Target="http://dx.doi.org/10.1016/j.resconrec.2017.01.011" TargetMode="External"/><Relationship Id="rId_hyperlink_186" Type="http://schemas.openxmlformats.org/officeDocument/2006/relationships/hyperlink" Target="https%3A%2F%2Fwww.webofscience.com%2Fwos%2Fwoscc%2Ffull-record%2F" TargetMode="External"/><Relationship Id="rId_hyperlink_187" Type="http://schemas.openxmlformats.org/officeDocument/2006/relationships/hyperlink" Target="http://dx.doi.org/10.3390/buildings12030352" TargetMode="External"/><Relationship Id="rId_hyperlink_188" Type="http://schemas.openxmlformats.org/officeDocument/2006/relationships/hyperlink" Target="https%3A%2F%2Fwww.webofscience.com%2Fwos%2Fwoscc%2Ffull-record%2F" TargetMode="External"/><Relationship Id="rId_hyperlink_189" Type="http://schemas.openxmlformats.org/officeDocument/2006/relationships/hyperlink" Target="http://dx.doi.org/10.1016/j.resconrec.2017.05.005" TargetMode="External"/><Relationship Id="rId_hyperlink_190" Type="http://schemas.openxmlformats.org/officeDocument/2006/relationships/hyperlink" Target="https%3A%2F%2Fwww.webofscience.com%2Fwos%2Fwoscc%2Ffull-record%2F" TargetMode="External"/><Relationship Id="rId_hyperlink_191" Type="http://schemas.openxmlformats.org/officeDocument/2006/relationships/hyperlink" Target="http://dx.doi.org/10.1007/s00477-013-0830-y" TargetMode="External"/><Relationship Id="rId_hyperlink_192" Type="http://schemas.openxmlformats.org/officeDocument/2006/relationships/hyperlink" Target="https%3A%2F%2Fwww.webofscience.com%2Fwos%2Fwoscc%2Ffull-record%2F" TargetMode="External"/><Relationship Id="rId_hyperlink_193" Type="http://schemas.openxmlformats.org/officeDocument/2006/relationships/hyperlink" Target="http://dx.doi.org/10.3843/SusDev.15.4:12" TargetMode="External"/><Relationship Id="rId_hyperlink_194" Type="http://schemas.openxmlformats.org/officeDocument/2006/relationships/hyperlink" Target="https%3A%2F%2Fwww.webofscience.com%2Fwos%2Fwoscc%2Ffull-record%2F" TargetMode="External"/><Relationship Id="rId_hyperlink_195" Type="http://schemas.openxmlformats.org/officeDocument/2006/relationships/hyperlink" Target="http://dx.doi.org/10.1016/j.oneear.2020.02.004" TargetMode="External"/><Relationship Id="rId_hyperlink_196" Type="http://schemas.openxmlformats.org/officeDocument/2006/relationships/hyperlink" Target="https%3A%2F%2Fwww.webofscience.com%2Fwos%2Fwoscc%2Ffull-record%2F" TargetMode="External"/><Relationship Id="rId_hyperlink_197" Type="http://schemas.openxmlformats.org/officeDocument/2006/relationships/hyperlink" Target="http://dx.doi.org/10.1016/j.resconrec.2016.08.026" TargetMode="External"/><Relationship Id="rId_hyperlink_198" Type="http://schemas.openxmlformats.org/officeDocument/2006/relationships/hyperlink" Target="https%3A%2F%2Fwww.webofscience.com%2Fwos%2Fwoscc%2Ffull-record%2F" TargetMode="External"/><Relationship Id="rId_hyperlink_199" Type="http://schemas.openxmlformats.org/officeDocument/2006/relationships/hyperlink" Target="http://dx.doi.org/10.1016/j.envpol.2012.04.011" TargetMode="External"/><Relationship Id="rId_hyperlink_200" Type="http://schemas.openxmlformats.org/officeDocument/2006/relationships/hyperlink" Target="https%3A%2F%2Fwww.webofscience.com%2Fwos%2Fwoscc%2Ffull-record%2F" TargetMode="External"/><Relationship Id="rId_hyperlink_201" Type="http://schemas.openxmlformats.org/officeDocument/2006/relationships/hyperlink" Target="http://dx.doi.org/10.1111/jiec.13261" TargetMode="External"/><Relationship Id="rId_hyperlink_202" Type="http://schemas.openxmlformats.org/officeDocument/2006/relationships/hyperlink" Target="https%3A%2F%2Fwww.webofscience.com%2Fwos%2Fwoscc%2Ffull-record%2F" TargetMode="External"/><Relationship Id="rId_hyperlink_203" Type="http://schemas.openxmlformats.org/officeDocument/2006/relationships/hyperlink" Target="http://dx.doi.org/10.1016/j.envpol.2012.04.012" TargetMode="External"/><Relationship Id="rId_hyperlink_204" Type="http://schemas.openxmlformats.org/officeDocument/2006/relationships/hyperlink" Target="https%3A%2F%2Fwww.webofscience.com%2Fwos%2Fwoscc%2Ffull-record%2F" TargetMode="External"/><Relationship Id="rId_hyperlink_205" Type="http://schemas.openxmlformats.org/officeDocument/2006/relationships/hyperlink" Target="http://dx.doi.org/10.3389/frsc.2020.00004" TargetMode="External"/><Relationship Id="rId_hyperlink_206" Type="http://schemas.openxmlformats.org/officeDocument/2006/relationships/hyperlink" Target="https%3A%2F%2Fwww.webofscience.com%2Fwos%2Fwoscc%2Ffull-record%2F" TargetMode="External"/><Relationship Id="rId_hyperlink_207" Type="http://schemas.openxmlformats.org/officeDocument/2006/relationships/hyperlink" Target="http://dx.doi.org/10.1639/0044-7447(2001)030[0429:ETITUM]2.0.CO;2" TargetMode="External"/><Relationship Id="rId_hyperlink_208" Type="http://schemas.openxmlformats.org/officeDocument/2006/relationships/hyperlink" Target="https%3A%2F%2Fwww.webofscience.com%2Fwos%2Fwoscc%2Ffull-record%2F" TargetMode="External"/><Relationship Id="rId_hyperlink_209" Type="http://schemas.openxmlformats.org/officeDocument/2006/relationships/hyperlink" Target="http://dx.doi.org/10.1016/j.envpol.2012.04.013" TargetMode="External"/><Relationship Id="rId_hyperlink_210" Type="http://schemas.openxmlformats.org/officeDocument/2006/relationships/hyperlink" Target="https%3A%2F%2Fwww.webofscience.com%2Fwos%2Fwoscc%2Ffull-record%2F" TargetMode="External"/><Relationship Id="rId_hyperlink_211" Type="http://schemas.openxmlformats.org/officeDocument/2006/relationships/hyperlink" Target="http://dx.doi.org/10.1016/j.ecolind.2022.108593" TargetMode="External"/><Relationship Id="rId_hyperlink_212" Type="http://schemas.openxmlformats.org/officeDocument/2006/relationships/hyperlink" Target="https%3A%2F%2Fwww.webofscience.com%2Fwos%2Fwoscc%2Ffull-record%2F" TargetMode="External"/><Relationship Id="rId_hyperlink_213" Type="http://schemas.openxmlformats.org/officeDocument/2006/relationships/hyperlink" Target="http://dx.doi.org/10.3390/en12214125" TargetMode="External"/><Relationship Id="rId_hyperlink_214" Type="http://schemas.openxmlformats.org/officeDocument/2006/relationships/hyperlink" Target="https%3A%2F%2Fwww.webofscience.com%2Fwos%2Fwoscc%2Ffull-record%2F" TargetMode="External"/><Relationship Id="rId_hyperlink_215" Type="http://schemas.openxmlformats.org/officeDocument/2006/relationships/hyperlink" Target="http://dx.doi.org/10.3390/su7067473" TargetMode="External"/><Relationship Id="rId_hyperlink_216" Type="http://schemas.openxmlformats.org/officeDocument/2006/relationships/hyperlink" Target="https%3A%2F%2Fwww.webofscience.com%2Fwos%2Fwoscc%2Ffull-record%2F" TargetMode="External"/><Relationship Id="rId_hyperlink_217" Type="http://schemas.openxmlformats.org/officeDocument/2006/relationships/hyperlink" Target="http://dx.doi.org/10.1111/jiec.12778" TargetMode="External"/><Relationship Id="rId_hyperlink_218" Type="http://schemas.openxmlformats.org/officeDocument/2006/relationships/hyperlink" Target="https%3A%2F%2Fwww.webofscience.com%2Fwos%2Fwoscc%2Ffull-record%2F" TargetMode="External"/><Relationship Id="rId_hyperlink_219" Type="http://schemas.openxmlformats.org/officeDocument/2006/relationships/hyperlink" Target="http://dx.doi.org/10.1080/02723638.2020.1848760" TargetMode="External"/><Relationship Id="rId_hyperlink_220" Type="http://schemas.openxmlformats.org/officeDocument/2006/relationships/hyperlink" Target="https%3A%2F%2Fwww.webofscience.com%2Fwos%2Fwoscc%2Ffull-record%2F" TargetMode="External"/><Relationship Id="rId_hyperlink_221" Type="http://schemas.openxmlformats.org/officeDocument/2006/relationships/hyperlink" Target="http://dx.doi.org/10.1177/10780874221080145" TargetMode="External"/><Relationship Id="rId_hyperlink_222" Type="http://schemas.openxmlformats.org/officeDocument/2006/relationships/hyperlink" Target="https%3A%2F%2Fwww.webofscience.com%2Fwos%2Fwoscc%2Ffull-record%2F" TargetMode="External"/><Relationship Id="rId_hyperlink_223" Type="http://schemas.openxmlformats.org/officeDocument/2006/relationships/hyperlink" Target="http://dx.doi.org/10.1016/j.resconrec.2017.12.019" TargetMode="External"/><Relationship Id="rId_hyperlink_224" Type="http://schemas.openxmlformats.org/officeDocument/2006/relationships/hyperlink" Target="https%3A%2F%2Fwww.webofscience.com%2Fwos%2Fwoscc%2Ffull-record%2F" TargetMode="External"/><Relationship Id="rId_hyperlink_225" Type="http://schemas.openxmlformats.org/officeDocument/2006/relationships/hyperlink" Target="http://dx.doi.org/10.1016/j.jag.2013.08.006" TargetMode="External"/><Relationship Id="rId_hyperlink_226" Type="http://schemas.openxmlformats.org/officeDocument/2006/relationships/hyperlink" Target="https%3A%2F%2Fwww.webofscience.com%2Fwos%2Fwoscc%2Ffull-record%2F" TargetMode="External"/><Relationship Id="rId_hyperlink_227" Type="http://schemas.openxmlformats.org/officeDocument/2006/relationships/hyperlink" Target="http://dx.doi.org/10.1080/13264826.2023.2272857" TargetMode="External"/><Relationship Id="rId_hyperlink_228" Type="http://schemas.openxmlformats.org/officeDocument/2006/relationships/hyperlink" Target="https%3A%2F%2Fwww.webofscience.com%2Fwos%2Fwoscc%2Ffull-record%2F" TargetMode="External"/><Relationship Id="rId_hyperlink_229" Type="http://schemas.openxmlformats.org/officeDocument/2006/relationships/hyperlink" Target="http://dx.doi.org/10.1016/j.envpol.2015.03.027" TargetMode="External"/><Relationship Id="rId_hyperlink_230" Type="http://schemas.openxmlformats.org/officeDocument/2006/relationships/hyperlink" Target="https%3A%2F%2Fwww.webofscience.com%2Fwos%2Fwoscc%2Ffull-record%2F" TargetMode="External"/><Relationship Id="rId_hyperlink_231" Type="http://schemas.openxmlformats.org/officeDocument/2006/relationships/hyperlink" Target="http://dx.doi.org/10.1016/j.resconrec.2017.07.032" TargetMode="External"/><Relationship Id="rId_hyperlink_232" Type="http://schemas.openxmlformats.org/officeDocument/2006/relationships/hyperlink" Target="https%3A%2F%2Fwww.webofscience.com%2Fwos%2Fwoscc%2Ffull-record%2F" TargetMode="External"/><Relationship Id="rId_hyperlink_233" Type="http://schemas.openxmlformats.org/officeDocument/2006/relationships/hyperlink" Target="http://dx.doi.org/10.1177/2399808318797131" TargetMode="External"/><Relationship Id="rId_hyperlink_234" Type="http://schemas.openxmlformats.org/officeDocument/2006/relationships/hyperlink" Target="https%3A%2F%2Fwww.webofscience.com%2Fwos%2Fwoscc%2Ffull-record%2F" TargetMode="External"/><Relationship Id="rId_hyperlink_235" Type="http://schemas.openxmlformats.org/officeDocument/2006/relationships/hyperlink" Target="http://dx.doi.org/10.1111/jiec.12083" TargetMode="External"/><Relationship Id="rId_hyperlink_236" Type="http://schemas.openxmlformats.org/officeDocument/2006/relationships/hyperlink" Target="https%3A%2F%2Fwww.webofscience.com%2Fwos%2Fwoscc%2Ffull-record%2F" TargetMode="External"/><Relationship Id="rId_hyperlink_237" Type="http://schemas.openxmlformats.org/officeDocument/2006/relationships/hyperlink" Target="http://dx.doi.org/10.1016/j.jclepro.2018.08.054" TargetMode="External"/><Relationship Id="rId_hyperlink_238" Type="http://schemas.openxmlformats.org/officeDocument/2006/relationships/hyperlink" Target="https%3A%2F%2Fwww.webofscience.com%2Fwos%2Fwoscc%2Ffull-record%2F" TargetMode="External"/><Relationship Id="rId_hyperlink_239" Type="http://schemas.openxmlformats.org/officeDocument/2006/relationships/hyperlink" Target="http://dx.doi.org/10.1016/j.jclepro.2015.10.118" TargetMode="External"/><Relationship Id="rId_hyperlink_240" Type="http://schemas.openxmlformats.org/officeDocument/2006/relationships/hyperlink" Target="https%3A%2F%2Fwww.webofscience.com%2Fwos%2Fwoscc%2Ffull-record%2F" TargetMode="External"/><Relationship Id="rId_hyperlink_241" Type="http://schemas.openxmlformats.org/officeDocument/2006/relationships/hyperlink" Target="http://dx.doi.org/10.1111/j.1530-9290.2011.00372.x" TargetMode="External"/><Relationship Id="rId_hyperlink_242" Type="http://schemas.openxmlformats.org/officeDocument/2006/relationships/hyperlink" Target="https%3A%2F%2Fwww.webofscience.com%2Fwos%2Fwoscc%2Ffull-record%2F" TargetMode="External"/><Relationship Id="rId_hyperlink_243" Type="http://schemas.openxmlformats.org/officeDocument/2006/relationships/hyperlink" Target="http://dx.doi.org/10.1111/jiec.12144" TargetMode="External"/><Relationship Id="rId_hyperlink_244" Type="http://schemas.openxmlformats.org/officeDocument/2006/relationships/hyperlink" Target="https%3A%2F%2Fwww.webofscience.com%2Fwos%2Fwoscc%2Ffull-record%2F" TargetMode="External"/><Relationship Id="rId_hyperlink_245" Type="http://schemas.openxmlformats.org/officeDocument/2006/relationships/hyperlink" Target="http://dx.doi.org/10.1080/19463138.2019.1618859" TargetMode="External"/><Relationship Id="rId_hyperlink_246" Type="http://schemas.openxmlformats.org/officeDocument/2006/relationships/hyperlink" Target="https%3A%2F%2Fwww.webofscience.com%2Fwos%2Fwoscc%2Ffull-record%2F" TargetMode="External"/><Relationship Id="rId_hyperlink_247" Type="http://schemas.openxmlformats.org/officeDocument/2006/relationships/hyperlink" Target="http://dx.doi.org/10.1016/j.ecoinf.2014.09.008" TargetMode="External"/><Relationship Id="rId_hyperlink_248" Type="http://schemas.openxmlformats.org/officeDocument/2006/relationships/hyperlink" Target="https%3A%2F%2Fwww.webofscience.com%2Fwos%2Fwoscc%2Ffull-record%2F" TargetMode="External"/><Relationship Id="rId_hyperlink_249" Type="http://schemas.openxmlformats.org/officeDocument/2006/relationships/hyperlink" Target="http://dx.doi.org/10.1016/j.jclepro.2017.05.143" TargetMode="External"/><Relationship Id="rId_hyperlink_250" Type="http://schemas.openxmlformats.org/officeDocument/2006/relationships/hyperlink" Target="https%3A%2F%2Fwww.webofscience.com%2Fwos%2Fwoscc%2Ffull-record%2F" TargetMode="External"/><Relationship Id="rId_hyperlink_251" Type="http://schemas.openxmlformats.org/officeDocument/2006/relationships/hyperlink" Target="http://dx.doi.org/10.1111/jiec.13056" TargetMode="External"/><Relationship Id="rId_hyperlink_252" Type="http://schemas.openxmlformats.org/officeDocument/2006/relationships/hyperlink" Target="https%3A%2F%2Fwww.webofscience.com%2Fwos%2Fwoscc%2Ffull-record%2F" TargetMode="External"/><Relationship Id="rId_hyperlink_253" Type="http://schemas.openxmlformats.org/officeDocument/2006/relationships/hyperlink" Target="http://dx.doi.org/10.1016/j.jclepro.2016.02.139" TargetMode="External"/><Relationship Id="rId_hyperlink_254" Type="http://schemas.openxmlformats.org/officeDocument/2006/relationships/hyperlink" Target="https%3A%2F%2Fwww.webofscience.com%2Fwos%2Fwoscc%2Ffull-record%2F" TargetMode="External"/><Relationship Id="rId_hyperlink_255" Type="http://schemas.openxmlformats.org/officeDocument/2006/relationships/hyperlink" Target="http://dx.doi.org/10.1007/s11252-015-0503-3" TargetMode="External"/><Relationship Id="rId_hyperlink_256" Type="http://schemas.openxmlformats.org/officeDocument/2006/relationships/hyperlink" Target="https%3A%2F%2Fwww.webofscience.com%2Fwos%2Fwoscc%2Ffull-record%2F" TargetMode="External"/><Relationship Id="rId_hyperlink_257" Type="http://schemas.openxmlformats.org/officeDocument/2006/relationships/hyperlink" Target="http://dx.doi.org/10.1016/j.jclepro.2019.01.021" TargetMode="External"/><Relationship Id="rId_hyperlink_258" Type="http://schemas.openxmlformats.org/officeDocument/2006/relationships/hyperlink" Target="https%3A%2F%2Fwww.webofscience.com%2Fwos%2Fwoscc%2Ffull-record%2F" TargetMode="External"/><Relationship Id="rId_hyperlink_259" Type="http://schemas.openxmlformats.org/officeDocument/2006/relationships/hyperlink" Target="http://dx.doi.org/10.1111/jiec.12451" TargetMode="External"/><Relationship Id="rId_hyperlink_260" Type="http://schemas.openxmlformats.org/officeDocument/2006/relationships/hyperlink" Target="https%3A%2F%2Fwww.webofscience.com%2Fwos%2Fwoscc%2Ffull-record%2F" TargetMode="External"/><Relationship Id="rId_hyperlink_261" Type="http://schemas.openxmlformats.org/officeDocument/2006/relationships/hyperlink" Target="http://dx.doi.org/10.1016/j.ecolind.2014.02.035" TargetMode="External"/><Relationship Id="rId_hyperlink_262" Type="http://schemas.openxmlformats.org/officeDocument/2006/relationships/hyperlink" Target="https%3A%2F%2Fwww.webofscience.com%2Fwos%2Fwoscc%2Ffull-record%2F" TargetMode="External"/><Relationship Id="rId_hyperlink_263" Type="http://schemas.openxmlformats.org/officeDocument/2006/relationships/hyperlink" Target="http://dx.doi.org/10.1016/S0169-2046(02)00152-4" TargetMode="External"/><Relationship Id="rId_hyperlink_264" Type="http://schemas.openxmlformats.org/officeDocument/2006/relationships/hyperlink" Target="https%3A%2F%2Fwww.webofscience.com%2Fwos%2Fwoscc%2Ffull-record%2F" TargetMode="External"/><Relationship Id="rId_hyperlink_265" Type="http://schemas.openxmlformats.org/officeDocument/2006/relationships/hyperlink" Target="http://dx.doi.org/10.1016/j.scitotenv.2021.150700" TargetMode="External"/><Relationship Id="rId_hyperlink_266" Type="http://schemas.openxmlformats.org/officeDocument/2006/relationships/hyperlink" Target="https%3A%2F%2Fwww.webofscience.com%2Fwos%2Fwoscc%2Ffull-record%2F" TargetMode="External"/><Relationship Id="rId_hyperlink_267" Type="http://schemas.openxmlformats.org/officeDocument/2006/relationships/hyperlink" Target="http://dx.doi.org/10.1016/j.cities.2019.102388" TargetMode="External"/><Relationship Id="rId_hyperlink_268" Type="http://schemas.openxmlformats.org/officeDocument/2006/relationships/hyperlink" Target="https%3A%2F%2Fwww.webofscience.com%2Fwos%2Fwoscc%2Ffull-record%2F" TargetMode="External"/><Relationship Id="rId_hyperlink_269" Type="http://schemas.openxmlformats.org/officeDocument/2006/relationships/hyperlink" Target="http://dx.doi.org/10.1016/j.scs.2022.103754" TargetMode="External"/><Relationship Id="rId_hyperlink_270" Type="http://schemas.openxmlformats.org/officeDocument/2006/relationships/hyperlink" Target="https%3A%2F%2Fwww.webofscience.com%2Fwos%2Fwoscc%2Ffull-record%2F" TargetMode="External"/><Relationship Id="rId_hyperlink_271" Type="http://schemas.openxmlformats.org/officeDocument/2006/relationships/hyperlink" Target="http://dx.doi.org/10.1111/jiec.12308" TargetMode="External"/><Relationship Id="rId_hyperlink_272" Type="http://schemas.openxmlformats.org/officeDocument/2006/relationships/hyperlink" Target="https%3A%2F%2Fwww.webofscience.com%2Fwos%2Fwoscc%2Ffull-record%2F" TargetMode="External"/><Relationship Id="rId_hyperlink_273" Type="http://schemas.openxmlformats.org/officeDocument/2006/relationships/hyperlink" Target="http://dx.doi.org/10.3390/foods10112842" TargetMode="External"/><Relationship Id="rId_hyperlink_274" Type="http://schemas.openxmlformats.org/officeDocument/2006/relationships/hyperlink" Target="https%3A%2F%2Fwww.webofscience.com%2Fwos%2Fwoscc%2Ffull-record%2F" TargetMode="External"/><Relationship Id="rId_hyperlink_275" Type="http://schemas.openxmlformats.org/officeDocument/2006/relationships/hyperlink" Target="http://dx.doi.org/10.1016/j.jclepro.2022.132067" TargetMode="External"/><Relationship Id="rId_hyperlink_276" Type="http://schemas.openxmlformats.org/officeDocument/2006/relationships/hyperlink" Target="https%3A%2F%2Fwww.webofscience.com%2Fwos%2Fwoscc%2Ffull-record%2F" TargetMode="External"/><Relationship Id="rId_hyperlink_277" Type="http://schemas.openxmlformats.org/officeDocument/2006/relationships/hyperlink" Target="http://dx.doi.org/10.3390/en13092243" TargetMode="External"/><Relationship Id="rId_hyperlink_278" Type="http://schemas.openxmlformats.org/officeDocument/2006/relationships/hyperlink" Target="https%3A%2F%2Fwww.webofscience.com%2Fwos%2Fwoscc%2Ffull-record%2F" TargetMode="External"/><Relationship Id="rId_hyperlink_279" Type="http://schemas.openxmlformats.org/officeDocument/2006/relationships/hyperlink" Target="http://dx.doi.org/10.1111/jiec.12428" TargetMode="External"/><Relationship Id="rId_hyperlink_280" Type="http://schemas.openxmlformats.org/officeDocument/2006/relationships/hyperlink" Target="https%3A%2F%2Fwww.webofscience.com%2Fwos%2Fwoscc%2Ffull-record%2F" TargetMode="External"/><Relationship Id="rId_hyperlink_281" Type="http://schemas.openxmlformats.org/officeDocument/2006/relationships/hyperlink" Target="http://dx.doi.org/10.1111/jiec.12172" TargetMode="External"/><Relationship Id="rId_hyperlink_282" Type="http://schemas.openxmlformats.org/officeDocument/2006/relationships/hyperlink" Target="https%3A%2F%2Fwww.webofscience.com%2Fwos%2Fwoscc%2Ffull-record%2F" TargetMode="External"/><Relationship Id="rId_hyperlink_283" Type="http://schemas.openxmlformats.org/officeDocument/2006/relationships/hyperlink" Target="http://dx.doi.org/10.13128/techne-8176" TargetMode="External"/><Relationship Id="rId_hyperlink_284" Type="http://schemas.openxmlformats.org/officeDocument/2006/relationships/hyperlink" Target="https%3A%2F%2Fwww.webofscience.com%2Fwos%2Fwoscc%2Ffull-record%2F" TargetMode="External"/><Relationship Id="rId_hyperlink_285" Type="http://schemas.openxmlformats.org/officeDocument/2006/relationships/hyperlink" Target="http://dx.doi.org/10.1016/j.resconrec.2012.01.014" TargetMode="External"/><Relationship Id="rId_hyperlink_286" Type="http://schemas.openxmlformats.org/officeDocument/2006/relationships/hyperlink" Target="https%3A%2F%2Fwww.webofscience.com%2Fwos%2Fwoscc%2Ffull-record%2F" TargetMode="External"/><Relationship Id="rId_hyperlink_287" Type="http://schemas.openxmlformats.org/officeDocument/2006/relationships/hyperlink" Target="http://dx.doi.org/10.3390/su12177129" TargetMode="External"/><Relationship Id="rId_hyperlink_288" Type="http://schemas.openxmlformats.org/officeDocument/2006/relationships/hyperlink" Target="https%3A%2F%2Fwww.webofscience.com%2Fwos%2Fwoscc%2Ffull-record%2F" TargetMode="External"/><Relationship Id="rId_hyperlink_289" Type="http://schemas.openxmlformats.org/officeDocument/2006/relationships/hyperlink" Target="http://dx.doi.org/10.1080/00330124.2014.905158" TargetMode="External"/><Relationship Id="rId_hyperlink_290" Type="http://schemas.openxmlformats.org/officeDocument/2006/relationships/hyperlink" Target="https%3A%2F%2Fwww.webofscience.com%2Fwos%2Fwoscc%2Ffull-record%2F" TargetMode="External"/><Relationship Id="rId_hyperlink_291" Type="http://schemas.openxmlformats.org/officeDocument/2006/relationships/hyperlink" Target="http://dx.doi.org/10.1016/j.pce.2017.01.024" TargetMode="External"/><Relationship Id="rId_hyperlink_292" Type="http://schemas.openxmlformats.org/officeDocument/2006/relationships/hyperlink" Target="https%3A%2F%2Fwww.webofscience.com%2Fwos%2Fwoscc%2Ffull-record%2F" TargetMode="External"/><Relationship Id="rId_hyperlink_293" Type="http://schemas.openxmlformats.org/officeDocument/2006/relationships/hyperlink" Target="http://dx.doi.org/10.31025/2611-4135/2020.13975" TargetMode="External"/><Relationship Id="rId_hyperlink_294" Type="http://schemas.openxmlformats.org/officeDocument/2006/relationships/hyperlink" Target="https%3A%2F%2Fwww.webofscience.com%2Fwos%2Fwoscc%2Ffull-record%2F" TargetMode="External"/><Relationship Id="rId_hyperlink_295" Type="http://schemas.openxmlformats.org/officeDocument/2006/relationships/hyperlink" Target="http://dx.doi.org/10.2166/wst.2019.139" TargetMode="External"/><Relationship Id="rId_hyperlink_296" Type="http://schemas.openxmlformats.org/officeDocument/2006/relationships/hyperlink" Target="https%3A%2F%2Fwww.webofscience.com%2Fwos%2Fwoscc%2Ffull-record%2F" TargetMode="External"/><Relationship Id="rId_hyperlink_297" Type="http://schemas.openxmlformats.org/officeDocument/2006/relationships/hyperlink" Target="http://dx.doi.org/10.1111/jiec.12919" TargetMode="External"/><Relationship Id="rId_hyperlink_298" Type="http://schemas.openxmlformats.org/officeDocument/2006/relationships/hyperlink" Target="https%3A%2F%2Fwww.webofscience.com%2Fwos%2Fwoscc%2Ffull-record%2F" TargetMode="External"/><Relationship Id="rId_hyperlink_299" Type="http://schemas.openxmlformats.org/officeDocument/2006/relationships/hyperlink" Target="http://dx.doi.org/10.1111/jiec.12844" TargetMode="External"/><Relationship Id="rId_hyperlink_300" Type="http://schemas.openxmlformats.org/officeDocument/2006/relationships/hyperlink" Target="https%3A%2F%2Fwww.webofscience.com%2Fwos%2Fwoscc%2Ffull-record%2F" TargetMode="External"/><Relationship Id="rId_hyperlink_301" Type="http://schemas.openxmlformats.org/officeDocument/2006/relationships/hyperlink" Target="http://dx.doi.org/10.1016/j.jclepro.2016.05.174" TargetMode="External"/><Relationship Id="rId_hyperlink_302" Type="http://schemas.openxmlformats.org/officeDocument/2006/relationships/hyperlink" Target="https%3A%2F%2Fwww.webofscience.com%2Fwos%2Fwoscc%2Ffull-record%2F" TargetMode="External"/><Relationship Id="rId_hyperlink_303" Type="http://schemas.openxmlformats.org/officeDocument/2006/relationships/hyperlink" Target="http://dx.doi.org/10.2166/wcc.2013.188" TargetMode="External"/><Relationship Id="rId_hyperlink_304" Type="http://schemas.openxmlformats.org/officeDocument/2006/relationships/hyperlink" Target="https%3A%2F%2Fwww.webofscience.com%2Fwos%2Fwoscc%2Ffull-record%2F" TargetMode="External"/><Relationship Id="rId_hyperlink_305" Type="http://schemas.openxmlformats.org/officeDocument/2006/relationships/hyperlink" Target="http://dx.doi.org/10.1007/s11769-014-0680-7" TargetMode="External"/><Relationship Id="rId_hyperlink_306" Type="http://schemas.openxmlformats.org/officeDocument/2006/relationships/hyperlink" Target="https%3A%2F%2Fwww.webofscience.com%2Fwos%2Fwoscc%2Ffull-record%2F" TargetMode="External"/><Relationship Id="rId_hyperlink_307" Type="http://schemas.openxmlformats.org/officeDocument/2006/relationships/hyperlink" Target="http://dx.doi.org/10.1111/j.1530-9290.2012.00567.x" TargetMode="External"/><Relationship Id="rId_hyperlink_308" Type="http://schemas.openxmlformats.org/officeDocument/2006/relationships/hyperlink" Target="https%3A%2F%2Fwww.webofscience.com%2Fwos%2Fwoscc%2Ffull-record%2F" TargetMode="External"/><Relationship Id="rId_hyperlink_309" Type="http://schemas.openxmlformats.org/officeDocument/2006/relationships/hyperlink" Target="http://dx.doi.org/10.3390/environments10010013" TargetMode="External"/><Relationship Id="rId_hyperlink_310" Type="http://schemas.openxmlformats.org/officeDocument/2006/relationships/hyperlink" Target="https%3A%2F%2Fwww.webofscience.com%2Fwos%2Fwoscc%2Ffull-record%2F" TargetMode="External"/><Relationship Id="rId_hyperlink_311" Type="http://schemas.openxmlformats.org/officeDocument/2006/relationships/hyperlink" Target="http://dx.doi.org/10.1111/jiec.12429" TargetMode="External"/><Relationship Id="rId_hyperlink_312" Type="http://schemas.openxmlformats.org/officeDocument/2006/relationships/hyperlink" Target="https%3A%2F%2Fwww.webofscience.com%2Fwos%2Fwoscc%2Ffull-record%2F" TargetMode="External"/><Relationship Id="rId_hyperlink_313" Type="http://schemas.openxmlformats.org/officeDocument/2006/relationships/hyperlink" Target="http://dx.doi.org/10.1111/j.1530-9290.2011.00343.x" TargetMode="External"/><Relationship Id="rId_hyperlink_314" Type="http://schemas.openxmlformats.org/officeDocument/2006/relationships/hyperlink" Target="https%3A%2F%2Fwww.webofscience.com%2Fwos%2Fwoscc%2Ffull-record%2F" TargetMode="External"/><Relationship Id="rId_hyperlink_315" Type="http://schemas.openxmlformats.org/officeDocument/2006/relationships/hyperlink" Target="http://dx.doi.org/10.3390/su9122341" TargetMode="External"/><Relationship Id="rId_hyperlink_316" Type="http://schemas.openxmlformats.org/officeDocument/2006/relationships/hyperlink" Target="https%3A%2F%2Fwww.webofscience.com%2Fwos%2Fwoscc%2Ffull-record%2F" TargetMode="External"/><Relationship Id="rId_hyperlink_317" Type="http://schemas.openxmlformats.org/officeDocument/2006/relationships/hyperlink" Target="http://dx.doi.org/10.1111/jiec.13424" TargetMode="External"/><Relationship Id="rId_hyperlink_318" Type="http://schemas.openxmlformats.org/officeDocument/2006/relationships/hyperlink" Target="https%3A%2F%2Fwww.webofscience.com%2Fwos%2Fwoscc%2Ffull-record%2F" TargetMode="External"/><Relationship Id="rId_hyperlink_319" Type="http://schemas.openxmlformats.org/officeDocument/2006/relationships/hyperlink" Target="http://dx.doi.org/10.15302/J-LAF-1-020015" TargetMode="External"/><Relationship Id="rId_hyperlink_320" Type="http://schemas.openxmlformats.org/officeDocument/2006/relationships/hyperlink" Target="https%3A%2F%2Fwww.webofscience.com%2Fwos%2Fwoscc%2Ffull-record%2F" TargetMode="External"/><Relationship Id="rId_hyperlink_321" Type="http://schemas.openxmlformats.org/officeDocument/2006/relationships/hyperlink" Target="http://dx.doi.org/10.1016/j.jclepro.2020.120310" TargetMode="External"/><Relationship Id="rId_hyperlink_322" Type="http://schemas.openxmlformats.org/officeDocument/2006/relationships/hyperlink" Target="https%3A%2F%2Fwww.webofscience.com%2Fwos%2Fwoscc%2Ffull-record%2F" TargetMode="External"/><Relationship Id="rId_hyperlink_323" Type="http://schemas.openxmlformats.org/officeDocument/2006/relationships/hyperlink" Target="http://dx.doi.org/10.1016/j.cosust.2010.06.004" TargetMode="External"/><Relationship Id="rId_hyperlink_324" Type="http://schemas.openxmlformats.org/officeDocument/2006/relationships/hyperlink" Target="https%3A%2F%2Fwww.webofscience.com%2Fwos%2Fwoscc%2Ffull-record%2F" TargetMode="External"/><Relationship Id="rId_hyperlink_325" Type="http://schemas.openxmlformats.org/officeDocument/2006/relationships/hyperlink" Target="http://dx.doi.org/10.3390/su132212724" TargetMode="External"/><Relationship Id="rId_hyperlink_326" Type="http://schemas.openxmlformats.org/officeDocument/2006/relationships/hyperlink" Target="https%3A%2F%2Fwww.webofscience.com%2Fwos%2Fwoscc%2Ffull-record%2F" TargetMode="External"/><Relationship Id="rId_hyperlink_327" Type="http://schemas.openxmlformats.org/officeDocument/2006/relationships/hyperlink" Target="http://dx.doi.org/10.1016/j.cities.2021.103336" TargetMode="External"/><Relationship Id="rId_hyperlink_328" Type="http://schemas.openxmlformats.org/officeDocument/2006/relationships/hyperlink" Target="https%3A%2F%2Fwww.webofscience.com%2Fwos%2Fwoscc%2Ffull-record%2F" TargetMode="External"/><Relationship Id="rId_hyperlink_329" Type="http://schemas.openxmlformats.org/officeDocument/2006/relationships/hyperlink" Target="http://dx.doi.org/10.1111/j.1530-9290.2012.00486.x" TargetMode="External"/><Relationship Id="rId_hyperlink_330" Type="http://schemas.openxmlformats.org/officeDocument/2006/relationships/hyperlink" Target="https%3A%2F%2Fwww.webofscience.com%2Fwos%2Fwoscc%2Ffull-record%2F" TargetMode="External"/><Relationship Id="rId_hyperlink_331" Type="http://schemas.openxmlformats.org/officeDocument/2006/relationships/hyperlink" Target="http://dx.doi.org/10.1021/acs.est.5b03060" TargetMode="External"/><Relationship Id="rId_hyperlink_332" Type="http://schemas.openxmlformats.org/officeDocument/2006/relationships/hyperlink" Target="https%3A%2F%2Fwww.webofscience.com%2Fwos%2Fwoscc%2Ffull-record%2F" TargetMode="External"/><Relationship Id="rId_hyperlink_333" Type="http://schemas.openxmlformats.org/officeDocument/2006/relationships/hyperlink" Target="http://dx.doi.org/10.13044/j.sdewes.d10.0432" TargetMode="External"/><Relationship Id="rId_hyperlink_334" Type="http://schemas.openxmlformats.org/officeDocument/2006/relationships/hyperlink" Target="https%3A%2F%2Fwww.webofscience.com%2Fwos%2Fwoscc%2Ffull-record%2F" TargetMode="External"/><Relationship Id="rId_hyperlink_335" Type="http://schemas.openxmlformats.org/officeDocument/2006/relationships/hyperlink" Target="http://dx.doi.org/10.3390/su8030275" TargetMode="External"/><Relationship Id="rId_hyperlink_336" Type="http://schemas.openxmlformats.org/officeDocument/2006/relationships/hyperlink" Target="https%3A%2F%2Fwww.webofscience.com%2Fwos%2Fwoscc%2Ffull-record%2F" TargetMode="External"/><Relationship Id="rId_hyperlink_337" Type="http://schemas.openxmlformats.org/officeDocument/2006/relationships/hyperlink" Target="http://dx.doi.org/10.1111/jiec.12517" TargetMode="External"/><Relationship Id="rId_hyperlink_338" Type="http://schemas.openxmlformats.org/officeDocument/2006/relationships/hyperlink" Target="https%3A%2F%2Fwww.webofscience.com%2Fwos%2Fwoscc%2Ffull-record%2F" TargetMode="External"/><Relationship Id="rId_hyperlink_339" Type="http://schemas.openxmlformats.org/officeDocument/2006/relationships/hyperlink" Target="http://dx.doi.org/10.3895/1s.v1853.15721" TargetMode="External"/><Relationship Id="rId_hyperlink_340" Type="http://schemas.openxmlformats.org/officeDocument/2006/relationships/hyperlink" Target="https%3A%2F%2Fwww.webofscience.com%2Fwos%2Fwoscc%2Ffull-record%2F" TargetMode="External"/><Relationship Id="rId_hyperlink_341" Type="http://schemas.openxmlformats.org/officeDocument/2006/relationships/hyperlink" Target="http://dx.doi.org/10.1080/0377919X.2022.2133969" TargetMode="External"/><Relationship Id="rId_hyperlink_342" Type="http://schemas.openxmlformats.org/officeDocument/2006/relationships/hyperlink" Target="https%3A%2F%2Fwww.webofscience.com%2Fwos%2Fwoscc%2Ffull-record%2F" TargetMode="External"/><Relationship Id="rId_hyperlink_343" Type="http://schemas.openxmlformats.org/officeDocument/2006/relationships/hyperlink" Target="http://dx.doi.org/10.3390/environments10020014" TargetMode="External"/><Relationship Id="rId_hyperlink_344" Type="http://schemas.openxmlformats.org/officeDocument/2006/relationships/hyperlink" Target="https%3A%2F%2Fwww.webofscience.com%2Fwos%2Fwoscc%2Ffull-record%2F" TargetMode="External"/><Relationship Id="rId_hyperlink_345" Type="http://schemas.openxmlformats.org/officeDocument/2006/relationships/hyperlink" Target="http://dx.doi.org/10.1111/jiec.12336" TargetMode="External"/><Relationship Id="rId_hyperlink_346" Type="http://schemas.openxmlformats.org/officeDocument/2006/relationships/hyperlink" Target="https%3A%2F%2Fwww.webofscience.com%2Fwos%2Fwoscc%2Ffull-record%2F" TargetMode="External"/><Relationship Id="rId_hyperlink_347" Type="http://schemas.openxmlformats.org/officeDocument/2006/relationships/hyperlink" Target="http://dx.doi.org/10.1016/j.apenergy.2021.117254" TargetMode="External"/><Relationship Id="rId_hyperlink_348" Type="http://schemas.openxmlformats.org/officeDocument/2006/relationships/hyperlink" Target="https%3A%2F%2Fwww.webofscience.com%2Fwos%2Fwoscc%2Ffull-record%2F" TargetMode="External"/><Relationship Id="rId_hyperlink_349" Type="http://schemas.openxmlformats.org/officeDocument/2006/relationships/hyperlink" Target="http://dx.doi.org/10.3390/su15031826" TargetMode="External"/><Relationship Id="rId_hyperlink_350" Type="http://schemas.openxmlformats.org/officeDocument/2006/relationships/hyperlink" Target="https%3A%2F%2Fwww.webofscience.com%2Fwos%2Fwoscc%2Ffull-record%2F" TargetMode="External"/><Relationship Id="rId_hyperlink_351" Type="http://schemas.openxmlformats.org/officeDocument/2006/relationships/hyperlink" Target="http://dx.doi.org/10.3390/su8101004" TargetMode="External"/><Relationship Id="rId_hyperlink_352" Type="http://schemas.openxmlformats.org/officeDocument/2006/relationships/hyperlink" Target="https%3A%2F%2Fwww.webofscience.com%2Fwos%2Fwoscc%2Ffull-record%2F" TargetMode="External"/><Relationship Id="rId_hyperlink_353" Type="http://schemas.openxmlformats.org/officeDocument/2006/relationships/hyperlink" Target="http://dx.doi.org/10.1016/j.jclepro.2015.05.099" TargetMode="External"/><Relationship Id="rId_hyperlink_354" Type="http://schemas.openxmlformats.org/officeDocument/2006/relationships/hyperlink" Target="https%3A%2F%2Fwww.webofscience.com%2Fwos%2Fwoscc%2Ffull-record%2F" TargetMode="External"/><Relationship Id="rId_hyperlink_355" Type="http://schemas.openxmlformats.org/officeDocument/2006/relationships/hyperlink" Target="http://dx.doi.org/10.1590/S1413-41522020191392" TargetMode="External"/><Relationship Id="rId_hyperlink_356" Type="http://schemas.openxmlformats.org/officeDocument/2006/relationships/hyperlink" Target="https%3A%2F%2Fwww.webofscience.com%2Fwos%2Fwoscc%2Ffull-record%2F" TargetMode="External"/><Relationship Id="rId_hyperlink_357" Type="http://schemas.openxmlformats.org/officeDocument/2006/relationships/hyperlink" Target="http://dx.doi.org/10.1088/1748-9326/8/3/035024" TargetMode="External"/><Relationship Id="rId_hyperlink_358" Type="http://schemas.openxmlformats.org/officeDocument/2006/relationships/hyperlink" Target="https%3A%2F%2Fwww.webofscience.com%2Fwos%2Fwoscc%2Ffull-record%2F" TargetMode="External"/><Relationship Id="rId_hyperlink_359" Type="http://schemas.openxmlformats.org/officeDocument/2006/relationships/hyperlink" Target="http://dx.doi.org/10.3390/su10061875" TargetMode="External"/><Relationship Id="rId_hyperlink_360" Type="http://schemas.openxmlformats.org/officeDocument/2006/relationships/hyperlink" Target="https%3A%2F%2Fwww.webofscience.com%2Fwos%2Fwoscc%2Ffull-record%2F" TargetMode="External"/><Relationship Id="rId_hyperlink_361" Type="http://schemas.openxmlformats.org/officeDocument/2006/relationships/hyperlink" Target="http://dx.doi.org/10.1162/jie.2007.1220" TargetMode="External"/><Relationship Id="rId_hyperlink_362" Type="http://schemas.openxmlformats.org/officeDocument/2006/relationships/hyperlink" Target="https%3A%2F%2Fwww.webofscience.com%2Fwos%2Fwoscc%2Ffull-record%2F" TargetMode="External"/><Relationship Id="rId_hyperlink_363" Type="http://schemas.openxmlformats.org/officeDocument/2006/relationships/hyperlink" Target="http://dx.doi.org/10.3390/su11072101" TargetMode="External"/><Relationship Id="rId_hyperlink_364" Type="http://schemas.openxmlformats.org/officeDocument/2006/relationships/hyperlink" Target="https%3A%2F%2Fwww.webofscience.com%2Fwos%2Fwoscc%2Ffull-record%2F" TargetMode="External"/><Relationship Id="rId_hyperlink_365" Type="http://schemas.openxmlformats.org/officeDocument/2006/relationships/hyperlink" Target="http://dx.doi.org/10.1080/24694452.2021.1956875" TargetMode="External"/><Relationship Id="rId_hyperlink_366" Type="http://schemas.openxmlformats.org/officeDocument/2006/relationships/hyperlink" Target="https%3A%2F%2Fwww.webofscience.com%2Fwos%2Fwoscc%2Ffull-record%2F" TargetMode="External"/><Relationship Id="rId_hyperlink_367" Type="http://schemas.openxmlformats.org/officeDocument/2006/relationships/hyperlink" Target="http://dx.doi.org/10.1016/j.apenergy.2016.10.069" TargetMode="External"/><Relationship Id="rId_hyperlink_368" Type="http://schemas.openxmlformats.org/officeDocument/2006/relationships/hyperlink" Target="https%3A%2F%2Fwww.webofscience.com%2Fwos%2Fwoscc%2Ffull-record%2F" TargetMode="External"/><Relationship Id="rId_hyperlink_369" Type="http://schemas.openxmlformats.org/officeDocument/2006/relationships/hyperlink" Target="http://dx.doi.org/10.1061/(ASCE)0733-9488(2008)134:1(21)" TargetMode="External"/><Relationship Id="rId_hyperlink_370" Type="http://schemas.openxmlformats.org/officeDocument/2006/relationships/hyperlink" Target="https%3A%2F%2Fwww.webofscience.com%2Fwos%2Fwoscc%2Ffull-record%2F" TargetMode="External"/><Relationship Id="rId_hyperlink_371" Type="http://schemas.openxmlformats.org/officeDocument/2006/relationships/hyperlink" Target="http://dx.doi.org/10.1080/09640568.2014.951115" TargetMode="External"/><Relationship Id="rId_hyperlink_372" Type="http://schemas.openxmlformats.org/officeDocument/2006/relationships/hyperlink" Target="https%3A%2F%2Fwww.webofscience.com%2Fwos%2Fwoscc%2Ffull-record%2F" TargetMode="External"/><Relationship Id="rId_hyperlink_373" Type="http://schemas.openxmlformats.org/officeDocument/2006/relationships/hyperlink" Target="http://dx.doi.org/10.1016/j.ecolind.2020.106074" TargetMode="External"/><Relationship Id="rId_hyperlink_374" Type="http://schemas.openxmlformats.org/officeDocument/2006/relationships/hyperlink" Target="https%3A%2F%2Fwww.webofscience.com%2Fwos%2Fwoscc%2Ffull-record%2F" TargetMode="External"/><Relationship Id="rId_hyperlink_375" Type="http://schemas.openxmlformats.org/officeDocument/2006/relationships/hyperlink" Target="http://dx.doi.org/10.17645/up.v4i1.1988" TargetMode="External"/><Relationship Id="rId_hyperlink_376" Type="http://schemas.openxmlformats.org/officeDocument/2006/relationships/hyperlink" Target="https%3A%2F%2Fwww.webofscience.com%2Fwos%2Fwoscc%2Ffull-record%2F" TargetMode="External"/><Relationship Id="rId_hyperlink_377" Type="http://schemas.openxmlformats.org/officeDocument/2006/relationships/hyperlink" Target="http://dx.doi.org/10.3390/su8070635" TargetMode="External"/><Relationship Id="rId_hyperlink_378" Type="http://schemas.openxmlformats.org/officeDocument/2006/relationships/hyperlink" Target="https%3A%2F%2Fwww.webofscience.com%2Fwos%2Fwoscc%2Ffull-record%2F" TargetMode="External"/><Relationship Id="rId_hyperlink_379" Type="http://schemas.openxmlformats.org/officeDocument/2006/relationships/hyperlink" Target="http://dx.doi.org/10.1016/j.scitotenv.2016.12.022" TargetMode="External"/><Relationship Id="rId_hyperlink_380" Type="http://schemas.openxmlformats.org/officeDocument/2006/relationships/hyperlink" Target="https%3A%2F%2Fwww.webofscience.com%2Fwos%2Fwoscc%2Ffull-record%2F" TargetMode="External"/><Relationship Id="rId_hyperlink_381" Type="http://schemas.openxmlformats.org/officeDocument/2006/relationships/hyperlink" Target="http://dx.doi.org/10.1111/jiec.12359" TargetMode="External"/><Relationship Id="rId_hyperlink_382" Type="http://schemas.openxmlformats.org/officeDocument/2006/relationships/hyperlink" Target="https%3A%2F%2Fwww.webofscience.com%2Fwos%2Fwoscc%2Ffull-record%2F" TargetMode="External"/><Relationship Id="rId_hyperlink_383" Type="http://schemas.openxmlformats.org/officeDocument/2006/relationships/hyperlink" Target="http://dx.doi.org/10.1016/j.ecolecon.2019.106447" TargetMode="External"/><Relationship Id="rId_hyperlink_384" Type="http://schemas.openxmlformats.org/officeDocument/2006/relationships/hyperlink" Target="https%3A%2F%2Fwww.webofscience.com%2Fwos%2Fwoscc%2Ffull-record%2F" TargetMode="External"/><Relationship Id="rId_hyperlink_385" Type="http://schemas.openxmlformats.org/officeDocument/2006/relationships/hyperlink" Target="http://dx.doi.org/10.1111/jiec.12320" TargetMode="External"/><Relationship Id="rId_hyperlink_386" Type="http://schemas.openxmlformats.org/officeDocument/2006/relationships/hyperlink" Target="https%3A%2F%2Fwww.webofscience.com%2Fwos%2Fwoscc%2Ffull-record%2F" TargetMode="External"/><Relationship Id="rId_hyperlink_387" Type="http://schemas.openxmlformats.org/officeDocument/2006/relationships/hyperlink" Target="http://dx.doi.org/10.1111/jiec.12849" TargetMode="External"/><Relationship Id="rId_hyperlink_388" Type="http://schemas.openxmlformats.org/officeDocument/2006/relationships/hyperlink" Target="https%3A%2F%2Fwww.webofscience.com%2Fwos%2Fwoscc%2Ffull-record%2F" TargetMode="External"/><Relationship Id="rId_hyperlink_389" Type="http://schemas.openxmlformats.org/officeDocument/2006/relationships/hyperlink" Target="http://dx.doi.org/10.1016/j.cities.2016.12.018" TargetMode="External"/><Relationship Id="rId_hyperlink_390" Type="http://schemas.openxmlformats.org/officeDocument/2006/relationships/hyperlink" Target="https%3A%2F%2Fwww.webofscience.com%2Fwos%2Fwoscc%2Ffull-record%2F" TargetMode="External"/><Relationship Id="rId_hyperlink_391" Type="http://schemas.openxmlformats.org/officeDocument/2006/relationships/hyperlink" Target="http://dx.doi.org/10.14718/RevArq.2020.2551" TargetMode="External"/><Relationship Id="rId_hyperlink_392" Type="http://schemas.openxmlformats.org/officeDocument/2006/relationships/hyperlink" Target="https%3A%2F%2Fwww.webofscience.com%2Fwos%2Fwoscc%2Ffull-record%2F" TargetMode="External"/><Relationship Id="rId_hyperlink_393" Type="http://schemas.openxmlformats.org/officeDocument/2006/relationships/hyperlink" Target="http://dx.doi.org/10.1016/j.landurbplan.2013.09.004" TargetMode="External"/><Relationship Id="rId_hyperlink_394" Type="http://schemas.openxmlformats.org/officeDocument/2006/relationships/hyperlink" Target="https%3A%2F%2Fwww.webofscience.com%2Fwos%2Fwoscc%2Ffull-record%2F" TargetMode="External"/><Relationship Id="rId_hyperlink_395" Type="http://schemas.openxmlformats.org/officeDocument/2006/relationships/hyperlink" Target="http://dx.doi.org/10.1061/JSWBAY.0000916" TargetMode="External"/><Relationship Id="rId_hyperlink_396" Type="http://schemas.openxmlformats.org/officeDocument/2006/relationships/hyperlink" Target="https%3A%2F%2Fwww.webofscience.com%2Fwos%2Fwoscc%2Ffull-record%2F" TargetMode="External"/><Relationship Id="rId_hyperlink_397" Type="http://schemas.openxmlformats.org/officeDocument/2006/relationships/hyperlink" Target="http://dx.doi.org/10.1016/j.geoforum.2014.03.008" TargetMode="External"/><Relationship Id="rId_hyperlink_398" Type="http://schemas.openxmlformats.org/officeDocument/2006/relationships/hyperlink" Target="https%3A%2F%2Fwww.webofscience.com%2Fwos%2Fwoscc%2Ffull-record%2F" TargetMode="External"/><Relationship Id="rId_hyperlink_399" Type="http://schemas.openxmlformats.org/officeDocument/2006/relationships/hyperlink" Target="http://dx.doi.org/10.1016/j.resconrec.2016.08.019" TargetMode="External"/><Relationship Id="rId_hyperlink_400" Type="http://schemas.openxmlformats.org/officeDocument/2006/relationships/hyperlink" Target="https%3A%2F%2Fwww.webofscience.com%2Fwos%2Fwoscc%2Ffull-record%2F" TargetMode="External"/><Relationship Id="rId_hyperlink_401" Type="http://schemas.openxmlformats.org/officeDocument/2006/relationships/hyperlink" Target="http://dx.doi.org/10.1007/s13280-011-0232-7" TargetMode="External"/><Relationship Id="rId_hyperlink_402" Type="http://schemas.openxmlformats.org/officeDocument/2006/relationships/hyperlink" Target="https%3A%2F%2Fwww.webofscience.com%2Fwos%2Fwoscc%2Ffull-record%2F" TargetMode="External"/><Relationship Id="rId_hyperlink_403" Type="http://schemas.openxmlformats.org/officeDocument/2006/relationships/hyperlink" Target="http://dx.doi.org/10.1080/09640561003703772" TargetMode="External"/><Relationship Id="rId_hyperlink_404" Type="http://schemas.openxmlformats.org/officeDocument/2006/relationships/hyperlink" Target="https%3A%2F%2Fwww.webofscience.com%2Fwos%2Fwoscc%2Ffull-record%2F" TargetMode="External"/><Relationship Id="rId_hyperlink_405" Type="http://schemas.openxmlformats.org/officeDocument/2006/relationships/hyperlink" Target="http://dx.doi.org/10.1146/annurev-environ-012913-101223" TargetMode="External"/><Relationship Id="rId_hyperlink_406" Type="http://schemas.openxmlformats.org/officeDocument/2006/relationships/hyperlink" Target="https%3A%2F%2Fwww.webofscience.com%2Fwos%2Fwoscc%2Ffull-record%2F" TargetMode="External"/><Relationship Id="rId_hyperlink_407" Type="http://schemas.openxmlformats.org/officeDocument/2006/relationships/hyperlink" Target="http://dx.doi.org/10.1038/s41467-019-13757-3" TargetMode="External"/><Relationship Id="rId_hyperlink_408" Type="http://schemas.openxmlformats.org/officeDocument/2006/relationships/hyperlink" Target="https%3A%2F%2Fwww.webofscience.com%2Fwos%2Fwoscc%2Ffull-record%2F" TargetMode="External"/><Relationship Id="rId_hyperlink_409" Type="http://schemas.openxmlformats.org/officeDocument/2006/relationships/hyperlink" Target="http://dx.doi.org/10.1016/j.ecolmodel.2018.05.009" TargetMode="External"/><Relationship Id="rId_hyperlink_410" Type="http://schemas.openxmlformats.org/officeDocument/2006/relationships/hyperlink" Target="https%3A%2F%2Fwww.webofscience.com%2Fwos%2Fwoscc%2Ffull-record%2F" TargetMode="External"/><Relationship Id="rId_hyperlink_411" Type="http://schemas.openxmlformats.org/officeDocument/2006/relationships/hyperlink" Target="http://dx.doi.org/10.1016/j.envint.2016.04.036" TargetMode="External"/><Relationship Id="rId_hyperlink_412" Type="http://schemas.openxmlformats.org/officeDocument/2006/relationships/hyperlink" Target="https%3A%2F%2Fwww.webofscience.com%2Fwos%2Fwoscc%2Ffull-record%2F" TargetMode="External"/><Relationship Id="rId_hyperlink_413" Type="http://schemas.openxmlformats.org/officeDocument/2006/relationships/hyperlink" Target="http://dx.doi.org/10.1016/j.indic.2021.100154" TargetMode="External"/><Relationship Id="rId_hyperlink_414" Type="http://schemas.openxmlformats.org/officeDocument/2006/relationships/hyperlink" Target="https%3A%2F%2Fwww.webofscience.com%2Fwos%2Fwoscc%2Ffull-record%2F" TargetMode="External"/><Relationship Id="rId_hyperlink_415" Type="http://schemas.openxmlformats.org/officeDocument/2006/relationships/hyperlink" Target="http://dx.doi.org/10.1016/j.ecolmodel.2018.11.019" TargetMode="External"/><Relationship Id="rId_hyperlink_416" Type="http://schemas.openxmlformats.org/officeDocument/2006/relationships/hyperlink" Target="https%3A%2F%2Fwww.webofscience.com%2Fwos%2Fwoscc%2Ffull-record%2F" TargetMode="External"/><Relationship Id="rId_hyperlink_417" Type="http://schemas.openxmlformats.org/officeDocument/2006/relationships/hyperlink" Target="http://dx.doi.org/10.1111/jiec.12611" TargetMode="External"/><Relationship Id="rId_hyperlink_418" Type="http://schemas.openxmlformats.org/officeDocument/2006/relationships/hyperlink" Target="https%3A%2F%2Fwww.webofscience.com%2Fwos%2Fwoscc%2Ffull-record%2F" TargetMode="External"/><Relationship Id="rId_hyperlink_419" Type="http://schemas.openxmlformats.org/officeDocument/2006/relationships/hyperlink" Target="http://dx.doi.org/10.1016/j.jclepro.2020.123403" TargetMode="External"/><Relationship Id="rId_hyperlink_420" Type="http://schemas.openxmlformats.org/officeDocument/2006/relationships/hyperlink" Target="https%3A%2F%2Fwww.webofscience.com%2Fwos%2Fwoscc%2Ffull-record%2F" TargetMode="External"/><Relationship Id="rId_hyperlink_421" Type="http://schemas.openxmlformats.org/officeDocument/2006/relationships/hyperlink" Target="http://dx.doi.org/10.1016/j.ecolind.2019.105861" TargetMode="External"/><Relationship Id="rId_hyperlink_422" Type="http://schemas.openxmlformats.org/officeDocument/2006/relationships/hyperlink" Target="https%3A%2F%2Fwww.webofscience.com%2Fwos%2Fwoscc%2Ffull-record%2F" TargetMode="External"/><Relationship Id="rId_hyperlink_423" Type="http://schemas.openxmlformats.org/officeDocument/2006/relationships/hyperlink" Target="http://dx.doi.org/10.3390/en15145243" TargetMode="External"/><Relationship Id="rId_hyperlink_424" Type="http://schemas.openxmlformats.org/officeDocument/2006/relationships/hyperlink" Target="https%3A%2F%2Fwww.webofscience.com%2Fwos%2Fwoscc%2Ffull-record%2F" TargetMode="External"/><Relationship Id="rId_hyperlink_425" Type="http://schemas.openxmlformats.org/officeDocument/2006/relationships/hyperlink" Target="http://dx.doi.org/10.1016/j.jclepro.2017.07.055" TargetMode="External"/><Relationship Id="rId_hyperlink_426" Type="http://schemas.openxmlformats.org/officeDocument/2006/relationships/hyperlink" Target="https%3A%2F%2Fwww.webofscience.com%2Fwos%2Fwoscc%2Ffull-record%2F" TargetMode="External"/><Relationship Id="rId_hyperlink_427" Type="http://schemas.openxmlformats.org/officeDocument/2006/relationships/hyperlink" Target="http://dx.doi.org/10.1111/jiec.13434" TargetMode="External"/><Relationship Id="rId_hyperlink_428" Type="http://schemas.openxmlformats.org/officeDocument/2006/relationships/hyperlink" Target="https%3A%2F%2Fwww.webofscience.com%2Fwos%2Fwoscc%2Ffull-record%2F" TargetMode="External"/><Relationship Id="rId_hyperlink_429" Type="http://schemas.openxmlformats.org/officeDocument/2006/relationships/hyperlink" Target="http://dx.doi.org/10.3390/su9081481" TargetMode="External"/><Relationship Id="rId_hyperlink_430" Type="http://schemas.openxmlformats.org/officeDocument/2006/relationships/hyperlink" Target="https%3A%2F%2Fwww.webofscience.com%2Fwos%2Fwoscc%2Ffull-record%2F" TargetMode="External"/><Relationship Id="rId_hyperlink_431" Type="http://schemas.openxmlformats.org/officeDocument/2006/relationships/hyperlink" Target="http://dx.doi.org/10.1111/j.1530-9290.2009.00130.x" TargetMode="External"/><Relationship Id="rId_hyperlink_432" Type="http://schemas.openxmlformats.org/officeDocument/2006/relationships/hyperlink" Target="https%3A%2F%2Fwww.webofscience.com%2Fwos%2Fwoscc%2Ffull-record%2F" TargetMode="External"/><Relationship Id="rId_hyperlink_433" Type="http://schemas.openxmlformats.org/officeDocument/2006/relationships/hyperlink" Target="http://dx.doi.org/10.1016/j.resconrec.2018.06.010" TargetMode="External"/><Relationship Id="rId_hyperlink_434" Type="http://schemas.openxmlformats.org/officeDocument/2006/relationships/hyperlink" Target="https%3A%2F%2Fwww.webofscience.com%2Fwos%2Fwoscc%2Ffull-record%2F" TargetMode="External"/><Relationship Id="rId_hyperlink_435" Type="http://schemas.openxmlformats.org/officeDocument/2006/relationships/hyperlink" Target="http://dx.doi.org/10.3390/su11102766" TargetMode="External"/><Relationship Id="rId_hyperlink_436" Type="http://schemas.openxmlformats.org/officeDocument/2006/relationships/hyperlink" Target="https%3A%2F%2Fwww.webofscience.com%2Fwos%2Fwoscc%2Ffull-record%2F" TargetMode="External"/><Relationship Id="rId_hyperlink_437" Type="http://schemas.openxmlformats.org/officeDocument/2006/relationships/hyperlink" Target="http://dx.doi.org/10.1016/j.scitotenv.2019.01.252" TargetMode="External"/><Relationship Id="rId_hyperlink_438" Type="http://schemas.openxmlformats.org/officeDocument/2006/relationships/hyperlink" Target="https%3A%2F%2Fwww.webofscience.com%2Fwos%2Fwoscc%2Ffull-record%2F" TargetMode="External"/><Relationship Id="rId_hyperlink_439" Type="http://schemas.openxmlformats.org/officeDocument/2006/relationships/hyperlink" Target="http://dx.doi.org/10.1016/j.jenvman.2013.03.009" TargetMode="External"/><Relationship Id="rId_hyperlink_440" Type="http://schemas.openxmlformats.org/officeDocument/2006/relationships/hyperlink" Target="https%3A%2F%2Fwww.webofscience.com%2Fwos%2Fwoscc%2Ffull-record%2F" TargetMode="External"/><Relationship Id="rId_hyperlink_441" Type="http://schemas.openxmlformats.org/officeDocument/2006/relationships/hyperlink" Target="http://dx.doi.org/10.1080/1573062X.2015.1024686" TargetMode="External"/><Relationship Id="rId_hyperlink_442" Type="http://schemas.openxmlformats.org/officeDocument/2006/relationships/hyperlink" Target="https%3A%2F%2Fwww.webofscience.com%2Fwos%2Fwoscc%2Ffull-record%2F" TargetMode="External"/><Relationship Id="rId_hyperlink_443" Type="http://schemas.openxmlformats.org/officeDocument/2006/relationships/hyperlink" Target="http://dx.doi.org/10.1016/j.rser.2016.04.015" TargetMode="External"/><Relationship Id="rId_hyperlink_444" Type="http://schemas.openxmlformats.org/officeDocument/2006/relationships/hyperlink" Target="https%3A%2F%2Fwww.webofscience.com%2Fwos%2Fwoscc%2Ffull-record%2F" TargetMode="External"/><Relationship Id="rId_hyperlink_445" Type="http://schemas.openxmlformats.org/officeDocument/2006/relationships/hyperlink" Target="http://dx.doi.org/10.1016/j.ecolecon.2015.07.027" TargetMode="External"/><Relationship Id="rId_hyperlink_446" Type="http://schemas.openxmlformats.org/officeDocument/2006/relationships/hyperlink" Target="https%3A%2F%2Fwww.webofscience.com%2Fwos%2Fwoscc%2Ffull-record%2F" TargetMode="External"/><Relationship Id="rId_hyperlink_447" Type="http://schemas.openxmlformats.org/officeDocument/2006/relationships/hyperlink" Target="http://dx.doi.org/10.1007/s11355-019-00377-8" TargetMode="External"/><Relationship Id="rId_hyperlink_448" Type="http://schemas.openxmlformats.org/officeDocument/2006/relationships/hyperlink" Target="https%3A%2F%2Fwww.webofscience.com%2Fwos%2Fwoscc%2Ffull-record%2F" TargetMode="External"/><Relationship Id="rId_hyperlink_449" Type="http://schemas.openxmlformats.org/officeDocument/2006/relationships/hyperlink" Target="http://dx.doi.org/10.3389/frsc.2020.00040" TargetMode="External"/><Relationship Id="rId_hyperlink_450" Type="http://schemas.openxmlformats.org/officeDocument/2006/relationships/hyperlink" Target="https%3A%2F%2Fwww.webofscience.com%2Fwos%2Fwoscc%2Ffull-record%2F" TargetMode="External"/><Relationship Id="rId_hyperlink_451" Type="http://schemas.openxmlformats.org/officeDocument/2006/relationships/hyperlink" Target="http://dx.doi.org/10.17645/up.v4i1.1549" TargetMode="External"/><Relationship Id="rId_hyperlink_452" Type="http://schemas.openxmlformats.org/officeDocument/2006/relationships/hyperlink" Target="https%3A%2F%2Fwww.webofscience.com%2Fwos%2Fwoscc%2Ffull-record%2F" TargetMode="External"/><Relationship Id="rId_hyperlink_453" Type="http://schemas.openxmlformats.org/officeDocument/2006/relationships/hyperlink" Target="http://dx.doi.org/10.1177/23998083221140892" TargetMode="External"/><Relationship Id="rId_hyperlink_454" Type="http://schemas.openxmlformats.org/officeDocument/2006/relationships/hyperlink" Target="https%3A%2F%2Fwww.webofscience.com%2Fwos%2Fwoscc%2Ffull-record%2F" TargetMode="External"/><Relationship Id="rId_hyperlink_455" Type="http://schemas.openxmlformats.org/officeDocument/2006/relationships/hyperlink" Target="http://dx.doi.org/10.1111/jiec.12422" TargetMode="External"/><Relationship Id="rId_hyperlink_456" Type="http://schemas.openxmlformats.org/officeDocument/2006/relationships/hyperlink" Target="https%3A%2F%2Fwww.webofscience.com%2Fwos%2Fwoscc%2Ffull-record%2F" TargetMode="External"/><Relationship Id="rId_hyperlink_457" Type="http://schemas.openxmlformats.org/officeDocument/2006/relationships/hyperlink" Target="http://dx.doi.org/10.1111/1468-2427.12049" TargetMode="External"/><Relationship Id="rId_hyperlink_458" Type="http://schemas.openxmlformats.org/officeDocument/2006/relationships/hyperlink" Target="https%3A%2F%2Fwww.webofscience.com%2Fwos%2Fwoscc%2Ffull-record%2F" TargetMode="External"/><Relationship Id="rId_hyperlink_459" Type="http://schemas.openxmlformats.org/officeDocument/2006/relationships/hyperlink" Target="http://dx.doi.org/10.1016/j.landurbplan.2012.10.002" TargetMode="External"/><Relationship Id="rId_hyperlink_460" Type="http://schemas.openxmlformats.org/officeDocument/2006/relationships/hyperlink" Target="https%3A%2F%2Fwww.webofscience.com%2Fwos%2Fwoscc%2Ffull-record%2F" TargetMode="External"/><Relationship Id="rId_hyperlink_461" Type="http://schemas.openxmlformats.org/officeDocument/2006/relationships/hyperlink" Target="http://dx.doi.org/10.1016/j.geoforum.2012.02.006" TargetMode="External"/><Relationship Id="rId_hyperlink_462" Type="http://schemas.openxmlformats.org/officeDocument/2006/relationships/hyperlink" Target="https%3A%2F%2Fwww.webofscience.com%2Fwos%2Fwoscc%2Ffull-record%2F" TargetMode="External"/><Relationship Id="rId_hyperlink_463" Type="http://schemas.openxmlformats.org/officeDocument/2006/relationships/hyperlink" Target="http://dx.doi.org/10.14207/ejsd.2021.v10n4p121" TargetMode="External"/><Relationship Id="rId_hyperlink_464" Type="http://schemas.openxmlformats.org/officeDocument/2006/relationships/hyperlink" Target="https%3A%2F%2Fwww.webofscience.com%2Fwos%2Fwoscc%2Ffull-record%2F" TargetMode="External"/><Relationship Id="rId_hyperlink_465" Type="http://schemas.openxmlformats.org/officeDocument/2006/relationships/hyperlink" Target="http://dx.doi.org/10.1016/j.jclepro.2020.121770" TargetMode="External"/><Relationship Id="rId_hyperlink_466" Type="http://schemas.openxmlformats.org/officeDocument/2006/relationships/hyperlink" Target="https%3A%2F%2Fwww.webofscience.com%2Fwos%2Fwoscc%2Ffull-record%2F" TargetMode="External"/><Relationship Id="rId_hyperlink_467" Type="http://schemas.openxmlformats.org/officeDocument/2006/relationships/hyperlink" Target="http://dx.doi.org/10.1007/s11769-016-0830-1" TargetMode="External"/><Relationship Id="rId_hyperlink_468" Type="http://schemas.openxmlformats.org/officeDocument/2006/relationships/hyperlink" Target="https%3A%2F%2Fwww.webofscience.com%2Fwos%2Fwoscc%2Ffull-record%2F" TargetMode="External"/><Relationship Id="rId_hyperlink_469" Type="http://schemas.openxmlformats.org/officeDocument/2006/relationships/hyperlink" Target="http://dx.doi.org/10.1016/j.geoforum.2018.10.017" TargetMode="External"/><Relationship Id="rId_hyperlink_470" Type="http://schemas.openxmlformats.org/officeDocument/2006/relationships/hyperlink" Target="https%3A%2F%2Fwww.webofscience.com%2Fwos%2Fwoscc%2Ffull-record%2F" TargetMode="External"/><Relationship Id="rId_hyperlink_471" Type="http://schemas.openxmlformats.org/officeDocument/2006/relationships/hyperlink" Target="http://dx.doi.org/10.1016/j.ecolmodel.2014.06.001" TargetMode="External"/><Relationship Id="rId_hyperlink_472" Type="http://schemas.openxmlformats.org/officeDocument/2006/relationships/hyperlink" Target="https%3A%2F%2Fwww.webofscience.com%2Fwos%2Fwoscc%2Ffull-record%2F" TargetMode="External"/><Relationship Id="rId_hyperlink_473" Type="http://schemas.openxmlformats.org/officeDocument/2006/relationships/hyperlink" Target="http://dx.doi.org/10.3390/su7078461" TargetMode="External"/><Relationship Id="rId_hyperlink_474" Type="http://schemas.openxmlformats.org/officeDocument/2006/relationships/hyperlink" Target="https%3A%2F%2Fwww.webofscience.com%2Fwos%2Fwoscc%2Ffull-record%2F" TargetMode="External"/><Relationship Id="rId_hyperlink_475" Type="http://schemas.openxmlformats.org/officeDocument/2006/relationships/hyperlink" Target="http://dx.doi.org/10.1680/ensu.12.00038" TargetMode="External"/><Relationship Id="rId_hyperlink_476" Type="http://schemas.openxmlformats.org/officeDocument/2006/relationships/hyperlink" Target="https%3A%2F%2Fwww.webofscience.com%2Fwos%2Fwoscc%2Ffull-record%2F" TargetMode="External"/><Relationship Id="rId_hyperlink_477" Type="http://schemas.openxmlformats.org/officeDocument/2006/relationships/hyperlink" Target="http://dx.doi.org/10.3390/su14031569" TargetMode="External"/><Relationship Id="rId_hyperlink_478" Type="http://schemas.openxmlformats.org/officeDocument/2006/relationships/hyperlink" Target="https%3A%2F%2Fwww.webofscience.com%2Fwos%2Fwoscc%2Ffull-record%2F" TargetMode="External"/><Relationship Id="rId_hyperlink_479" Type="http://schemas.openxmlformats.org/officeDocument/2006/relationships/hyperlink" Target="http://dx.doi.org/10.1016/j.jenvman.2020.110315" TargetMode="External"/><Relationship Id="rId_hyperlink_480" Type="http://schemas.openxmlformats.org/officeDocument/2006/relationships/hyperlink" Target="https%3A%2F%2Fwww.webofscience.com%2Fwos%2Fwoscc%2Ffull-record%2F" TargetMode="External"/><Relationship Id="rId_hyperlink_481" Type="http://schemas.openxmlformats.org/officeDocument/2006/relationships/hyperlink" Target="http://dx.doi.org/10.1016/j.regsus.2020.07.001" TargetMode="External"/><Relationship Id="rId_hyperlink_482" Type="http://schemas.openxmlformats.org/officeDocument/2006/relationships/hyperlink" Target="https%3A%2F%2Fwww.webofscience.com%2Fwos%2Fwoscc%2Ffull-record%2F" TargetMode="External"/><Relationship Id="rId_hyperlink_483" Type="http://schemas.openxmlformats.org/officeDocument/2006/relationships/hyperlink" Target="http://dx.doi.org/10.1016/j.jenvman.2021.112715" TargetMode="External"/><Relationship Id="rId_hyperlink_484" Type="http://schemas.openxmlformats.org/officeDocument/2006/relationships/hyperlink" Target="https%3A%2F%2Fwww.webofscience.com%2Fwos%2Fwoscc%2Ffull-record%2F" TargetMode="External"/><Relationship Id="rId_hyperlink_485" Type="http://schemas.openxmlformats.org/officeDocument/2006/relationships/hyperlink" Target="http://dx.doi.org/10.1016/j.ecolmodel.2018.04.020" TargetMode="External"/><Relationship Id="rId_hyperlink_486" Type="http://schemas.openxmlformats.org/officeDocument/2006/relationships/hyperlink" Target="https%3A%2F%2Fwww.webofscience.com%2Fwos%2Fwoscc%2Ffull-record%2F" TargetMode="External"/><Relationship Id="rId_hyperlink_487" Type="http://schemas.openxmlformats.org/officeDocument/2006/relationships/hyperlink" Target="http://dx.doi.org/10.1111/jiec.13439" TargetMode="External"/><Relationship Id="rId_hyperlink_488" Type="http://schemas.openxmlformats.org/officeDocument/2006/relationships/hyperlink" Target="https%3A%2F%2Fwww.webofscience.com%2Fwos%2Fwoscc%2Ffull-record%2F" TargetMode="External"/><Relationship Id="rId_hyperlink_489" Type="http://schemas.openxmlformats.org/officeDocument/2006/relationships/hyperlink" Target="http://dx.doi.org/10.1146/annurev-environ-112621-063931" TargetMode="External"/><Relationship Id="rId_hyperlink_490" Type="http://schemas.openxmlformats.org/officeDocument/2006/relationships/hyperlink" Target="https%3A%2F%2Fwww.webofscience.com%2Fwos%2Fwoscc%2Ffull-record%2F" TargetMode="External"/><Relationship Id="rId_hyperlink_491" Type="http://schemas.openxmlformats.org/officeDocument/2006/relationships/hyperlink" Target="http://dx.doi.org/10.1016/j.jclepro.2018.01.056" TargetMode="External"/><Relationship Id="rId_hyperlink_492" Type="http://schemas.openxmlformats.org/officeDocument/2006/relationships/hyperlink" Target="https%3A%2F%2Fwww.webofscience.com%2Fwos%2Fwoscc%2Ffull-record%2F" TargetMode="External"/><Relationship Id="rId_hyperlink_493" Type="http://schemas.openxmlformats.org/officeDocument/2006/relationships/hyperlink" Target="http://dx.doi.org/10.6092/2281-4574/10103" TargetMode="External"/><Relationship Id="rId_hyperlink_494" Type="http://schemas.openxmlformats.org/officeDocument/2006/relationships/hyperlink" Target="https%3A%2F%2Fwww.webofscience.com%2Fwos%2Fwoscc%2Ffull-record%2F" TargetMode="External"/><Relationship Id="rId_hyperlink_495" Type="http://schemas.openxmlformats.org/officeDocument/2006/relationships/hyperlink" Target="http://dx.doi.org/10.1007/s10113-015-0918-7" TargetMode="External"/><Relationship Id="rId_hyperlink_496" Type="http://schemas.openxmlformats.org/officeDocument/2006/relationships/hyperlink" Target="https%3A%2F%2Fwww.webofscience.com%2Fwos%2Fwoscc%2Ffull-record%2F" TargetMode="External"/><Relationship Id="rId_hyperlink_497" Type="http://schemas.openxmlformats.org/officeDocument/2006/relationships/hyperlink" Target="http://dx.doi.org/10.1016/j.jclepro.2022.132951" TargetMode="External"/><Relationship Id="rId_hyperlink_498" Type="http://schemas.openxmlformats.org/officeDocument/2006/relationships/hyperlink" Target="https%3A%2F%2Fwww.webofscience.com%2Fwos%2Fwoscc%2Ffull-record%2F" TargetMode="External"/><Relationship Id="rId_hyperlink_499" Type="http://schemas.openxmlformats.org/officeDocument/2006/relationships/hyperlink" Target="http://dx.doi.org/10.1016/j.enbuild.2017.12.005" TargetMode="External"/><Relationship Id="rId_hyperlink_500" Type="http://schemas.openxmlformats.org/officeDocument/2006/relationships/hyperlink" Target="https%3A%2F%2Fwww.webofscience.com%2Fwos%2Fwoscc%2Ffull-record%2F" TargetMode="External"/><Relationship Id="rId_hyperlink_501" Type="http://schemas.openxmlformats.org/officeDocument/2006/relationships/hyperlink" Target="http://dx.doi.org/10.3390/su11030855" TargetMode="External"/><Relationship Id="rId_hyperlink_502" Type="http://schemas.openxmlformats.org/officeDocument/2006/relationships/hyperlink" Target="https%3A%2F%2Fwww.webofscience.com%2Fwos%2Fwoscc%2Ffull-record%2F" TargetMode="External"/><Relationship Id="rId_hyperlink_503" Type="http://schemas.openxmlformats.org/officeDocument/2006/relationships/hyperlink" Target="http://dx.doi.org/10.1016/j.techfore.2015.05.012" TargetMode="External"/><Relationship Id="rId_hyperlink_504" Type="http://schemas.openxmlformats.org/officeDocument/2006/relationships/hyperlink" Target="https%3A%2F%2Fwww.webofscience.com%2Fwos%2Fwoscc%2Ffull-record%2F" TargetMode="External"/><Relationship Id="rId_hyperlink_505" Type="http://schemas.openxmlformats.org/officeDocument/2006/relationships/hyperlink" Target="http://dx.doi.org/10.1016/j.rser.2021.111561" TargetMode="External"/><Relationship Id="rId_hyperlink_506" Type="http://schemas.openxmlformats.org/officeDocument/2006/relationships/hyperlink" Target="https%3A%2F%2Fwww.webofscience.com%2Fwos%2Fwoscc%2Ffull-record%2F" TargetMode="External"/><Relationship Id="rId_hyperlink_507" Type="http://schemas.openxmlformats.org/officeDocument/2006/relationships/hyperlink" Target="http://dx.doi.org/10.1016/j.resconrec.2020.105167" TargetMode="External"/><Relationship Id="rId_hyperlink_508" Type="http://schemas.openxmlformats.org/officeDocument/2006/relationships/hyperlink" Target="https%3A%2F%2Fwww.webofscience.com%2Fwos%2Fwoscc%2Ffull-record%2F" TargetMode="External"/><Relationship Id="rId_hyperlink_509" Type="http://schemas.openxmlformats.org/officeDocument/2006/relationships/hyperlink" Target="http://dx.doi.org/10.1016/j.scitotenv.2013.10.041" TargetMode="External"/><Relationship Id="rId_hyperlink_510" Type="http://schemas.openxmlformats.org/officeDocument/2006/relationships/hyperlink" Target="https%3A%2F%2Fwww.webofscience.com%2Fwos%2Fwoscc%2Ffull-record%2F" TargetMode="External"/><Relationship Id="rId_hyperlink_511" Type="http://schemas.openxmlformats.org/officeDocument/2006/relationships/hyperlink" Target="http://dx.doi.org/10.1021/es204662k" TargetMode="External"/><Relationship Id="rId_hyperlink_512" Type="http://schemas.openxmlformats.org/officeDocument/2006/relationships/hyperlink" Target="https%3A%2F%2Fwww.webofscience.com%2Fwos%2Fwoscc%2Ffull-record%2F" TargetMode="External"/><Relationship Id="rId_hyperlink_513" Type="http://schemas.openxmlformats.org/officeDocument/2006/relationships/hyperlink" Target="http://dx.doi.org/10.3389/fbuil.2022.954642" TargetMode="External"/><Relationship Id="rId_hyperlink_514" Type="http://schemas.openxmlformats.org/officeDocument/2006/relationships/hyperlink" Target="https%3A%2F%2Fwww.webofscience.com%2Fwos%2Fwoscc%2Ffull-record%2F" TargetMode="External"/><Relationship Id="rId_hyperlink_515" Type="http://schemas.openxmlformats.org/officeDocument/2006/relationships/hyperlink" Target="http://dx.doi.org/10.1007/BF02987622" TargetMode="External"/><Relationship Id="rId_hyperlink_516" Type="http://schemas.openxmlformats.org/officeDocument/2006/relationships/hyperlink" Target="https%3A%2F%2Fwww.webofscience.com%2Fwos%2Fwoscc%2Ffull-record%2F" TargetMode="External"/><Relationship Id="rId_hyperlink_517" Type="http://schemas.openxmlformats.org/officeDocument/2006/relationships/hyperlink" Target="http://dx.doi.org/10.1007/s10705-018-9944-4" TargetMode="External"/><Relationship Id="rId_hyperlink_518" Type="http://schemas.openxmlformats.org/officeDocument/2006/relationships/hyperlink" Target="https%3A%2F%2Fwww.webofscience.com%2Fwos%2Fwoscc%2Ffull-record%2F" TargetMode="External"/><Relationship Id="rId_hyperlink_519" Type="http://schemas.openxmlformats.org/officeDocument/2006/relationships/hyperlink" Target="http://dx.doi.org/10.3390/su132111732" TargetMode="External"/><Relationship Id="rId_hyperlink_520" Type="http://schemas.openxmlformats.org/officeDocument/2006/relationships/hyperlink" Target="https%3A%2F%2Fwww.webofscience.com%2Fwos%2Fwoscc%2Ffull-record%2F" TargetMode="External"/><Relationship Id="rId_hyperlink_521" Type="http://schemas.openxmlformats.org/officeDocument/2006/relationships/hyperlink" Target="http://dx.doi.org/10.3390/su10040955" TargetMode="External"/><Relationship Id="rId_hyperlink_522" Type="http://schemas.openxmlformats.org/officeDocument/2006/relationships/hyperlink" Target="https%3A%2F%2Fwww.webofscience.com%2Fwos%2Fwoscc%2Ffull-record%2F" TargetMode="External"/><Relationship Id="rId_hyperlink_523" Type="http://schemas.openxmlformats.org/officeDocument/2006/relationships/hyperlink" Target="http://dx.doi.org/10.3390/ijerph17072463" TargetMode="External"/><Relationship Id="rId_hyperlink_524" Type="http://schemas.openxmlformats.org/officeDocument/2006/relationships/hyperlink" Target="https%3A%2F%2Fwww.webofscience.com%2Fwos%2Fwoscc%2Ffull-record%2F" TargetMode="External"/><Relationship Id="rId_hyperlink_525" Type="http://schemas.openxmlformats.org/officeDocument/2006/relationships/hyperlink" Target="http://dx.doi.org/10.1007/s11367-017-1411-y" TargetMode="External"/><Relationship Id="rId_hyperlink_526" Type="http://schemas.openxmlformats.org/officeDocument/2006/relationships/hyperlink" Target="https%3A%2F%2Fwww.webofscience.com%2Fwos%2Fwoscc%2Ffull-record%2F" TargetMode="External"/><Relationship Id="rId_hyperlink_527" Type="http://schemas.openxmlformats.org/officeDocument/2006/relationships/hyperlink" Target="http://dx.doi.org/10.1038/s42949-022-00076-8" TargetMode="External"/><Relationship Id="rId_hyperlink_528" Type="http://schemas.openxmlformats.org/officeDocument/2006/relationships/hyperlink" Target="https%3A%2F%2Fwww.webofscience.com%2Fwos%2Fwoscc%2Ffull-record%2F" TargetMode="External"/><Relationship Id="rId_hyperlink_529" Type="http://schemas.openxmlformats.org/officeDocument/2006/relationships/hyperlink" Target="https%3A%2F%2Fwww.webofscience.com%2Fwos%2Fwoscc%2Ffull-record%2F" TargetMode="External"/><Relationship Id="rId_hyperlink_530" Type="http://schemas.openxmlformats.org/officeDocument/2006/relationships/hyperlink" Target="http://dx.doi.org/10.1016/j.scs.2021.102977" TargetMode="External"/><Relationship Id="rId_hyperlink_531" Type="http://schemas.openxmlformats.org/officeDocument/2006/relationships/hyperlink" Target="https%3A%2F%2Fwww.webofscience.com%2Fwos%2Fwoscc%2Ffull-record%2F" TargetMode="External"/><Relationship Id="rId_hyperlink_532" Type="http://schemas.openxmlformats.org/officeDocument/2006/relationships/hyperlink" Target="http://dx.doi.org/10.3390/su12030802" TargetMode="External"/><Relationship Id="rId_hyperlink_533" Type="http://schemas.openxmlformats.org/officeDocument/2006/relationships/hyperlink" Target="https%3A%2F%2Fwww.webofscience.com%2Fwos%2Fwoscc%2Ffull-record%2F" TargetMode="External"/><Relationship Id="rId_hyperlink_534" Type="http://schemas.openxmlformats.org/officeDocument/2006/relationships/hyperlink" Target="http://dx.doi.org/10.1016/j.resconrec.2016.07.017" TargetMode="External"/><Relationship Id="rId_hyperlink_535" Type="http://schemas.openxmlformats.org/officeDocument/2006/relationships/hyperlink" Target="https%3A%2F%2Fwww.webofscience.com%2Fwos%2Fwoscc%2Ffull-record%2F" TargetMode="External"/><Relationship Id="rId_hyperlink_536" Type="http://schemas.openxmlformats.org/officeDocument/2006/relationships/hyperlink" Target="http://dx.doi.org/10.17645/up.v8i3.6757" TargetMode="External"/><Relationship Id="rId_hyperlink_537" Type="http://schemas.openxmlformats.org/officeDocument/2006/relationships/hyperlink" Target="https%3A%2F%2Fwww.webofscience.com%2Fwos%2Fwoscc%2Ffull-record%2F" TargetMode="External"/><Relationship Id="rId_hyperlink_538" Type="http://schemas.openxmlformats.org/officeDocument/2006/relationships/hyperlink" Target="http://dx.doi.org/10.3390/ijerph19095177" TargetMode="External"/><Relationship Id="rId_hyperlink_539" Type="http://schemas.openxmlformats.org/officeDocument/2006/relationships/hyperlink" Target="https%3A%2F%2Fwww.webofscience.com%2Fwos%2Fwoscc%2Ffull-record%2F" TargetMode="External"/><Relationship Id="rId_hyperlink_540" Type="http://schemas.openxmlformats.org/officeDocument/2006/relationships/hyperlink" Target="http://dx.doi.org/10.1111/jiec.12776" TargetMode="External"/><Relationship Id="rId_hyperlink_541" Type="http://schemas.openxmlformats.org/officeDocument/2006/relationships/hyperlink" Target="https%3A%2F%2Fwww.webofscience.com%2Fwos%2Fwoscc%2Ffull-record%2F" TargetMode="External"/><Relationship Id="rId_hyperlink_542" Type="http://schemas.openxmlformats.org/officeDocument/2006/relationships/hyperlink" Target="http://dx.doi.org/10.1016/j.enbuild.2015.09.058" TargetMode="External"/><Relationship Id="rId_hyperlink_543" Type="http://schemas.openxmlformats.org/officeDocument/2006/relationships/hyperlink" Target="https%3A%2F%2Fwww.webofscience.com%2Fwos%2Fwoscc%2Ffull-record%2F" TargetMode="External"/><Relationship Id="rId_hyperlink_544" Type="http://schemas.openxmlformats.org/officeDocument/2006/relationships/hyperlink" Target="http://dx.doi.org/10.1111/jiec.13043" TargetMode="External"/><Relationship Id="rId_hyperlink_545" Type="http://schemas.openxmlformats.org/officeDocument/2006/relationships/hyperlink" Target="https%3A%2F%2Fwww.webofscience.com%2Fwos%2Fwoscc%2Ffull-record%2F" TargetMode="External"/><Relationship Id="rId_hyperlink_546" Type="http://schemas.openxmlformats.org/officeDocument/2006/relationships/hyperlink" Target="http://dx.doi.org/10.1016/j.ecolind.2019.105750" TargetMode="External"/><Relationship Id="rId_hyperlink_547" Type="http://schemas.openxmlformats.org/officeDocument/2006/relationships/hyperlink" Target="https%3A%2F%2Fwww.webofscience.com%2Fwos%2Fwoscc%2Ffull-record%2F" TargetMode="External"/><Relationship Id="rId_hyperlink_548" Type="http://schemas.openxmlformats.org/officeDocument/2006/relationships/hyperlink" Target="http://dx.doi.org/10.3390/biomimetics6040064" TargetMode="External"/><Relationship Id="rId_hyperlink_549" Type="http://schemas.openxmlformats.org/officeDocument/2006/relationships/hyperlink" Target="https%3A%2F%2Fwww.webofscience.com%2Fwos%2Fwoscc%2Ffull-record%2F" TargetMode="External"/><Relationship Id="rId_hyperlink_550" Type="http://schemas.openxmlformats.org/officeDocument/2006/relationships/hyperlink" Target="http://dx.doi.org/10.1073/pnas.1504315112" TargetMode="External"/><Relationship Id="rId_hyperlink_551" Type="http://schemas.openxmlformats.org/officeDocument/2006/relationships/hyperlink" Target="https%3A%2F%2Fwww.webofscience.com%2Fwos%2Fwoscc%2Ffull-record%2F" TargetMode="External"/><Relationship Id="rId_hyperlink_552" Type="http://schemas.openxmlformats.org/officeDocument/2006/relationships/hyperlink" Target="http://dx.doi.org/10.1007/s10668-023-03671-6" TargetMode="External"/><Relationship Id="rId_hyperlink_553" Type="http://schemas.openxmlformats.org/officeDocument/2006/relationships/hyperlink" Target="https%3A%2F%2Fwww.webofscience.com%2Fwos%2Fwoscc%2Ffull-record%2F" TargetMode="External"/><Relationship Id="rId_hyperlink_554" Type="http://schemas.openxmlformats.org/officeDocument/2006/relationships/hyperlink" Target="http://dx.doi.org/10.1016/j.jclepro.2020.120564" TargetMode="External"/><Relationship Id="rId_hyperlink_555" Type="http://schemas.openxmlformats.org/officeDocument/2006/relationships/hyperlink" Target="https%3A%2F%2Fwww.webofscience.com%2Fwos%2Fwoscc%2Ffull-record%2F" TargetMode="External"/><Relationship Id="rId_hyperlink_556" Type="http://schemas.openxmlformats.org/officeDocument/2006/relationships/hyperlink" Target="http://dx.doi.org/10.1016/j.scs.2019.101565" TargetMode="External"/><Relationship Id="rId_hyperlink_557" Type="http://schemas.openxmlformats.org/officeDocument/2006/relationships/hyperlink" Target="https%3A%2F%2Fwww.webofscience.com%2Fwos%2Fwoscc%2Ffull-record%2F" TargetMode="External"/><Relationship Id="rId_hyperlink_558" Type="http://schemas.openxmlformats.org/officeDocument/2006/relationships/hyperlink" Target="http://dx.doi.org/10.1016/j.cacint.2020.100055" TargetMode="External"/><Relationship Id="rId_hyperlink_559" Type="http://schemas.openxmlformats.org/officeDocument/2006/relationships/hyperlink" Target="https%3A%2F%2Fwww.webofscience.com%2Fwos%2Fwoscc%2Ffull-record%2F" TargetMode="External"/><Relationship Id="rId_hyperlink_560" Type="http://schemas.openxmlformats.org/officeDocument/2006/relationships/hyperlink" Target="http://dx.doi.org/10.3390/su11184875" TargetMode="External"/><Relationship Id="rId_hyperlink_561" Type="http://schemas.openxmlformats.org/officeDocument/2006/relationships/hyperlink" Target="https%3A%2F%2Fwww.webofscience.com%2Fwos%2Fwoscc%2Ffull-record%2F" TargetMode="External"/><Relationship Id="rId_hyperlink_562" Type="http://schemas.openxmlformats.org/officeDocument/2006/relationships/hyperlink" Target="http://dx.doi.org/10.1111/j.1530-9290.2008.00103.x" TargetMode="External"/><Relationship Id="rId_hyperlink_563" Type="http://schemas.openxmlformats.org/officeDocument/2006/relationships/hyperlink" Target="https%3A%2F%2Fwww.webofscience.com%2Fwos%2Fwoscc%2Ffull-record%2F" TargetMode="External"/><Relationship Id="rId_hyperlink_564" Type="http://schemas.openxmlformats.org/officeDocument/2006/relationships/hyperlink" Target="http://dx.doi.org/10.1088/1748-9326/ac881e" TargetMode="External"/><Relationship Id="rId_hyperlink_565" Type="http://schemas.openxmlformats.org/officeDocument/2006/relationships/hyperlink" Target="https%3A%2F%2Fwww.webofscience.com%2Fwos%2Fwoscc%2Ffull-record%2F" TargetMode="External"/><Relationship Id="rId_hyperlink_566" Type="http://schemas.openxmlformats.org/officeDocument/2006/relationships/hyperlink" Target="http://dx.doi.org/10.3390/rs12030370" TargetMode="External"/><Relationship Id="rId_hyperlink_567" Type="http://schemas.openxmlformats.org/officeDocument/2006/relationships/hyperlink" Target="https%3A%2F%2Fwww.webofscience.com%2Fwos%2Fwoscc%2Ffull-record%2F" TargetMode="External"/><Relationship Id="rId_hyperlink_568" Type="http://schemas.openxmlformats.org/officeDocument/2006/relationships/hyperlink" Target="https%3A%2F%2Fwww.webofscience.com%2Fwos%2Fwoscc%2Ffull-record%2F" TargetMode="External"/><Relationship Id="rId_hyperlink_569" Type="http://schemas.openxmlformats.org/officeDocument/2006/relationships/hyperlink" Target="http://dx.doi.org/10.1111/j.1530-9290.2011.00357.x" TargetMode="External"/><Relationship Id="rId_hyperlink_570" Type="http://schemas.openxmlformats.org/officeDocument/2006/relationships/hyperlink" Target="https%3A%2F%2Fwww.webofscience.com%2Fwos%2Fwoscc%2Ffull-record%2F" TargetMode="External"/><Relationship Id="rId_hyperlink_571" Type="http://schemas.openxmlformats.org/officeDocument/2006/relationships/hyperlink" Target="http://dx.doi.org/10.1016/j.jclepro.2015.06.052" TargetMode="External"/><Relationship Id="rId_hyperlink_572" Type="http://schemas.openxmlformats.org/officeDocument/2006/relationships/hyperlink" Target="https%3A%2F%2Fwww.webofscience.com%2Fwos%2Fwoscc%2Ffull-record%2F" TargetMode="External"/><Relationship Id="rId_hyperlink_573" Type="http://schemas.openxmlformats.org/officeDocument/2006/relationships/hyperlink" Target="http://dx.doi.org/10.1016/j.jclepro.2020.123010" TargetMode="External"/><Relationship Id="rId_hyperlink_574" Type="http://schemas.openxmlformats.org/officeDocument/2006/relationships/hyperlink" Target="https%3A%2F%2Fwww.webofscience.com%2Fwos%2Fwoscc%2Ffull-record%2F" TargetMode="External"/><Relationship Id="rId_hyperlink_575" Type="http://schemas.openxmlformats.org/officeDocument/2006/relationships/hyperlink" Target="http://dx.doi.org/10.1021/acs.est.7b01694" TargetMode="External"/><Relationship Id="rId_hyperlink_576" Type="http://schemas.openxmlformats.org/officeDocument/2006/relationships/hyperlink" Target="https%3A%2F%2Fwww.webofscience.com%2Fwos%2Fwoscc%2Ffull-record%2F" TargetMode="External"/><Relationship Id="rId_hyperlink_577" Type="http://schemas.openxmlformats.org/officeDocument/2006/relationships/hyperlink" Target="http://dx.doi.org/10.3390/su11226294" TargetMode="External"/><Relationship Id="rId_hyperlink_578" Type="http://schemas.openxmlformats.org/officeDocument/2006/relationships/hyperlink" Target="https%3A%2F%2Fwww.webofscience.com%2Fwos%2Fwoscc%2Ffull-record%2F" TargetMode="External"/><Relationship Id="rId_hyperlink_579" Type="http://schemas.openxmlformats.org/officeDocument/2006/relationships/hyperlink" Target="http://dx.doi.org/10.1016/j.cities.2012.06.009" TargetMode="External"/><Relationship Id="rId_hyperlink_580" Type="http://schemas.openxmlformats.org/officeDocument/2006/relationships/hyperlink" Target="https%3A%2F%2Fwww.webofscience.com%2Fwos%2Fwoscc%2Ffull-record%2F" TargetMode="External"/><Relationship Id="rId_hyperlink_581" Type="http://schemas.openxmlformats.org/officeDocument/2006/relationships/hyperlink" Target="http://dx.doi.org/10.1016/j.ecolmodel.2022.110010" TargetMode="External"/><Relationship Id="rId_hyperlink_582" Type="http://schemas.openxmlformats.org/officeDocument/2006/relationships/hyperlink" Target="https%3A%2F%2Fwww.webofscience.com%2Fwos%2Fwoscc%2Ffull-record%2F" TargetMode="External"/><Relationship Id="rId_hyperlink_583" Type="http://schemas.openxmlformats.org/officeDocument/2006/relationships/hyperlink" Target="http://dx.doi.org/10.3390/cli8040052" TargetMode="External"/><Relationship Id="rId_hyperlink_584" Type="http://schemas.openxmlformats.org/officeDocument/2006/relationships/hyperlink" Target="https%3A%2F%2Fwww.webofscience.com%2Fwos%2Fwoscc%2Ffull-record%2F" TargetMode="External"/><Relationship Id="rId_hyperlink_585" Type="http://schemas.openxmlformats.org/officeDocument/2006/relationships/hyperlink" Target="http://dx.doi.org/10.1016/j.apenergy.2016.09.025" TargetMode="External"/><Relationship Id="rId_hyperlink_586" Type="http://schemas.openxmlformats.org/officeDocument/2006/relationships/hyperlink" Target="https%3A%2F%2Fwww.webofscience.com%2Fwos%2Fwoscc%2Ffull-record%2F" TargetMode="External"/><Relationship Id="rId_hyperlink_587" Type="http://schemas.openxmlformats.org/officeDocument/2006/relationships/hyperlink" Target="http://dx.doi.org/10.1016/j.resconrec.2013.10.016" TargetMode="External"/><Relationship Id="rId_hyperlink_588" Type="http://schemas.openxmlformats.org/officeDocument/2006/relationships/hyperlink" Target="https%3A%2F%2Fwww.webofscience.com%2Fwos%2Fwoscc%2Ffull-record%2F" TargetMode="External"/><Relationship Id="rId_hyperlink_589" Type="http://schemas.openxmlformats.org/officeDocument/2006/relationships/hyperlink" Target="http://dx.doi.org/10.1016/j.cesys.2022.100080" TargetMode="External"/><Relationship Id="rId_hyperlink_590" Type="http://schemas.openxmlformats.org/officeDocument/2006/relationships/hyperlink" Target="https%3A%2F%2Fwww.webofscience.com%2Fwos%2Fwoscc%2Ffull-record%2F" TargetMode="External"/><Relationship Id="rId_hyperlink_591" Type="http://schemas.openxmlformats.org/officeDocument/2006/relationships/hyperlink" Target="http://dx.doi.org/10.1016/j.ecolmodel.2006.02.001" TargetMode="External"/><Relationship Id="rId_hyperlink_592" Type="http://schemas.openxmlformats.org/officeDocument/2006/relationships/hyperlink" Target="https%3A%2F%2Fwww.webofscience.com%2Fwos%2Fwoscc%2Ffull-record%2F" TargetMode="External"/><Relationship Id="rId_hyperlink_593" Type="http://schemas.openxmlformats.org/officeDocument/2006/relationships/hyperlink" Target="http://dx.doi.org/10.1007/s11367-018-1494-0" TargetMode="External"/><Relationship Id="rId_hyperlink_594" Type="http://schemas.openxmlformats.org/officeDocument/2006/relationships/hyperlink" Target="https%3A%2F%2Fwww.webofscience.com%2Fwos%2Fwoscc%2Ffull-record%2F" TargetMode="External"/><Relationship Id="rId_hyperlink_595" Type="http://schemas.openxmlformats.org/officeDocument/2006/relationships/hyperlink" Target="http://dx.doi.org/10.1016/j.cities.2017.06.005" TargetMode="External"/><Relationship Id="rId_hyperlink_596" Type="http://schemas.openxmlformats.org/officeDocument/2006/relationships/hyperlink" Target="https%3A%2F%2Fwww.webofscience.com%2Fwos%2Fwoscc%2Ffull-record%2F" TargetMode="External"/><Relationship Id="rId_hyperlink_597" Type="http://schemas.openxmlformats.org/officeDocument/2006/relationships/hyperlink" Target="http://dx.doi.org/10.1111/jiec.12456" TargetMode="External"/><Relationship Id="rId_hyperlink_598" Type="http://schemas.openxmlformats.org/officeDocument/2006/relationships/hyperlink" Target="https%3A%2F%2Fwww.webofscience.com%2Fwos%2Fwoscc%2Ffull-record%2F" TargetMode="External"/><Relationship Id="rId_hyperlink_599" Type="http://schemas.openxmlformats.org/officeDocument/2006/relationships/hyperlink" Target="https%3A%2F%2Fwww.webofscience.com%2Fwos%2Fwoscc%2Ffull-record%2F" TargetMode="External"/><Relationship Id="rId_hyperlink_600" Type="http://schemas.openxmlformats.org/officeDocument/2006/relationships/hyperlink" Target="http://dx.doi.org/10.1111/jiec.12508" TargetMode="External"/><Relationship Id="rId_hyperlink_601" Type="http://schemas.openxmlformats.org/officeDocument/2006/relationships/hyperlink" Target="https%3A%2F%2Fwww.webofscience.com%2Fwos%2Fwoscc%2Ffull-record%2F" TargetMode="External"/><Relationship Id="rId_hyperlink_602" Type="http://schemas.openxmlformats.org/officeDocument/2006/relationships/hyperlink" Target="http://dx.doi.org/10.1016/j.ecolmodel.2009.04.002" TargetMode="External"/><Relationship Id="rId_hyperlink_603" Type="http://schemas.openxmlformats.org/officeDocument/2006/relationships/hyperlink" Target="https%3A%2F%2Fwww.webofscience.com%2Fwos%2Fwoscc%2Ffull-record%2F" TargetMode="External"/><Relationship Id="rId_hyperlink_604" Type="http://schemas.openxmlformats.org/officeDocument/2006/relationships/hyperlink" Target="http://dx.doi.org/10.1111/jiec.12461" TargetMode="External"/><Relationship Id="rId_hyperlink_605" Type="http://schemas.openxmlformats.org/officeDocument/2006/relationships/hyperlink" Target="https%3A%2F%2Fwww.webofscience.com%2Fwos%2Fwoscc%2Ffull-record%2F" TargetMode="External"/><Relationship Id="rId_hyperlink_606" Type="http://schemas.openxmlformats.org/officeDocument/2006/relationships/hyperlink" Target="http://dx.doi.org/10.1080/21683565.2017.1334737" TargetMode="External"/><Relationship Id="rId_hyperlink_607" Type="http://schemas.openxmlformats.org/officeDocument/2006/relationships/hyperlink" Target="https%3A%2F%2Fwww.webofscience.com%2Fwos%2Fwoscc%2Ffull-record%2F" TargetMode="External"/><Relationship Id="rId_hyperlink_608" Type="http://schemas.openxmlformats.org/officeDocument/2006/relationships/hyperlink" Target="http://dx.doi.org/10.1016/j.jclepro.2015.10.053" TargetMode="External"/><Relationship Id="rId_hyperlink_609" Type="http://schemas.openxmlformats.org/officeDocument/2006/relationships/hyperlink" Target="https%3A%2F%2Fwww.webofscience.com%2Fwos%2Fwoscc%2Ffull-record%2F" TargetMode="External"/><Relationship Id="rId_hyperlink_610" Type="http://schemas.openxmlformats.org/officeDocument/2006/relationships/hyperlink" Target="http://dx.doi.org/10.1016/j.scitotenv.2022.155875" TargetMode="External"/><Relationship Id="rId_hyperlink_611" Type="http://schemas.openxmlformats.org/officeDocument/2006/relationships/hyperlink" Target="https%3A%2F%2Fwww.webofscience.com%2Fwos%2Fwoscc%2Ffull-record%2F" TargetMode="External"/><Relationship Id="rId_hyperlink_612" Type="http://schemas.openxmlformats.org/officeDocument/2006/relationships/hyperlink" Target="http://dx.doi.org/10.1016/j.ecolmodel.2017.02.015" TargetMode="External"/><Relationship Id="rId_hyperlink_613" Type="http://schemas.openxmlformats.org/officeDocument/2006/relationships/hyperlink" Target="https%3A%2F%2Fwww.webofscience.com%2Fwos%2Fwoscc%2Ffull-record%2F" TargetMode="External"/><Relationship Id="rId_hyperlink_614" Type="http://schemas.openxmlformats.org/officeDocument/2006/relationships/hyperlink" Target="http://dx.doi.org/10.1016/j.envdev.2016.11.006" TargetMode="External"/><Relationship Id="rId_hyperlink_615" Type="http://schemas.openxmlformats.org/officeDocument/2006/relationships/hyperlink" Target="https%3A%2F%2Fwww.webofscience.com%2Fwos%2Fwoscc%2Ffull-record%2F" TargetMode="External"/><Relationship Id="rId_hyperlink_616" Type="http://schemas.openxmlformats.org/officeDocument/2006/relationships/hyperlink" Target="http://dx.doi.org/10.1016/j.ecolmodel.2010.05.006" TargetMode="External"/><Relationship Id="rId_hyperlink_617" Type="http://schemas.openxmlformats.org/officeDocument/2006/relationships/hyperlink" Target="https%3A%2F%2Fwww.webofscience.com%2Fwos%2Fwoscc%2Ffull-record%2F" TargetMode="External"/><Relationship Id="rId_hyperlink_618" Type="http://schemas.openxmlformats.org/officeDocument/2006/relationships/hyperlink" Target="http://dx.doi.org/10.3389/frsc.2019.00006" TargetMode="External"/><Relationship Id="rId_hyperlink_619" Type="http://schemas.openxmlformats.org/officeDocument/2006/relationships/hyperlink" Target="https%3A%2F%2Fwww.webofscience.com%2Fwos%2Fwoscc%2Ffull-record%2F" TargetMode="External"/><Relationship Id="rId_hyperlink_620" Type="http://schemas.openxmlformats.org/officeDocument/2006/relationships/hyperlink" Target="http://dx.doi.org/10.3389/frsc.2019.00009" TargetMode="External"/><Relationship Id="rId_hyperlink_621" Type="http://schemas.openxmlformats.org/officeDocument/2006/relationships/hyperlink" Target="https%3A%2F%2Fwww.webofscience.com%2Fwos%2Fwoscc%2Ffull-record%2F" TargetMode="External"/><Relationship Id="rId_hyperlink_622" Type="http://schemas.openxmlformats.org/officeDocument/2006/relationships/hyperlink" Target="http://dx.doi.org/10.1016/j.jclepro.2014.07.075" TargetMode="External"/><Relationship Id="rId_hyperlink_623" Type="http://schemas.openxmlformats.org/officeDocument/2006/relationships/hyperlink" Target="https%3A%2F%2Fwww.webofscience.com%2Fwos%2Fwoscc%2Ffull-record%2F" TargetMode="External"/><Relationship Id="rId_hyperlink_624" Type="http://schemas.openxmlformats.org/officeDocument/2006/relationships/hyperlink" Target="http://dx.doi.org/10.1111/jiec.12299" TargetMode="External"/><Relationship Id="rId_hyperlink_625" Type="http://schemas.openxmlformats.org/officeDocument/2006/relationships/hyperlink" Target="https%3A%2F%2Fwww.webofscience.com%2Fwos%2Fwoscc%2Ffull-record%2F" TargetMode="External"/><Relationship Id="rId_hyperlink_626" Type="http://schemas.openxmlformats.org/officeDocument/2006/relationships/hyperlink" Target="http://dx.doi.org/10.1016/j.erss.2019.101313" TargetMode="External"/><Relationship Id="rId_hyperlink_627" Type="http://schemas.openxmlformats.org/officeDocument/2006/relationships/hyperlink" Target="https%3A%2F%2Fwww.webofscience.com%2Fwos%2Fwoscc%2Ffull-record%2F" TargetMode="External"/><Relationship Id="rId_hyperlink_628" Type="http://schemas.openxmlformats.org/officeDocument/2006/relationships/hyperlink" Target="http://dx.doi.org/10.1016/j.ecolind.2018.06.039" TargetMode="External"/><Relationship Id="rId_hyperlink_629" Type="http://schemas.openxmlformats.org/officeDocument/2006/relationships/hyperlink" Target="https%3A%2F%2Fwww.webofscience.com%2Fwos%2Fwoscc%2Ffull-record%2F" TargetMode="External"/><Relationship Id="rId_hyperlink_630" Type="http://schemas.openxmlformats.org/officeDocument/2006/relationships/hyperlink" Target="http://dx.doi.org/10.1016/j.geoforum.2014.10.011" TargetMode="External"/><Relationship Id="rId_hyperlink_631" Type="http://schemas.openxmlformats.org/officeDocument/2006/relationships/hyperlink" Target="https%3A%2F%2Fwww.webofscience.com%2Fwos%2Fwoscc%2Ffull-record%2F" TargetMode="External"/><Relationship Id="rId_hyperlink_632" Type="http://schemas.openxmlformats.org/officeDocument/2006/relationships/hyperlink" Target="http://dx.doi.org/10.1111/jiec.13254" TargetMode="External"/><Relationship Id="rId_hyperlink_633" Type="http://schemas.openxmlformats.org/officeDocument/2006/relationships/hyperlink" Target="https%3A%2F%2Fwww.webofscience.com%2Fwos%2Fwoscc%2Ffull-record%2F" TargetMode="External"/><Relationship Id="rId_hyperlink_634" Type="http://schemas.openxmlformats.org/officeDocument/2006/relationships/hyperlink" Target="http://dx.doi.org/10.1016/j.jenvman.2007.05.008" TargetMode="External"/><Relationship Id="rId_hyperlink_635" Type="http://schemas.openxmlformats.org/officeDocument/2006/relationships/hyperlink" Target="https%3A%2F%2Fwww.webofscience.com%2Fwos%2Fwoscc%2Ffull-record%2F" TargetMode="External"/><Relationship Id="rId_hyperlink_636" Type="http://schemas.openxmlformats.org/officeDocument/2006/relationships/hyperlink" Target="http://dx.doi.org/10.1111/j.1530-9290.2012.00566.x" TargetMode="External"/><Relationship Id="rId_hyperlink_637" Type="http://schemas.openxmlformats.org/officeDocument/2006/relationships/hyperlink" Target="https%3A%2F%2Fwww.webofscience.com%2Fwos%2Fwoscc%2Ffull-record%2F" TargetMode="External"/><Relationship Id="rId_hyperlink_638" Type="http://schemas.openxmlformats.org/officeDocument/2006/relationships/hyperlink" Target="http://dx.doi.org/10.1016/j.ecolmodel.2010.09.017" TargetMode="External"/><Relationship Id="rId_hyperlink_639" Type="http://schemas.openxmlformats.org/officeDocument/2006/relationships/hyperlink" Target="https%3A%2F%2Fwww.webofscience.com%2Fwos%2Fwoscc%2Ffull-record%2F" TargetMode="External"/><Relationship Id="rId_hyperlink_640" Type="http://schemas.openxmlformats.org/officeDocument/2006/relationships/hyperlink" Target="http://dx.doi.org/10.1111/jiec.12700" TargetMode="External"/><Relationship Id="rId_hyperlink_641" Type="http://schemas.openxmlformats.org/officeDocument/2006/relationships/hyperlink" Target="https%3A%2F%2Fwww.webofscience.com%2Fwos%2Fwoscc%2Ffull-record%2F" TargetMode="External"/><Relationship Id="rId_hyperlink_642" Type="http://schemas.openxmlformats.org/officeDocument/2006/relationships/hyperlink" Target="http://dx.doi.org/10.1007/s10113-014-0653-5" TargetMode="External"/><Relationship Id="rId_hyperlink_643" Type="http://schemas.openxmlformats.org/officeDocument/2006/relationships/hyperlink" Target="https%3A%2F%2Fwww.webofscience.com%2Fwos%2Fwoscc%2Ffull-record%2F" TargetMode="External"/><Relationship Id="rId_hyperlink_644" Type="http://schemas.openxmlformats.org/officeDocument/2006/relationships/hyperlink" Target="http://dx.doi.org/10.1007/s11252-013-0342-z" TargetMode="External"/><Relationship Id="rId_hyperlink_645" Type="http://schemas.openxmlformats.org/officeDocument/2006/relationships/hyperlink" Target="https%3A%2F%2Fwww.webofscience.com%2Fwos%2Fwoscc%2Ffull-record%2F" TargetMode="External"/><Relationship Id="rId_hyperlink_646" Type="http://schemas.openxmlformats.org/officeDocument/2006/relationships/hyperlink" Target="http://dx.doi.org/10.1016/j.scitotenv.2015.11.110" TargetMode="External"/><Relationship Id="rId_hyperlink_647" Type="http://schemas.openxmlformats.org/officeDocument/2006/relationships/hyperlink" Target="https%3A%2F%2Fwww.webofscience.com%2Fwos%2Fwoscc%2Ffull-record%2F" TargetMode="External"/><Relationship Id="rId_hyperlink_648" Type="http://schemas.openxmlformats.org/officeDocument/2006/relationships/hyperlink" Target="http://dx.doi.org/10.1016/j.jclepro.2018.07.306" TargetMode="External"/><Relationship Id="rId_hyperlink_649" Type="http://schemas.openxmlformats.org/officeDocument/2006/relationships/hyperlink" Target="https%3A%2F%2Fwww.webofscience.com%2Fwos%2Fwoscc%2Ffull-record%2F" TargetMode="External"/><Relationship Id="rId_hyperlink_650" Type="http://schemas.openxmlformats.org/officeDocument/2006/relationships/hyperlink" Target="http://dx.doi.org/10.1111/j.1530-9290.2009.00169.x" TargetMode="External"/><Relationship Id="rId_hyperlink_651" Type="http://schemas.openxmlformats.org/officeDocument/2006/relationships/hyperlink" Target="https%3A%2F%2Fwww.webofscience.com%2Fwos%2Fwoscc%2Ffull-record%2F" TargetMode="External"/><Relationship Id="rId_hyperlink_652" Type="http://schemas.openxmlformats.org/officeDocument/2006/relationships/hyperlink" Target="http://dx.doi.org/10.1016/j.jclepro.2017.03.048" TargetMode="External"/><Relationship Id="rId_hyperlink_653" Type="http://schemas.openxmlformats.org/officeDocument/2006/relationships/hyperlink" Target="https%3A%2F%2Fwww.webofscience.com%2Fwos%2Fwoscc%2Ffull-record%2F" TargetMode="External"/><Relationship Id="rId_hyperlink_654" Type="http://schemas.openxmlformats.org/officeDocument/2006/relationships/hyperlink" Target="http://dx.doi.org/10.1016/j.resconrec.2020.105095" TargetMode="External"/><Relationship Id="rId_hyperlink_655" Type="http://schemas.openxmlformats.org/officeDocument/2006/relationships/hyperlink" Target="https%3A%2F%2Fwww.webofscience.com%2Fwos%2Fwoscc%2Ffull-record%2F" TargetMode="External"/><Relationship Id="rId_hyperlink_656" Type="http://schemas.openxmlformats.org/officeDocument/2006/relationships/hyperlink" Target="http://dx.doi.org/10.1016/j.jclepro.2019.119338" TargetMode="External"/><Relationship Id="rId_hyperlink_657" Type="http://schemas.openxmlformats.org/officeDocument/2006/relationships/hyperlink" Target="https%3A%2F%2Fwww.webofscience.com%2Fwos%2Fwoscc%2Ffull-record%2F" TargetMode="External"/><Relationship Id="rId_hyperlink_658" Type="http://schemas.openxmlformats.org/officeDocument/2006/relationships/hyperlink" Target="http://dx.doi.org/10.1016/j.jclepro.2022.130402" TargetMode="External"/><Relationship Id="rId_hyperlink_659" Type="http://schemas.openxmlformats.org/officeDocument/2006/relationships/hyperlink" Target="https%3A%2F%2Fwww.webofscience.com%2Fwos%2Fwoscc%2Ffull-record%2F" TargetMode="External"/><Relationship Id="rId_hyperlink_660" Type="http://schemas.openxmlformats.org/officeDocument/2006/relationships/hyperlink" Target="http://dx.doi.org/10.1016/j.apenergy.2019.113618" TargetMode="External"/><Relationship Id="rId_hyperlink_661" Type="http://schemas.openxmlformats.org/officeDocument/2006/relationships/hyperlink" Target="https%3A%2F%2Fwww.webofscience.com%2Fwos%2Fwoscc%2Ffull-record%2F" TargetMode="External"/><Relationship Id="rId_hyperlink_662" Type="http://schemas.openxmlformats.org/officeDocument/2006/relationships/hyperlink" Target="http://dx.doi.org/10.1111/j.1530-9290.2012.00561.x" TargetMode="External"/><Relationship Id="rId_hyperlink_663" Type="http://schemas.openxmlformats.org/officeDocument/2006/relationships/hyperlink" Target="https%3A%2F%2Fwww.webofscience.com%2Fwos%2Fwoscc%2Ffull-record%2F" TargetMode="External"/><Relationship Id="rId_hyperlink_664" Type="http://schemas.openxmlformats.org/officeDocument/2006/relationships/hyperlink" Target="http://dx.doi.org/10.1016/j.geoforum.2016.09.020" TargetMode="External"/><Relationship Id="rId_hyperlink_665" Type="http://schemas.openxmlformats.org/officeDocument/2006/relationships/hyperlink" Target="https%3A%2F%2Fwww.webofscience.com%2Fwos%2Fwoscc%2Ffull-record%2F" TargetMode="External"/><Relationship Id="rId_hyperlink_666" Type="http://schemas.openxmlformats.org/officeDocument/2006/relationships/hyperlink" Target="http://dx.doi.org/10.1111/jiec.12963" TargetMode="External"/><Relationship Id="rId_hyperlink_667" Type="http://schemas.openxmlformats.org/officeDocument/2006/relationships/hyperlink" Target="https%3A%2F%2Fwww.webofscience.com%2Fwos%2Fwoscc%2Ffull-record%2F" TargetMode="External"/><Relationship Id="rId_hyperlink_668" Type="http://schemas.openxmlformats.org/officeDocument/2006/relationships/hyperlink" Target="http://dx.doi.org/10.1016/j.scs.2020.102486" TargetMode="External"/><Relationship Id="rId_hyperlink_669" Type="http://schemas.openxmlformats.org/officeDocument/2006/relationships/hyperlink" Target="https%3A%2F%2Fwww.webofscience.com%2Fwos%2Fwoscc%2Ffull-record%2F" TargetMode="External"/><Relationship Id="rId_hyperlink_670" Type="http://schemas.openxmlformats.org/officeDocument/2006/relationships/hyperlink" Target="http://dx.doi.org/10.1111/jiec.12705" TargetMode="External"/><Relationship Id="rId_hyperlink_671" Type="http://schemas.openxmlformats.org/officeDocument/2006/relationships/hyperlink" Target="https%3A%2F%2Fwww.webofscience.com%2Fwos%2Fwoscc%2Ffull-record%2F" TargetMode="External"/><Relationship Id="rId_hyperlink_672" Type="http://schemas.openxmlformats.org/officeDocument/2006/relationships/hyperlink" Target="http://dx.doi.org/10.15446/bitacora.v29n1.67254" TargetMode="External"/><Relationship Id="rId_hyperlink_673" Type="http://schemas.openxmlformats.org/officeDocument/2006/relationships/hyperlink" Target="https%3A%2F%2Fwww.webofscience.com%2Fwos%2Fwoscc%2Ffull-record%2F" TargetMode="External"/><Relationship Id="rId_hyperlink_674" Type="http://schemas.openxmlformats.org/officeDocument/2006/relationships/hyperlink" Target="http://dx.doi.org/10.1080/09640568.2012.657953" TargetMode="External"/><Relationship Id="rId_hyperlink_675" Type="http://schemas.openxmlformats.org/officeDocument/2006/relationships/hyperlink" Target="https%3A%2F%2Fwww.webofscience.com%2Fwos%2Fwoscc%2Ffull-record%2F" TargetMode="External"/><Relationship Id="rId_hyperlink_676" Type="http://schemas.openxmlformats.org/officeDocument/2006/relationships/hyperlink" Target="http://dx.doi.org/10.1038/s42949-023-00132-x" TargetMode="External"/><Relationship Id="rId_hyperlink_677" Type="http://schemas.openxmlformats.org/officeDocument/2006/relationships/hyperlink" Target="https%3A%2F%2Fwww.webofscience.com%2Fwos%2Fwoscc%2Ffull-record%2F" TargetMode="External"/><Relationship Id="rId_hyperlink_678" Type="http://schemas.openxmlformats.org/officeDocument/2006/relationships/hyperlink" Target="http://dx.doi.org/10.18778/1231-1952.27.2.07" TargetMode="External"/><Relationship Id="rId_hyperlink_679" Type="http://schemas.openxmlformats.org/officeDocument/2006/relationships/hyperlink" Target="https%3A%2F%2Fwww.webofscience.com%2Fwos%2Fwoscc%2Ffull-record%2F" TargetMode="External"/><Relationship Id="rId_hyperlink_680" Type="http://schemas.openxmlformats.org/officeDocument/2006/relationships/hyperlink" Target="http://dx.doi.org/10.1016/j.eti.2015.04.004" TargetMode="External"/><Relationship Id="rId_hyperlink_681" Type="http://schemas.openxmlformats.org/officeDocument/2006/relationships/hyperlink" Target="https%3A%2F%2Fwww.webofscience.com%2Fwos%2Fwoscc%2Ffull-record%2F" TargetMode="External"/><Relationship Id="rId_hyperlink_682" Type="http://schemas.openxmlformats.org/officeDocument/2006/relationships/hyperlink" Target="https%3A%2F%2Fwww.webofscience.com%2Fwos%2Fwoscc%2Ffull-record%2F" TargetMode="External"/><Relationship Id="rId_hyperlink_683" Type="http://schemas.openxmlformats.org/officeDocument/2006/relationships/hyperlink" Target="http://dx.doi.org/10.1016/j.wasman.2009.05.008" TargetMode="External"/><Relationship Id="rId_hyperlink_684" Type="http://schemas.openxmlformats.org/officeDocument/2006/relationships/hyperlink" Target="https%3A%2F%2Fwww.webofscience.com%2Fwos%2Fwoscc%2Ffull-record%2F" TargetMode="External"/><Relationship Id="rId_hyperlink_685" Type="http://schemas.openxmlformats.org/officeDocument/2006/relationships/hyperlink" Target="http://dx.doi.org/10.18778/1231-1952.27.2.05" TargetMode="External"/><Relationship Id="rId_hyperlink_686" Type="http://schemas.openxmlformats.org/officeDocument/2006/relationships/hyperlink" Target="https%3A%2F%2Fwww.webofscience.com%2Fwos%2Fwoscc%2Ffull-record%2F" TargetMode="External"/><Relationship Id="rId_hyperlink_687" Type="http://schemas.openxmlformats.org/officeDocument/2006/relationships/hyperlink" Target="http://dx.doi.org/10.1016/j.ecolind.2014.04.022" TargetMode="External"/><Relationship Id="rId_hyperlink_688" Type="http://schemas.openxmlformats.org/officeDocument/2006/relationships/hyperlink" Target="https%3A%2F%2Fwww.webofscience.com%2Fwos%2Fwoscc%2Ffull-record%2F" TargetMode="External"/><Relationship Id="rId_hyperlink_689" Type="http://schemas.openxmlformats.org/officeDocument/2006/relationships/hyperlink" Target="http://dx.doi.org/10.1016/j.ecolind.2018.12.019" TargetMode="External"/><Relationship Id="rId_hyperlink_690" Type="http://schemas.openxmlformats.org/officeDocument/2006/relationships/hyperlink" Target="https%3A%2F%2Fwww.webofscience.com%2Fwos%2Fwoscc%2Ffull-record%2F" TargetMode="External"/><Relationship Id="rId_hyperlink_691" Type="http://schemas.openxmlformats.org/officeDocument/2006/relationships/hyperlink" Target="http://dx.doi.org/10.1111/jiec.13114" TargetMode="External"/><Relationship Id="rId_hyperlink_692" Type="http://schemas.openxmlformats.org/officeDocument/2006/relationships/hyperlink" Target="https%3A%2F%2Fwww.webofscience.com%2Fwos%2Fwoscc%2Ffull-record%2F" TargetMode="External"/><Relationship Id="rId_hyperlink_693" Type="http://schemas.openxmlformats.org/officeDocument/2006/relationships/hyperlink" Target="http://dx.doi.org/10.1016/j.watres.2023.120140" TargetMode="External"/><Relationship Id="rId_hyperlink_694" Type="http://schemas.openxmlformats.org/officeDocument/2006/relationships/hyperlink" Target="https%3A%2F%2Fwww.webofscience.com%2Fwos%2Fwoscc%2Ffull-record%2F" TargetMode="External"/><Relationship Id="rId_hyperlink_695" Type="http://schemas.openxmlformats.org/officeDocument/2006/relationships/hyperlink" Target="http://dx.doi.org/10.1016/j.ecolmodel.2021.109532" TargetMode="External"/><Relationship Id="rId_hyperlink_696" Type="http://schemas.openxmlformats.org/officeDocument/2006/relationships/hyperlink" Target="https%3A%2F%2Fwww.webofscience.com%2Fwos%2Fwoscc%2Ffull-record%2F" TargetMode="External"/><Relationship Id="rId_hyperlink_697" Type="http://schemas.openxmlformats.org/officeDocument/2006/relationships/hyperlink" Target="http://dx.doi.org/10.1111/jiec.12384" TargetMode="External"/><Relationship Id="rId_hyperlink_698" Type="http://schemas.openxmlformats.org/officeDocument/2006/relationships/hyperlink" Target="https%3A%2F%2Fwww.webofscience.com%2Fwos%2Fwoscc%2Ffull-record%2F" TargetMode="External"/><Relationship Id="rId_hyperlink_699" Type="http://schemas.openxmlformats.org/officeDocument/2006/relationships/hyperlink" Target="http://dx.doi.org/10.1016/j.jclepro.2012.09.014" TargetMode="External"/><Relationship Id="rId_hyperlink_700" Type="http://schemas.openxmlformats.org/officeDocument/2006/relationships/hyperlink" Target="https%3A%2F%2Fwww.webofscience.com%2Fwos%2Fwoscc%2Ffull-record%2F" TargetMode="External"/><Relationship Id="rId_hyperlink_701" Type="http://schemas.openxmlformats.org/officeDocument/2006/relationships/hyperlink" Target="http://dx.doi.org/10.1007/s11269-012-0009-1" TargetMode="External"/><Relationship Id="rId_hyperlink_702" Type="http://schemas.openxmlformats.org/officeDocument/2006/relationships/hyperlink" Target="https%3A%2F%2Fwww.webofscience.com%2Fwos%2Fwoscc%2Ffull-record%2F" TargetMode="External"/><Relationship Id="rId_hyperlink_703" Type="http://schemas.openxmlformats.org/officeDocument/2006/relationships/hyperlink" Target="http://dx.doi.org/10.1016/j.envpol.2023.123089" TargetMode="External"/><Relationship Id="rId_hyperlink_704" Type="http://schemas.openxmlformats.org/officeDocument/2006/relationships/hyperlink" Target="https%3A%2F%2Fwww.webofscience.com%2Fwos%2Fwoscc%2Ffull-record%2F" TargetMode="External"/><Relationship Id="rId_hyperlink_705" Type="http://schemas.openxmlformats.org/officeDocument/2006/relationships/hyperlink" Target="http://dx.doi.org/10.3389/frsc.2021.807735" TargetMode="External"/><Relationship Id="rId_hyperlink_706" Type="http://schemas.openxmlformats.org/officeDocument/2006/relationships/hyperlink" Target="https%3A%2F%2Fwww.webofscience.com%2Fwos%2Fwoscc%2Ffull-record%2F" TargetMode="External"/><Relationship Id="rId_hyperlink_707" Type="http://schemas.openxmlformats.org/officeDocument/2006/relationships/hyperlink" Target="http://dx.doi.org/10.1016/j.jclepro.2019.118115" TargetMode="External"/><Relationship Id="rId_hyperlink_708" Type="http://schemas.openxmlformats.org/officeDocument/2006/relationships/hyperlink" Target="https%3A%2F%2Fwww.webofscience.com%2Fwos%2Fwoscc%2Ffull-record%2F" TargetMode="External"/><Relationship Id="rId_hyperlink_709" Type="http://schemas.openxmlformats.org/officeDocument/2006/relationships/hyperlink" Target="http://dx.doi.org/10.1016/j.landurbplan.2021.104055" TargetMode="External"/><Relationship Id="rId_hyperlink_710" Type="http://schemas.openxmlformats.org/officeDocument/2006/relationships/hyperlink" Target="https%3A%2F%2Fwww.webofscience.com%2Fwos%2Fwoscc%2Ffull-record%2F" TargetMode="External"/><Relationship Id="rId_hyperlink_711" Type="http://schemas.openxmlformats.org/officeDocument/2006/relationships/hyperlink" Target="http://dx.doi.org/10.1016/j.enpol.2010.07.053" TargetMode="External"/><Relationship Id="rId_hyperlink_712" Type="http://schemas.openxmlformats.org/officeDocument/2006/relationships/hyperlink" Target="https%3A%2F%2Fwww.webofscience.com%2Fwos%2Fwoscc%2Ffull-record%2F" TargetMode="External"/><Relationship Id="rId_hyperlink_713" Type="http://schemas.openxmlformats.org/officeDocument/2006/relationships/hyperlink" Target="http://dx.doi.org/10.1016/j.jclepro.2023.138469" TargetMode="External"/><Relationship Id="rId_hyperlink_714" Type="http://schemas.openxmlformats.org/officeDocument/2006/relationships/hyperlink" Target="https%3A%2F%2Fwww.webofscience.com%2Fwos%2Fwoscc%2Ffull-record%2F" TargetMode="External"/><Relationship Id="rId_hyperlink_715" Type="http://schemas.openxmlformats.org/officeDocument/2006/relationships/hyperlink" Target="http://dx.doi.org/10.1177/0096144207301416" TargetMode="External"/><Relationship Id="rId_hyperlink_716" Type="http://schemas.openxmlformats.org/officeDocument/2006/relationships/hyperlink" Target="https%3A%2F%2Fwww.webofscience.com%2Fwos%2Fwoscc%2Ffull-record%2F" TargetMode="External"/><Relationship Id="rId_hyperlink_717" Type="http://schemas.openxmlformats.org/officeDocument/2006/relationships/hyperlink" Target="http://dx.doi.org/10.1016/j.cosust.2013.03.005" TargetMode="External"/><Relationship Id="rId_hyperlink_718" Type="http://schemas.openxmlformats.org/officeDocument/2006/relationships/hyperlink" Target="https%3A%2F%2Fwww.webofscience.com%2Fwos%2Fwoscc%2Ffull-record%2F" TargetMode="External"/><Relationship Id="rId_hyperlink_719" Type="http://schemas.openxmlformats.org/officeDocument/2006/relationships/hyperlink" Target="http://dx.doi.org/10.13128/techne-10686" TargetMode="External"/><Relationship Id="rId_hyperlink_720" Type="http://schemas.openxmlformats.org/officeDocument/2006/relationships/hyperlink" Target="https%3A%2F%2Fwww.webofscience.com%2Fwos%2Fwoscc%2Ffull-record%2F" TargetMode="External"/><Relationship Id="rId_hyperlink_721" Type="http://schemas.openxmlformats.org/officeDocument/2006/relationships/hyperlink" Target="http://dx.doi.org/10.37230/CyTET.2022.213.3" TargetMode="External"/><Relationship Id="rId_hyperlink_722" Type="http://schemas.openxmlformats.org/officeDocument/2006/relationships/hyperlink" Target="https%3A%2F%2Fwww.webofscience.com%2Fwos%2Fwoscc%2Ffull-record%2F" TargetMode="External"/><Relationship Id="rId_hyperlink_723" Type="http://schemas.openxmlformats.org/officeDocument/2006/relationships/hyperlink" Target="http://dx.doi.org/10.1080/02723638.2020.1748296" TargetMode="External"/><Relationship Id="rId_hyperlink_724" Type="http://schemas.openxmlformats.org/officeDocument/2006/relationships/hyperlink" Target="https%3A%2F%2Fwww.webofscience.com%2Fwos%2Fwoscc%2Ffull-record%2F" TargetMode="External"/><Relationship Id="rId_hyperlink_725" Type="http://schemas.openxmlformats.org/officeDocument/2006/relationships/hyperlink" Target="http://dx.doi.org/10.1177/0739456X211027638" TargetMode="External"/><Relationship Id="rId_hyperlink_726" Type="http://schemas.openxmlformats.org/officeDocument/2006/relationships/hyperlink" Target="https%3A%2F%2Fwww.webofscience.com%2Fwos%2Fwoscc%2Ffull-record%2F" TargetMode="External"/><Relationship Id="rId_hyperlink_727" Type="http://schemas.openxmlformats.org/officeDocument/2006/relationships/hyperlink" Target="http://dx.doi.org/10.1007/s11115-018-0421-y" TargetMode="External"/><Relationship Id="rId_hyperlink_728" Type="http://schemas.openxmlformats.org/officeDocument/2006/relationships/hyperlink" Target="https%3A%2F%2Fwww.webofscience.com%2Fwos%2Fwoscc%2Ffull-record%2F" TargetMode="External"/><Relationship Id="rId_hyperlink_729" Type="http://schemas.openxmlformats.org/officeDocument/2006/relationships/hyperlink" Target="http://dx.doi.org/10.18778/1231-1952.27.2.03" TargetMode="External"/><Relationship Id="rId_hyperlink_730" Type="http://schemas.openxmlformats.org/officeDocument/2006/relationships/hyperlink" Target="https%3A%2F%2Fwww.webofscience.com%2Fwos%2Fwoscc%2Ffull-record%2F" TargetMode="External"/><Relationship Id="rId_hyperlink_731" Type="http://schemas.openxmlformats.org/officeDocument/2006/relationships/hyperlink" Target="https%3A%2F%2Fwww.webofscience.com%2Fwos%2Fwoscc%2Ffull-record%2F" TargetMode="External"/><Relationship Id="rId_hyperlink_732" Type="http://schemas.openxmlformats.org/officeDocument/2006/relationships/hyperlink" Target="http://dx.doi.org/10.3390/w11051082" TargetMode="External"/><Relationship Id="rId_hyperlink_733" Type="http://schemas.openxmlformats.org/officeDocument/2006/relationships/hyperlink" Target="https%3A%2F%2Fwww.webofscience.com%2Fwos%2Fwoscc%2Ffull-record%2F" TargetMode="External"/><Relationship Id="rId_hyperlink_734" Type="http://schemas.openxmlformats.org/officeDocument/2006/relationships/hyperlink" Target="http://dx.doi.org/10.1016/j.ecolind.2013.03.014" TargetMode="External"/><Relationship Id="rId_hyperlink_735" Type="http://schemas.openxmlformats.org/officeDocument/2006/relationships/hyperlink" Target="https%3A%2F%2Fwww.webofscience.com%2Fwos%2Fwoscc%2Ffull-record%2F" TargetMode="External"/><Relationship Id="rId_hyperlink_736" Type="http://schemas.openxmlformats.org/officeDocument/2006/relationships/hyperlink" Target="http://dx.doi.org/10.1007/s11442-014-1111-5" TargetMode="External"/><Relationship Id="rId_hyperlink_737" Type="http://schemas.openxmlformats.org/officeDocument/2006/relationships/hyperlink" Target="https%3A%2F%2Fwww.webofscience.com%2Fwos%2Fwoscc%2Ffull-record%2F" TargetMode="External"/><Relationship Id="rId_hyperlink_738" Type="http://schemas.openxmlformats.org/officeDocument/2006/relationships/hyperlink" Target="http://dx.doi.org/10.1016/j.scitotenv.2020.143133" TargetMode="External"/><Relationship Id="rId_hyperlink_739" Type="http://schemas.openxmlformats.org/officeDocument/2006/relationships/hyperlink" Target="https%3A%2F%2Fwww.webofscience.com%2Fwos%2Fwoscc%2Ffull-record%2F" TargetMode="External"/><Relationship Id="rId_hyperlink_740" Type="http://schemas.openxmlformats.org/officeDocument/2006/relationships/hyperlink" Target="http://dx.doi.org/10.1016/j.jclepro.2019.06.252" TargetMode="External"/><Relationship Id="rId_hyperlink_741" Type="http://schemas.openxmlformats.org/officeDocument/2006/relationships/hyperlink" Target="https%3A%2F%2Fwww.webofscience.com%2Fwos%2Fwoscc%2Ffull-record%2F" TargetMode="External"/><Relationship Id="rId_hyperlink_742" Type="http://schemas.openxmlformats.org/officeDocument/2006/relationships/hyperlink" Target="http://dx.doi.org/10.1088/1748-9326/ab0767" TargetMode="External"/><Relationship Id="rId_hyperlink_743" Type="http://schemas.openxmlformats.org/officeDocument/2006/relationships/hyperlink" Target="https%3A%2F%2Fwww.webofscience.com%2Fwos%2Fwoscc%2Ffull-record%2F" TargetMode="External"/><Relationship Id="rId_hyperlink_744" Type="http://schemas.openxmlformats.org/officeDocument/2006/relationships/hyperlink" Target="http://dx.doi.org/10.1016/j.jclepro.2017.08.030" TargetMode="External"/><Relationship Id="rId_hyperlink_745" Type="http://schemas.openxmlformats.org/officeDocument/2006/relationships/hyperlink" Target="https%3A%2F%2Fwww.webofscience.com%2Fwos%2Fwoscc%2Ffull-record%2F" TargetMode="External"/><Relationship Id="rId_hyperlink_746" Type="http://schemas.openxmlformats.org/officeDocument/2006/relationships/hyperlink" Target="http://dx.doi.org/10.1108/DPRG-06-2020-0085" TargetMode="External"/><Relationship Id="rId_hyperlink_747" Type="http://schemas.openxmlformats.org/officeDocument/2006/relationships/hyperlink" Target="https%3A%2F%2Fwww.webofscience.com%2Fwos%2Fwoscc%2Ffull-record%2F" TargetMode="External"/><Relationship Id="rId_hyperlink_748" Type="http://schemas.openxmlformats.org/officeDocument/2006/relationships/hyperlink" Target="http://dx.doi.org/10.1016/j.scitotenv.2016.08.159" TargetMode="External"/><Relationship Id="rId_hyperlink_749" Type="http://schemas.openxmlformats.org/officeDocument/2006/relationships/hyperlink" Target="https%3A%2F%2Fwww.webofscience.com%2Fwos%2Fwoscc%2Ffull-record%2F" TargetMode="External"/><Relationship Id="rId_hyperlink_750" Type="http://schemas.openxmlformats.org/officeDocument/2006/relationships/hyperlink" Target="http://dx.doi.org/10.5890/JEAM.2019.06.005" TargetMode="External"/><Relationship Id="rId_hyperlink_751" Type="http://schemas.openxmlformats.org/officeDocument/2006/relationships/hyperlink" Target="https%3A%2F%2Fwww.webofscience.com%2Fwos%2Fwoscc%2Ffull-record%2F" TargetMode="External"/><Relationship Id="rId_hyperlink_752" Type="http://schemas.openxmlformats.org/officeDocument/2006/relationships/hyperlink" Target="http://dx.doi.org/10.1016/j.jclepro.2015.10.137" TargetMode="External"/><Relationship Id="rId_hyperlink_753" Type="http://schemas.openxmlformats.org/officeDocument/2006/relationships/hyperlink" Target="https%3A%2F%2Fwww.webofscience.com%2Fwos%2Fwoscc%2Ffull-record%2F" TargetMode="External"/><Relationship Id="rId_hyperlink_754" Type="http://schemas.openxmlformats.org/officeDocument/2006/relationships/hyperlink" Target="http://dx.doi.org/10.3390/su13169292" TargetMode="External"/><Relationship Id="rId_hyperlink_755" Type="http://schemas.openxmlformats.org/officeDocument/2006/relationships/hyperlink" Target="https%3A%2F%2Fwww.webofscience.com%2Fwos%2Fwoscc%2Ffull-record%2F" TargetMode="External"/><Relationship Id="rId_hyperlink_756" Type="http://schemas.openxmlformats.org/officeDocument/2006/relationships/hyperlink" Target="https%3A%2F%2Fwww.webofscience.com%2Fwos%2Fwoscc%2Ffull-record%2F" TargetMode="External"/><Relationship Id="rId_hyperlink_757" Type="http://schemas.openxmlformats.org/officeDocument/2006/relationships/hyperlink" Target="http://dx.doi.org/10.1680/jener.17.00010" TargetMode="External"/><Relationship Id="rId_hyperlink_758" Type="http://schemas.openxmlformats.org/officeDocument/2006/relationships/hyperlink" Target="https%3A%2F%2Fwww.webofscience.com%2Fwos%2Fwoscc%2Ffull-record%2F" TargetMode="External"/><Relationship Id="rId_hyperlink_759" Type="http://schemas.openxmlformats.org/officeDocument/2006/relationships/hyperlink" Target="http://dx.doi.org/10.1177/0309132513500443" TargetMode="External"/><Relationship Id="rId_hyperlink_760" Type="http://schemas.openxmlformats.org/officeDocument/2006/relationships/hyperlink" Target="https%3A%2F%2Fwww.webofscience.com%2Fwos%2Fwoscc%2Ffull-record%2F" TargetMode="External"/><Relationship Id="rId_hyperlink_761" Type="http://schemas.openxmlformats.org/officeDocument/2006/relationships/hyperlink" Target="http://dx.doi.org/10.13044/j.sdewes.d8.0323" TargetMode="External"/><Relationship Id="rId_hyperlink_762" Type="http://schemas.openxmlformats.org/officeDocument/2006/relationships/hyperlink" Target="https%3A%2F%2Fwww.webofscience.com%2Fwos%2Fwoscc%2Ffull-record%2F" TargetMode="External"/><Relationship Id="rId_hyperlink_763" Type="http://schemas.openxmlformats.org/officeDocument/2006/relationships/hyperlink" Target="http://dx.doi.org/10.14718/RevArq.2019.21.2.2048" TargetMode="External"/><Relationship Id="rId_hyperlink_764" Type="http://schemas.openxmlformats.org/officeDocument/2006/relationships/hyperlink" Target="https%3A%2F%2Fwww.webofscience.com%2Fwos%2Fwoscc%2Ffull-record%2F" TargetMode="External"/><Relationship Id="rId_hyperlink_765" Type="http://schemas.openxmlformats.org/officeDocument/2006/relationships/hyperlink" Target="http://dx.doi.org/10.1016/j.jclepro.2019.04.039" TargetMode="External"/><Relationship Id="rId_hyperlink_766" Type="http://schemas.openxmlformats.org/officeDocument/2006/relationships/hyperlink" Target="https%3A%2F%2Fwww.webofscience.com%2Fwos%2Fwoscc%2Ffull-record%2F" TargetMode="External"/><Relationship Id="rId_hyperlink_767" Type="http://schemas.openxmlformats.org/officeDocument/2006/relationships/hyperlink" Target="http://dx.doi.org/10.1016/j.esr.2022.101041" TargetMode="External"/><Relationship Id="rId_hyperlink_768" Type="http://schemas.openxmlformats.org/officeDocument/2006/relationships/hyperlink" Target="https%3A%2F%2Fwww.webofscience.com%2Fwos%2Fwoscc%2Ffull-record%2F" TargetMode="External"/><Relationship Id="rId_hyperlink_769" Type="http://schemas.openxmlformats.org/officeDocument/2006/relationships/hyperlink" Target="http://dx.doi.org/10.1016/j.biortech.2021.124712" TargetMode="External"/><Relationship Id="rId_hyperlink_770" Type="http://schemas.openxmlformats.org/officeDocument/2006/relationships/hyperlink" Target="https%3A%2F%2Fwww.webofscience.com%2Fwos%2Fwoscc%2Ffull-record%2F" TargetMode="External"/><Relationship Id="rId_hyperlink_771" Type="http://schemas.openxmlformats.org/officeDocument/2006/relationships/hyperlink" Target="https%3A%2F%2Fwww.webofscience.com%2Fwos%2Fwoscc%2Ffull-record%2F" TargetMode="External"/><Relationship Id="rId_hyperlink_772" Type="http://schemas.openxmlformats.org/officeDocument/2006/relationships/hyperlink" Target="http://dx.doi.org/10.1068/b31113" TargetMode="External"/><Relationship Id="rId_hyperlink_773" Type="http://schemas.openxmlformats.org/officeDocument/2006/relationships/hyperlink" Target="https%3A%2F%2Fwww.webofscience.com%2Fwos%2Fwoscc%2Ffull-record%2F" TargetMode="External"/><Relationship Id="rId_hyperlink_774" Type="http://schemas.openxmlformats.org/officeDocument/2006/relationships/hyperlink" Target="http://dx.doi.org/10.1016/j.envpol.2012.07.010" TargetMode="External"/><Relationship Id="rId_hyperlink_775" Type="http://schemas.openxmlformats.org/officeDocument/2006/relationships/hyperlink" Target="https%3A%2F%2Fwww.webofscience.com%2Fwos%2Fwoscc%2Ffull-record%2F" TargetMode="External"/><Relationship Id="rId_hyperlink_776" Type="http://schemas.openxmlformats.org/officeDocument/2006/relationships/hyperlink" Target="http://dx.doi.org/10.1007/s13280-012-0350-x" TargetMode="External"/><Relationship Id="rId_hyperlink_777" Type="http://schemas.openxmlformats.org/officeDocument/2006/relationships/hyperlink" Target="https%3A%2F%2Fwww.webofscience.com%2Fwos%2Fwoscc%2Ffull-record%2F" TargetMode="External"/><Relationship Id="rId_hyperlink_778" Type="http://schemas.openxmlformats.org/officeDocument/2006/relationships/hyperlink" Target="http://dx.doi.org/10.1016/j.jobe.2021.103008" TargetMode="External"/><Relationship Id="rId_hyperlink_779" Type="http://schemas.openxmlformats.org/officeDocument/2006/relationships/hyperlink" Target="https%3A%2F%2Fwww.webofscience.com%2Fwos%2Fwoscc%2Ffull-record%2F" TargetMode="External"/><Relationship Id="rId_hyperlink_780" Type="http://schemas.openxmlformats.org/officeDocument/2006/relationships/hyperlink" Target="http://dx.doi.org/10.2166/ws.2023.015" TargetMode="External"/><Relationship Id="rId_hyperlink_781" Type="http://schemas.openxmlformats.org/officeDocument/2006/relationships/hyperlink" Target="https%3A%2F%2Fwww.webofscience.com%2Fwos%2Fwoscc%2Ffull-record%2F" TargetMode="External"/><Relationship Id="rId_hyperlink_782" Type="http://schemas.openxmlformats.org/officeDocument/2006/relationships/hyperlink" Target="http://dx.doi.org/10.1177/0096144215601054" TargetMode="External"/><Relationship Id="rId_hyperlink_783" Type="http://schemas.openxmlformats.org/officeDocument/2006/relationships/hyperlink" Target="https%3A%2F%2Fwww.webofscience.com%2Fwos%2Fwoscc%2Ffull-record%2F" TargetMode="External"/><Relationship Id="rId_hyperlink_784" Type="http://schemas.openxmlformats.org/officeDocument/2006/relationships/hyperlink" Target="http://dx.doi.org/10.1016/j.envpol.2014.03.038" TargetMode="External"/><Relationship Id="rId_hyperlink_785" Type="http://schemas.openxmlformats.org/officeDocument/2006/relationships/hyperlink" Target="https%3A%2F%2Fwww.webofscience.com%2Fwos%2Fwoscc%2Ffull-record%2F" TargetMode="External"/><Relationship Id="rId_hyperlink_786" Type="http://schemas.openxmlformats.org/officeDocument/2006/relationships/hyperlink" Target="http://dx.doi.org/10.1080/09640568.2020.1763931" TargetMode="External"/><Relationship Id="rId_hyperlink_787" Type="http://schemas.openxmlformats.org/officeDocument/2006/relationships/hyperlink" Target="https%3A%2F%2Fwww.webofscience.com%2Fwos%2Fwoscc%2Ffull-record%2F" TargetMode="External"/><Relationship Id="rId_hyperlink_788" Type="http://schemas.openxmlformats.org/officeDocument/2006/relationships/hyperlink" Target="http://dx.doi.org/10.1080/13504509.2011.570800" TargetMode="External"/><Relationship Id="rId_hyperlink_789" Type="http://schemas.openxmlformats.org/officeDocument/2006/relationships/hyperlink" Target="https%3A%2F%2Fwww.webofscience.com%2Fwos%2Fwoscc%2Ffull-record%2F" TargetMode="External"/><Relationship Id="rId_hyperlink_790" Type="http://schemas.openxmlformats.org/officeDocument/2006/relationships/hyperlink" Target="http://dx.doi.org/10.1016/j.ufug.2021.127108" TargetMode="External"/><Relationship Id="rId_hyperlink_791" Type="http://schemas.openxmlformats.org/officeDocument/2006/relationships/hyperlink" Target="https%3A%2F%2Fwww.webofscience.com%2Fwos%2Fwoscc%2Ffull-record%2F" TargetMode="External"/><Relationship Id="rId_hyperlink_792" Type="http://schemas.openxmlformats.org/officeDocument/2006/relationships/hyperlink" Target="http://dx.doi.org/10.1111/anti.12111" TargetMode="External"/><Relationship Id="rId_hyperlink_793" Type="http://schemas.openxmlformats.org/officeDocument/2006/relationships/hyperlink" Target="https%3A%2F%2Fwww.webofscience.com%2Fwos%2Fwoscc%2Ffull-record%2F" TargetMode="External"/><Relationship Id="rId_hyperlink_794" Type="http://schemas.openxmlformats.org/officeDocument/2006/relationships/hyperlink" Target="http://dx.doi.org/10.1080/1573062X.2015.1076858" TargetMode="External"/><Relationship Id="rId_hyperlink_795" Type="http://schemas.openxmlformats.org/officeDocument/2006/relationships/hyperlink" Target="https%3A%2F%2Fwww.webofscience.com%2Fwos%2Fwoscc%2Ffull-record%2F" TargetMode="External"/><Relationship Id="rId_hyperlink_796" Type="http://schemas.openxmlformats.org/officeDocument/2006/relationships/hyperlink" Target="http://dx.doi.org/10.1068/d13188p" TargetMode="External"/><Relationship Id="rId_hyperlink_797" Type="http://schemas.openxmlformats.org/officeDocument/2006/relationships/hyperlink" Target="https%3A%2F%2Fwww.webofscience.com%2Fwos%2Fwoscc%2Ffull-record%2F" TargetMode="External"/><Relationship Id="rId_hyperlink_798" Type="http://schemas.openxmlformats.org/officeDocument/2006/relationships/hyperlink" Target="http://dx.doi.org/10.1080/13264826.2021.1973049" TargetMode="External"/><Relationship Id="rId_hyperlink_799" Type="http://schemas.openxmlformats.org/officeDocument/2006/relationships/hyperlink" Target="https%3A%2F%2Fwww.webofscience.com%2Fwos%2Fwoscc%2Ffull-record%2F" TargetMode="External"/><Relationship Id="rId_hyperlink_800" Type="http://schemas.openxmlformats.org/officeDocument/2006/relationships/hyperlink" Target="http://dx.doi.org/10.2747/0272-3638.28.8.705" TargetMode="External"/><Relationship Id="rId_hyperlink_801" Type="http://schemas.openxmlformats.org/officeDocument/2006/relationships/hyperlink" Target="https%3A%2F%2Fwww.webofscience.com%2Fwos%2Fwoscc%2Ffull-record%2F" TargetMode="External"/><Relationship Id="rId_hyperlink_802" Type="http://schemas.openxmlformats.org/officeDocument/2006/relationships/hyperlink" Target="http://dx.doi.org/10.3390/buildings14010202" TargetMode="External"/><Relationship Id="rId_hyperlink_803" Type="http://schemas.openxmlformats.org/officeDocument/2006/relationships/hyperlink" Target="https%3A%2F%2Fwww.webofscience.com%2Fwos%2Fwoscc%2Ffull-record%2F" TargetMode="External"/><Relationship Id="rId_hyperlink_804" Type="http://schemas.openxmlformats.org/officeDocument/2006/relationships/hyperlink" Target="http://dx.doi.org/10.1007/s11430-016-9038-6" TargetMode="External"/><Relationship Id="rId_hyperlink_805" Type="http://schemas.openxmlformats.org/officeDocument/2006/relationships/hyperlink" Target="https%3A%2F%2Fwww.webofscience.com%2Fwos%2Fwoscc%2Ffull-record%2F" TargetMode="External"/><Relationship Id="rId_hyperlink_806" Type="http://schemas.openxmlformats.org/officeDocument/2006/relationships/hyperlink" Target="http://dx.doi.org/10.3390/su13041786" TargetMode="External"/><Relationship Id="rId_hyperlink_807" Type="http://schemas.openxmlformats.org/officeDocument/2006/relationships/hyperlink" Target="https%3A%2F%2Fwww.webofscience.com%2Fwos%2Fwoscc%2Ffull-record%2F" TargetMode="External"/><Relationship Id="rId_hyperlink_808" Type="http://schemas.openxmlformats.org/officeDocument/2006/relationships/hyperlink" Target="http://dx.doi.org/10.1007/s11367-018-1445-9" TargetMode="External"/><Relationship Id="rId_hyperlink_809" Type="http://schemas.openxmlformats.org/officeDocument/2006/relationships/hyperlink" Target="https%3A%2F%2Fwww.webofscience.com%2Fwos%2Fwoscc%2Ffull-record%2F" TargetMode="External"/><Relationship Id="rId_hyperlink_810" Type="http://schemas.openxmlformats.org/officeDocument/2006/relationships/hyperlink" Target="http://dx.doi.org/10.1007/s11356-022-24307-8" TargetMode="External"/><Relationship Id="rId_hyperlink_811" Type="http://schemas.openxmlformats.org/officeDocument/2006/relationships/hyperlink" Target="https%3A%2F%2Fwww.webofscience.com%2Fwos%2Fwoscc%2Ffull-record%2F" TargetMode="External"/><Relationship Id="rId_hyperlink_812" Type="http://schemas.openxmlformats.org/officeDocument/2006/relationships/hyperlink" Target="http://dx.doi.org/10.1016/j.rcradv.2022.200066" TargetMode="External"/><Relationship Id="rId_hyperlink_813" Type="http://schemas.openxmlformats.org/officeDocument/2006/relationships/hyperlink" Target="https%3A%2F%2Fwww.webofscience.com%2Fwos%2Fwoscc%2Ffull-record%2F" TargetMode="External"/><Relationship Id="rId_hyperlink_814" Type="http://schemas.openxmlformats.org/officeDocument/2006/relationships/hyperlink" Target="http://dx.doi.org/10.1016/j.jclepro.2016.03.034" TargetMode="External"/><Relationship Id="rId_hyperlink_815" Type="http://schemas.openxmlformats.org/officeDocument/2006/relationships/hyperlink" Target="https%3A%2F%2Fwww.webofscience.com%2Fwos%2Fwoscc%2Ffull-record%2F" TargetMode="External"/><Relationship Id="rId_hyperlink_816" Type="http://schemas.openxmlformats.org/officeDocument/2006/relationships/hyperlink" Target="http://dx.doi.org/10.17141/letrasverdes.34.2023.5960" TargetMode="External"/><Relationship Id="rId_hyperlink_817" Type="http://schemas.openxmlformats.org/officeDocument/2006/relationships/hyperlink" Target="https%3A%2F%2Fwww.webofscience.com%2Fwos%2Fwoscc%2Ffull-record%2F" TargetMode="External"/><Relationship Id="rId_hyperlink_818" Type="http://schemas.openxmlformats.org/officeDocument/2006/relationships/hyperlink" Target="http://dx.doi.org/10.1016/j.wasman.2015.03.036" TargetMode="External"/><Relationship Id="rId_hyperlink_819" Type="http://schemas.openxmlformats.org/officeDocument/2006/relationships/hyperlink" Target="https%3A%2F%2Fwww.webofscience.com%2Fwos%2Fwoscc%2Ffull-record%2F" TargetMode="External"/><Relationship Id="rId_hyperlink_820" Type="http://schemas.openxmlformats.org/officeDocument/2006/relationships/hyperlink" Target="http://dx.doi.org/10.14506/ca35.1.08" TargetMode="External"/><Relationship Id="rId_hyperlink_821" Type="http://schemas.openxmlformats.org/officeDocument/2006/relationships/hyperlink" Target="https%3A%2F%2Fwww.webofscience.com%2Fwos%2Fwoscc%2Ffull-record%2F" TargetMode="External"/><Relationship Id="rId_hyperlink_822" Type="http://schemas.openxmlformats.org/officeDocument/2006/relationships/hyperlink" Target="http://dx.doi.org/10.1111/jiec.12474" TargetMode="External"/><Relationship Id="rId_hyperlink_823" Type="http://schemas.openxmlformats.org/officeDocument/2006/relationships/hyperlink" Target="https%3A%2F%2Fwww.webofscience.com%2Fwos%2Fwoscc%2Ffull-record%2F" TargetMode="External"/><Relationship Id="rId_hyperlink_824" Type="http://schemas.openxmlformats.org/officeDocument/2006/relationships/hyperlink" Target="http://dx.doi.org/10.1111/jiec.12240" TargetMode="External"/><Relationship Id="rId_hyperlink_825" Type="http://schemas.openxmlformats.org/officeDocument/2006/relationships/hyperlink" Target="https%3A%2F%2Fwww.webofscience.com%2Fwos%2Fwoscc%2Ffull-record%2F" TargetMode="External"/><Relationship Id="rId_hyperlink_826" Type="http://schemas.openxmlformats.org/officeDocument/2006/relationships/hyperlink" Target="http://dx.doi.org/10.1080/08941920.2018.1475586" TargetMode="External"/><Relationship Id="rId_hyperlink_827" Type="http://schemas.openxmlformats.org/officeDocument/2006/relationships/hyperlink" Target="https%3A%2F%2Fwww.webofscience.com%2Fwos%2Fwoscc%2Ffull-record%2F" TargetMode="External"/><Relationship Id="rId_hyperlink_828" Type="http://schemas.openxmlformats.org/officeDocument/2006/relationships/hyperlink" Target="http://dx.doi.org/10.3989/arbor.2022.803-804003" TargetMode="External"/><Relationship Id="rId_hyperlink_829" Type="http://schemas.openxmlformats.org/officeDocument/2006/relationships/hyperlink" Target="https%3A%2F%2Fwww.webofscience.com%2Fwos%2Fwoscc%2Ffull-record%2F" TargetMode="External"/><Relationship Id="rId_hyperlink_830" Type="http://schemas.openxmlformats.org/officeDocument/2006/relationships/hyperlink" Target="https%3A%2F%2Fwww.webofscience.com%2Fwos%2Fwoscc%2Ffull-record%2F" TargetMode="External"/><Relationship Id="rId_hyperlink_831" Type="http://schemas.openxmlformats.org/officeDocument/2006/relationships/hyperlink" Target="http://dx.doi.org/10.14506/ca36.4.11" TargetMode="External"/><Relationship Id="rId_hyperlink_832" Type="http://schemas.openxmlformats.org/officeDocument/2006/relationships/hyperlink" Target="https%3A%2F%2Fwww.webofscience.com%2Fwos%2Fwoscc%2Ffull-record%2F" TargetMode="External"/><Relationship Id="rId_hyperlink_833" Type="http://schemas.openxmlformats.org/officeDocument/2006/relationships/hyperlink" Target="http://dx.doi.org/10.1016/j.apenergy.2018.01.028" TargetMode="External"/><Relationship Id="rId_hyperlink_834" Type="http://schemas.openxmlformats.org/officeDocument/2006/relationships/hyperlink" Target="https%3A%2F%2Fwww.webofscience.com%2Fwos%2Fwoscc%2Ffull-record%2F" TargetMode="External"/><Relationship Id="rId_hyperlink_835" Type="http://schemas.openxmlformats.org/officeDocument/2006/relationships/hyperlink" Target="http://dx.doi.org/10.1007/s12665-013-2866-1" TargetMode="External"/><Relationship Id="rId_hyperlink_836" Type="http://schemas.openxmlformats.org/officeDocument/2006/relationships/hyperlink" Target="https%3A%2F%2Fwww.webofscience.com%2Fwos%2Fwoscc%2Ffull-record%2F" TargetMode="External"/><Relationship Id="rId_hyperlink_837" Type="http://schemas.openxmlformats.org/officeDocument/2006/relationships/hyperlink" Target="http://dx.doi.org/10.3390/machines12010016" TargetMode="External"/><Relationship Id="rId_hyperlink_838" Type="http://schemas.openxmlformats.org/officeDocument/2006/relationships/hyperlink" Target="https%3A%2F%2Fwww.webofscience.com%2Fwos%2Fwoscc%2Ffull-record%2F" TargetMode="External"/><Relationship Id="rId_hyperlink_839" Type="http://schemas.openxmlformats.org/officeDocument/2006/relationships/hyperlink" Target="http://dx.doi.org/10.1016/S0959-3780(97)00009-5" TargetMode="External"/><Relationship Id="rId_hyperlink_840" Type="http://schemas.openxmlformats.org/officeDocument/2006/relationships/hyperlink" Target="https%3A%2F%2Fwww.webofscience.com%2Fwos%2Fwoscc%2Ffull-record%2F" TargetMode="External"/><Relationship Id="rId_hyperlink_841" Type="http://schemas.openxmlformats.org/officeDocument/2006/relationships/hyperlink" Target="http://dx.doi.org/10.1016/j.biortech.2020.123098" TargetMode="External"/><Relationship Id="rId_hyperlink_842" Type="http://schemas.openxmlformats.org/officeDocument/2006/relationships/hyperlink" Target="https%3A%2F%2Fwww.webofscience.com%2Fwos%2Fwoscc%2Ffull-record%2F" TargetMode="External"/><Relationship Id="rId_hyperlink_843" Type="http://schemas.openxmlformats.org/officeDocument/2006/relationships/hyperlink" Target="http://dx.doi.org/10.1016/j.ecolmodel.2012.08.017" TargetMode="External"/><Relationship Id="rId_hyperlink_844" Type="http://schemas.openxmlformats.org/officeDocument/2006/relationships/hyperlink" Target="https%3A%2F%2Fwww.webofscience.com%2Fwos%2Fwoscc%2Ffull-record%2F" TargetMode="External"/><Relationship Id="rId_hyperlink_845" Type="http://schemas.openxmlformats.org/officeDocument/2006/relationships/hyperlink" Target="http://dx.doi.org/10.3390/su16020603" TargetMode="External"/><Relationship Id="rId_hyperlink_846" Type="http://schemas.openxmlformats.org/officeDocument/2006/relationships/hyperlink" Target="https%3A%2F%2Fwww.webofscience.com%2Fwos%2Fwoscc%2Ffull-record%2F" TargetMode="External"/><Relationship Id="rId_hyperlink_847" Type="http://schemas.openxmlformats.org/officeDocument/2006/relationships/hyperlink" Target="http://dx.doi.org/10.1177/0734242X211000430" TargetMode="External"/><Relationship Id="rId_hyperlink_848" Type="http://schemas.openxmlformats.org/officeDocument/2006/relationships/hyperlink" Target="https%3A%2F%2Fwww.webofscience.com%2Fwos%2Fwoscc%2Ffull-record%2F" TargetMode="External"/><Relationship Id="rId_hyperlink_849" Type="http://schemas.openxmlformats.org/officeDocument/2006/relationships/hyperlink" Target="http://dx.doi.org/10.1080/14786451.2022.2039140" TargetMode="External"/><Relationship Id="rId_hyperlink_850" Type="http://schemas.openxmlformats.org/officeDocument/2006/relationships/hyperlink" Target="https%3A%2F%2Fwww.webofscience.com%2Fwos%2Fwoscc%2Ffull-record%2F" TargetMode="External"/><Relationship Id="rId_hyperlink_851" Type="http://schemas.openxmlformats.org/officeDocument/2006/relationships/hyperlink" Target="http://dx.doi.org/10.1111/j.1530-9290.2012.00530.x" TargetMode="External"/><Relationship Id="rId_hyperlink_852" Type="http://schemas.openxmlformats.org/officeDocument/2006/relationships/hyperlink" Target="https%3A%2F%2Fwww.webofscience.com%2Fwos%2Fwoscc%2Ffull-record%2F" TargetMode="External"/><Relationship Id="rId_hyperlink_853" Type="http://schemas.openxmlformats.org/officeDocument/2006/relationships/hyperlink" Target="http://dx.doi.org/10.1016/j.jclepro.2016.10.068" TargetMode="External"/><Relationship Id="rId_hyperlink_854" Type="http://schemas.openxmlformats.org/officeDocument/2006/relationships/hyperlink" Target="https%3A%2F%2Fwww.webofscience.com%2Fwos%2Fwoscc%2Ffull-record%2F" TargetMode="External"/><Relationship Id="rId_hyperlink_855" Type="http://schemas.openxmlformats.org/officeDocument/2006/relationships/hyperlink" Target="http://dx.doi.org/10.2166/wst.2011.070" TargetMode="External"/><Relationship Id="rId_hyperlink_856" Type="http://schemas.openxmlformats.org/officeDocument/2006/relationships/hyperlink" Target="https%3A%2F%2Fwww.webofscience.com%2Fwos%2Fwoscc%2Ffull-record%2F" TargetMode="External"/><Relationship Id="rId_hyperlink_857" Type="http://schemas.openxmlformats.org/officeDocument/2006/relationships/hyperlink" Target="http://dx.doi.org/10.1007/s11367-018-1453-9" TargetMode="External"/><Relationship Id="rId_hyperlink_858" Type="http://schemas.openxmlformats.org/officeDocument/2006/relationships/hyperlink" Target="https%3A%2F%2Fwww.webofscience.com%2Fwos%2Fwoscc%2Ffull-record%2F" TargetMode="External"/><Relationship Id="rId_hyperlink_859" Type="http://schemas.openxmlformats.org/officeDocument/2006/relationships/hyperlink" Target="http://dx.doi.org/10.1016/j.resconrec.2017.10.016" TargetMode="External"/><Relationship Id="rId_hyperlink_860" Type="http://schemas.openxmlformats.org/officeDocument/2006/relationships/hyperlink" Target="https%3A%2F%2Fwww.webofscience.com%2Fwos%2Fwoscc%2Ffull-record%2F" TargetMode="External"/><Relationship Id="rId_hyperlink_861" Type="http://schemas.openxmlformats.org/officeDocument/2006/relationships/hyperlink" Target="http://dx.doi.org/10.1016/j.energy.2018.05.073" TargetMode="External"/><Relationship Id="rId_hyperlink_862" Type="http://schemas.openxmlformats.org/officeDocument/2006/relationships/hyperlink" Target="https%3A%2F%2Fwww.webofscience.com%2Fwos%2Fwoscc%2Ffull-record%2F" TargetMode="External"/><Relationship Id="rId_hyperlink_863" Type="http://schemas.openxmlformats.org/officeDocument/2006/relationships/hyperlink" Target="http://dx.doi.org/10.3390/su132111657" TargetMode="External"/><Relationship Id="rId_hyperlink_864" Type="http://schemas.openxmlformats.org/officeDocument/2006/relationships/hyperlink" Target="https%3A%2F%2Fwww.webofscience.com%2Fwos%2Fwoscc%2Ffull-record%2F" TargetMode="External"/><Relationship Id="rId_hyperlink_865" Type="http://schemas.openxmlformats.org/officeDocument/2006/relationships/hyperlink" Target="http://dx.doi.org/10.3390/su12208336" TargetMode="External"/><Relationship Id="rId_hyperlink_866" Type="http://schemas.openxmlformats.org/officeDocument/2006/relationships/hyperlink" Target="https%3A%2F%2Fwww.webofscience.com%2Fwos%2Fwoscc%2Ffull-record%2F" TargetMode="External"/><Relationship Id="rId_hyperlink_867" Type="http://schemas.openxmlformats.org/officeDocument/2006/relationships/hyperlink" Target="http://dx.doi.org/10.3389/frsc.2020.00012" TargetMode="External"/><Relationship Id="rId_hyperlink_868" Type="http://schemas.openxmlformats.org/officeDocument/2006/relationships/hyperlink" Target="https%3A%2F%2Fwww.webofscience.com%2Fwos%2Fwoscc%2Ffull-record%2F" TargetMode="External"/><Relationship Id="rId_hyperlink_869" Type="http://schemas.openxmlformats.org/officeDocument/2006/relationships/hyperlink" Target="http://dx.doi.org/10.2166/wst.2012.071" TargetMode="External"/><Relationship Id="rId_hyperlink_870" Type="http://schemas.openxmlformats.org/officeDocument/2006/relationships/hyperlink" Target="https%3A%2F%2Fwww.webofscience.com%2Fwos%2Fwoscc%2Ffull-record%2F" TargetMode="External"/><Relationship Id="rId_hyperlink_871" Type="http://schemas.openxmlformats.org/officeDocument/2006/relationships/hyperlink" Target="http://dx.doi.org/10.2458/v26i1.23257" TargetMode="External"/><Relationship Id="rId_hyperlink_872" Type="http://schemas.openxmlformats.org/officeDocument/2006/relationships/hyperlink" Target="https%3A%2F%2Fwww.webofscience.com%2Fwos%2Fwoscc%2Ffull-record%2F" TargetMode="External"/><Relationship Id="rId_hyperlink_873" Type="http://schemas.openxmlformats.org/officeDocument/2006/relationships/hyperlink" Target="http://dx.doi.org/10.1016/j.cities.2019.102494" TargetMode="External"/><Relationship Id="rId_hyperlink_874" Type="http://schemas.openxmlformats.org/officeDocument/2006/relationships/hyperlink" Target="https%3A%2F%2Fwww.webofscience.com%2Fwos%2Fwoscc%2Ffull-record%2F" TargetMode="External"/><Relationship Id="rId_hyperlink_875" Type="http://schemas.openxmlformats.org/officeDocument/2006/relationships/hyperlink" Target="http://dx.doi.org/10.1016/j.enpol.2009.08.050" TargetMode="External"/><Relationship Id="rId_hyperlink_876" Type="http://schemas.openxmlformats.org/officeDocument/2006/relationships/hyperlink" Target="https%3A%2F%2Fwww.webofscience.com%2Fwos%2Fwoscc%2Ffull-record%2F" TargetMode="External"/><Relationship Id="rId_hyperlink_877" Type="http://schemas.openxmlformats.org/officeDocument/2006/relationships/hyperlink" Target="http://dx.doi.org/10.2166/wcc.2011.005" TargetMode="External"/><Relationship Id="rId_hyperlink_878" Type="http://schemas.openxmlformats.org/officeDocument/2006/relationships/hyperlink" Target="https%3A%2F%2Fwww.webofscience.com%2Fwos%2Fwoscc%2Ffull-record%2F" TargetMode="External"/><Relationship Id="rId_hyperlink_879" Type="http://schemas.openxmlformats.org/officeDocument/2006/relationships/hyperlink" Target="http://dx.doi.org/10.1038/s41893-019-0225-2" TargetMode="External"/><Relationship Id="rId_hyperlink_880" Type="http://schemas.openxmlformats.org/officeDocument/2006/relationships/hyperlink" Target="https%3A%2F%2Fwww.webofscience.com%2Fwos%2Fwoscc%2Ffull-record%2F" TargetMode="External"/><Relationship Id="rId_hyperlink_881" Type="http://schemas.openxmlformats.org/officeDocument/2006/relationships/hyperlink" Target="http://dx.doi.org/10.1016/j.ecolmodel.2013.10.003" TargetMode="External"/><Relationship Id="rId_hyperlink_882" Type="http://schemas.openxmlformats.org/officeDocument/2006/relationships/hyperlink" Target="https%3A%2F%2Fwww.webofscience.com%2Fwos%2Fwoscc%2Ffull-record%2F" TargetMode="External"/><Relationship Id="rId_hyperlink_883" Type="http://schemas.openxmlformats.org/officeDocument/2006/relationships/hyperlink" Target="http://dx.doi.org/10.1111/1468-2427.12549" TargetMode="External"/><Relationship Id="rId_hyperlink_884" Type="http://schemas.openxmlformats.org/officeDocument/2006/relationships/hyperlink" Target="https%3A%2F%2Fwww.webofscience.com%2Fwos%2Fwoscc%2Ffull-record%2F" TargetMode="External"/><Relationship Id="rId_hyperlink_885" Type="http://schemas.openxmlformats.org/officeDocument/2006/relationships/hyperlink" Target="http://dx.doi.org/10.1007/s00048-017-0159-6" TargetMode="External"/><Relationship Id="rId_hyperlink_886" Type="http://schemas.openxmlformats.org/officeDocument/2006/relationships/hyperlink" Target="https%3A%2F%2Fwww.webofscience.com%2Fwos%2Fwoscc%2Ffull-record%2F" TargetMode="External"/><Relationship Id="rId_hyperlink_887" Type="http://schemas.openxmlformats.org/officeDocument/2006/relationships/hyperlink" Target="http://dx.doi.org/10.1016/j.ancene.2017.08.001" TargetMode="External"/><Relationship Id="rId_hyperlink_888" Type="http://schemas.openxmlformats.org/officeDocument/2006/relationships/hyperlink" Target="https%3A%2F%2Fwww.webofscience.com%2Fwos%2Fwoscc%2Ffull-record%2F" TargetMode="External"/><Relationship Id="rId_hyperlink_889" Type="http://schemas.openxmlformats.org/officeDocument/2006/relationships/hyperlink" Target="http://dx.doi.org/10.1080/09640568.2019.1690435" TargetMode="External"/><Relationship Id="rId_hyperlink_890" Type="http://schemas.openxmlformats.org/officeDocument/2006/relationships/hyperlink" Target="https%3A%2F%2Fwww.webofscience.com%2Fwos%2Fwoscc%2Ffull-record%2F" TargetMode="External"/><Relationship Id="rId_hyperlink_891" Type="http://schemas.openxmlformats.org/officeDocument/2006/relationships/hyperlink" Target="http://dx.doi.org/10.1016/j.jclepro.2017.08.244" TargetMode="External"/><Relationship Id="rId_hyperlink_892" Type="http://schemas.openxmlformats.org/officeDocument/2006/relationships/hyperlink" Target="https%3A%2F%2Fwww.webofscience.com%2Fwos%2Fwoscc%2Ffull-record%2F" TargetMode="External"/><Relationship Id="rId_hyperlink_893" Type="http://schemas.openxmlformats.org/officeDocument/2006/relationships/hyperlink" Target="http://dx.doi.org/10.1111/1468-2427.12710" TargetMode="External"/><Relationship Id="rId_hyperlink_894" Type="http://schemas.openxmlformats.org/officeDocument/2006/relationships/hyperlink" Target="https%3A%2F%2Fwww.webofscience.com%2Fwos%2Fwoscc%2Ffull-record%2F" TargetMode="External"/><Relationship Id="rId_hyperlink_895" Type="http://schemas.openxmlformats.org/officeDocument/2006/relationships/hyperlink" Target="http://dx.doi.org/10.1177/0956247814550780" TargetMode="External"/><Relationship Id="rId_hyperlink_896" Type="http://schemas.openxmlformats.org/officeDocument/2006/relationships/hyperlink" Target="https%3A%2F%2Fwww.webofscience.com%2Fwos%2Fwoscc%2Ffull-record%2F" TargetMode="External"/><Relationship Id="rId_hyperlink_897" Type="http://schemas.openxmlformats.org/officeDocument/2006/relationships/hyperlink" Target="http://dx.doi.org/10.1016/j.jclepro.2020.120789" TargetMode="External"/><Relationship Id="rId_hyperlink_898" Type="http://schemas.openxmlformats.org/officeDocument/2006/relationships/hyperlink" Target="https%3A%2F%2Fwww.webofscience.com%2Fwos%2Fwoscc%2Ffull-record%2F" TargetMode="External"/><Relationship Id="rId_hyperlink_899" Type="http://schemas.openxmlformats.org/officeDocument/2006/relationships/hyperlink" Target="http://dx.doi.org/10.3390/su14074230" TargetMode="External"/><Relationship Id="rId_hyperlink_900" Type="http://schemas.openxmlformats.org/officeDocument/2006/relationships/hyperlink" Target="https%3A%2F%2Fwww.webofscience.com%2Fwos%2Fwoscc%2Ffull-record%2F" TargetMode="External"/><Relationship Id="rId_hyperlink_901" Type="http://schemas.openxmlformats.org/officeDocument/2006/relationships/hyperlink" Target="http://dx.doi.org/10.3390/su11051434" TargetMode="External"/><Relationship Id="rId_hyperlink_902" Type="http://schemas.openxmlformats.org/officeDocument/2006/relationships/hyperlink" Target="https%3A%2F%2Fwww.webofscience.com%2Fwos%2Fwoscc%2Ffull-record%2F" TargetMode="External"/><Relationship Id="rId_hyperlink_903" Type="http://schemas.openxmlformats.org/officeDocument/2006/relationships/hyperlink" Target="http://dx.doi.org/10.1016/j.scs.2020.102143" TargetMode="External"/><Relationship Id="rId_hyperlink_904" Type="http://schemas.openxmlformats.org/officeDocument/2006/relationships/hyperlink" Target="https%3A%2F%2Fwww.webofscience.com%2Fwos%2Fwoscc%2Ffull-record%2F" TargetMode="External"/><Relationship Id="rId_hyperlink_905" Type="http://schemas.openxmlformats.org/officeDocument/2006/relationships/hyperlink" Target="http://dx.doi.org/10.3390/su11133540" TargetMode="External"/><Relationship Id="rId_hyperlink_906" Type="http://schemas.openxmlformats.org/officeDocument/2006/relationships/hyperlink" Target="https%3A%2F%2Fwww.webofscience.com%2Fwos%2Fwoscc%2Ffull-record%2F" TargetMode="External"/><Relationship Id="rId_hyperlink_907" Type="http://schemas.openxmlformats.org/officeDocument/2006/relationships/hyperlink" Target="http://dx.doi.org/10.3390/land10010002" TargetMode="External"/><Relationship Id="rId_hyperlink_908" Type="http://schemas.openxmlformats.org/officeDocument/2006/relationships/hyperlink" Target="https%3A%2F%2Fwww.webofscience.com%2Fwos%2Fwoscc%2Ffull-record%2F" TargetMode="External"/><Relationship Id="rId_hyperlink_909" Type="http://schemas.openxmlformats.org/officeDocument/2006/relationships/hyperlink" Target="http://dx.doi.org/10.1016/j.ecolind.2023.110947" TargetMode="External"/><Relationship Id="rId_hyperlink_910" Type="http://schemas.openxmlformats.org/officeDocument/2006/relationships/hyperlink" Target="https%3A%2F%2Fwww.webofscience.com%2Fwos%2Fwoscc%2Ffull-record%2F" TargetMode="External"/><Relationship Id="rId_hyperlink_911" Type="http://schemas.openxmlformats.org/officeDocument/2006/relationships/hyperlink" Target="http://dx.doi.org/10.1016/j.cosust.2017.01.014" TargetMode="External"/><Relationship Id="rId_hyperlink_912" Type="http://schemas.openxmlformats.org/officeDocument/2006/relationships/hyperlink" Target="https%3A%2F%2Fwww.webofscience.com%2Fwos%2Fwoscc%2Ffull-record%2F" TargetMode="External"/><Relationship Id="rId_hyperlink_913" Type="http://schemas.openxmlformats.org/officeDocument/2006/relationships/hyperlink" Target="http://dx.doi.org/10.34133/ehs.0002" TargetMode="External"/><Relationship Id="rId_hyperlink_914" Type="http://schemas.openxmlformats.org/officeDocument/2006/relationships/hyperlink" Target="https%3A%2F%2Fwww.webofscience.com%2Fwos%2Fwoscc%2Ffull-record%2F" TargetMode="External"/><Relationship Id="rId_hyperlink_915" Type="http://schemas.openxmlformats.org/officeDocument/2006/relationships/hyperlink" Target="http://dx.doi.org/10.1080/23251042.2024.2307671" TargetMode="External"/><Relationship Id="rId_hyperlink_916" Type="http://schemas.openxmlformats.org/officeDocument/2006/relationships/hyperlink" Target="https%3A%2F%2Fwww.webofscience.com%2Fwos%2Fwoscc%2Ffull-record%2F" TargetMode="External"/><Relationship Id="rId_hyperlink_917" Type="http://schemas.openxmlformats.org/officeDocument/2006/relationships/hyperlink" Target="http://dx.doi.org/10.1016/j.habitatint.2016.06.002" TargetMode="External"/><Relationship Id="rId_hyperlink_918" Type="http://schemas.openxmlformats.org/officeDocument/2006/relationships/hyperlink" Target="https%3A%2F%2Fwww.webofscience.com%2Fwos%2Fwoscc%2Ffull-record%2F" TargetMode="External"/><Relationship Id="rId_hyperlink_919" Type="http://schemas.openxmlformats.org/officeDocument/2006/relationships/hyperlink" Target="http://dx.doi.org/10.1016/j.ecolmodel.2013.09.014" TargetMode="External"/><Relationship Id="rId_hyperlink_920" Type="http://schemas.openxmlformats.org/officeDocument/2006/relationships/hyperlink" Target="https%3A%2F%2Fwww.webofscience.com%2Fwos%2Fwoscc%2Ffull-record%2F" TargetMode="External"/><Relationship Id="rId_hyperlink_921" Type="http://schemas.openxmlformats.org/officeDocument/2006/relationships/hyperlink" Target="http://dx.doi.org/10.1016/j.ecolind.2019.105487" TargetMode="External"/><Relationship Id="rId_hyperlink_922" Type="http://schemas.openxmlformats.org/officeDocument/2006/relationships/hyperlink" Target="https%3A%2F%2Fwww.webofscience.com%2Fwos%2Fwoscc%2Ffull-record%2F" TargetMode="External"/><Relationship Id="rId_hyperlink_923" Type="http://schemas.openxmlformats.org/officeDocument/2006/relationships/hyperlink" Target="http://dx.doi.org/10.1016/j.resconrec.2022.106494" TargetMode="External"/><Relationship Id="rId_hyperlink_924" Type="http://schemas.openxmlformats.org/officeDocument/2006/relationships/hyperlink" Target="https%3A%2F%2Fwww.webofscience.com%2Fwos%2Fwoscc%2Ffull-record%2F" TargetMode="External"/><Relationship Id="rId_hyperlink_925" Type="http://schemas.openxmlformats.org/officeDocument/2006/relationships/hyperlink" Target="http://dx.doi.org/10.1016/j.eiar.2020.106406" TargetMode="External"/><Relationship Id="rId_hyperlink_926" Type="http://schemas.openxmlformats.org/officeDocument/2006/relationships/hyperlink" Target="https%3A%2F%2Fwww.webofscience.com%2Fwos%2Fwoscc%2Ffull-record%2F" TargetMode="External"/><Relationship Id="rId_hyperlink_927" Type="http://schemas.openxmlformats.org/officeDocument/2006/relationships/hyperlink" Target="http://dx.doi.org/10.1068/a37272" TargetMode="External"/><Relationship Id="rId_hyperlink_928" Type="http://schemas.openxmlformats.org/officeDocument/2006/relationships/hyperlink" Target="https%3A%2F%2Fwww.webofscience.com%2Fwos%2Fwoscc%2Ffull-record%2F" TargetMode="External"/><Relationship Id="rId_hyperlink_929" Type="http://schemas.openxmlformats.org/officeDocument/2006/relationships/hyperlink" Target="http://dx.doi.org/10.1016/j.energy.2012.03.038" TargetMode="External"/><Relationship Id="rId_hyperlink_930" Type="http://schemas.openxmlformats.org/officeDocument/2006/relationships/hyperlink" Target="https%3A%2F%2Fwww.webofscience.com%2Fwos%2Fwoscc%2Ffull-record%2F" TargetMode="External"/><Relationship Id="rId_hyperlink_931" Type="http://schemas.openxmlformats.org/officeDocument/2006/relationships/hyperlink" Target="http://dx.doi.org/10.1111/jiec.13107" TargetMode="External"/><Relationship Id="rId_hyperlink_932" Type="http://schemas.openxmlformats.org/officeDocument/2006/relationships/hyperlink" Target="https%3A%2F%2Fwww.webofscience.com%2Fwos%2Fwoscc%2Ffull-record%2F" TargetMode="External"/><Relationship Id="rId_hyperlink_933" Type="http://schemas.openxmlformats.org/officeDocument/2006/relationships/hyperlink" Target="http://dx.doi.org/10.1016/j.cities.2020.103029" TargetMode="External"/><Relationship Id="rId_hyperlink_934" Type="http://schemas.openxmlformats.org/officeDocument/2006/relationships/hyperlink" Target="https%3A%2F%2Fwww.webofscience.com%2Fwos%2Fwoscc%2Ffull-record%2F" TargetMode="External"/><Relationship Id="rId_hyperlink_935" Type="http://schemas.openxmlformats.org/officeDocument/2006/relationships/hyperlink" Target="http://dx.doi.org/10.1016/j.enpol.2018.09.028" TargetMode="External"/><Relationship Id="rId_hyperlink_936" Type="http://schemas.openxmlformats.org/officeDocument/2006/relationships/hyperlink" Target="https%3A%2F%2Fwww.webofscience.com%2Fwos%2Fwoscc%2Ffull-record%2F" TargetMode="External"/><Relationship Id="rId_hyperlink_937" Type="http://schemas.openxmlformats.org/officeDocument/2006/relationships/hyperlink" Target="http://dx.doi.org/10.1016/j.jclepro.2022.132616" TargetMode="External"/><Relationship Id="rId_hyperlink_938" Type="http://schemas.openxmlformats.org/officeDocument/2006/relationships/hyperlink" Target="https%3A%2F%2Fwww.webofscience.com%2Fwos%2Fwoscc%2Ffull-record%2F" TargetMode="External"/><Relationship Id="rId_hyperlink_939" Type="http://schemas.openxmlformats.org/officeDocument/2006/relationships/hyperlink" Target="http://dx.doi.org/10.3390/su12114549" TargetMode="External"/><Relationship Id="rId_hyperlink_940" Type="http://schemas.openxmlformats.org/officeDocument/2006/relationships/hyperlink" Target="https%3A%2F%2Fwww.webofscience.com%2Fwos%2Fwoscc%2Ffull-record%2F" TargetMode="External"/><Relationship Id="rId_hyperlink_941" Type="http://schemas.openxmlformats.org/officeDocument/2006/relationships/hyperlink" Target="http://dx.doi.org/10.1080/13504509.2021.1936270" TargetMode="External"/><Relationship Id="rId_hyperlink_942" Type="http://schemas.openxmlformats.org/officeDocument/2006/relationships/hyperlink" Target="https%3A%2F%2Fwww.webofscience.com%2Fwos%2Fwoscc%2Ffull-record%2F" TargetMode="External"/><Relationship Id="rId_hyperlink_943" Type="http://schemas.openxmlformats.org/officeDocument/2006/relationships/hyperlink" Target="http://dx.doi.org/10.1111/tran.12161" TargetMode="External"/><Relationship Id="rId_hyperlink_944" Type="http://schemas.openxmlformats.org/officeDocument/2006/relationships/hyperlink" Target="https%3A%2F%2Fwww.webofscience.com%2Fwos%2Fwoscc%2Ffull-record%2F" TargetMode="External"/><Relationship Id="rId_hyperlink_945" Type="http://schemas.openxmlformats.org/officeDocument/2006/relationships/hyperlink" Target="http://dx.doi.org/10.1111/j.1530-9290.2012.00531.x" TargetMode="External"/><Relationship Id="rId_hyperlink_946" Type="http://schemas.openxmlformats.org/officeDocument/2006/relationships/hyperlink" Target="https%3A%2F%2Fwww.webofscience.com%2Fwos%2Fwoscc%2Ffull-record%2F" TargetMode="External"/><Relationship Id="rId_hyperlink_947" Type="http://schemas.openxmlformats.org/officeDocument/2006/relationships/hyperlink" Target="http://dx.doi.org/10.1111/1468-2427.13014" TargetMode="External"/><Relationship Id="rId_hyperlink_948" Type="http://schemas.openxmlformats.org/officeDocument/2006/relationships/hyperlink" Target="https%3A%2F%2Fwww.webofscience.com%2Fwos%2Fwoscc%2Ffull-record%2F" TargetMode="External"/><Relationship Id="rId_hyperlink_949" Type="http://schemas.openxmlformats.org/officeDocument/2006/relationships/hyperlink" Target="http://dx.doi.org/10.2166/ws.2020.028" TargetMode="External"/><Relationship Id="rId_hyperlink_950" Type="http://schemas.openxmlformats.org/officeDocument/2006/relationships/hyperlink" Target="https%3A%2F%2Fwww.webofscience.com%2Fwos%2Fwoscc%2Ffull-record%2F" TargetMode="External"/><Relationship Id="rId_hyperlink_951" Type="http://schemas.openxmlformats.org/officeDocument/2006/relationships/hyperlink" Target="http://dx.doi.org/10.1016/j.jclepro.2018.11.205" TargetMode="External"/><Relationship Id="rId_hyperlink_952" Type="http://schemas.openxmlformats.org/officeDocument/2006/relationships/hyperlink" Target="https%3A%2F%2Fwww.webofscience.com%2Fwos%2Fwoscc%2Ffull-record%2F" TargetMode="External"/><Relationship Id="rId_hyperlink_953" Type="http://schemas.openxmlformats.org/officeDocument/2006/relationships/hyperlink" Target="http://dx.doi.org/10.1016/j.cities.2021.103553" TargetMode="External"/><Relationship Id="rId_hyperlink_954" Type="http://schemas.openxmlformats.org/officeDocument/2006/relationships/hyperlink" Target="https%3A%2F%2Fwww.webofscience.com%2Fwos%2Fwoscc%2Ffull-record%2F" TargetMode="External"/><Relationship Id="rId_hyperlink_955" Type="http://schemas.openxmlformats.org/officeDocument/2006/relationships/hyperlink" Target="http://dx.doi.org/10.1016/j.resconrec.2017.02.020" TargetMode="External"/><Relationship Id="rId_hyperlink_956" Type="http://schemas.openxmlformats.org/officeDocument/2006/relationships/hyperlink" Target="https%3A%2F%2Fwww.webofscience.com%2Fwos%2Fwoscc%2Ffull-record%2F" TargetMode="External"/><Relationship Id="rId_hyperlink_957" Type="http://schemas.openxmlformats.org/officeDocument/2006/relationships/hyperlink" Target="http://dx.doi.org/10.1111/area.12663" TargetMode="External"/><Relationship Id="rId_hyperlink_958" Type="http://schemas.openxmlformats.org/officeDocument/2006/relationships/hyperlink" Target="https%3A%2F%2Fwww.webofscience.com%2Fwos%2Fwoscc%2Ffull-record%2F" TargetMode="External"/><Relationship Id="rId_hyperlink_959" Type="http://schemas.openxmlformats.org/officeDocument/2006/relationships/hyperlink" Target="http://dx.doi.org/10.2166/wcc.2013.063" TargetMode="External"/><Relationship Id="rId_hyperlink_960" Type="http://schemas.openxmlformats.org/officeDocument/2006/relationships/hyperlink" Target="https%3A%2F%2Fwww.webofscience.com%2Fwos%2Fwoscc%2Ffull-record%2F" TargetMode="External"/><Relationship Id="rId_hyperlink_961" Type="http://schemas.openxmlformats.org/officeDocument/2006/relationships/hyperlink" Target="http://dx.doi.org/10.1016/j.cacint.2023.100121" TargetMode="External"/><Relationship Id="rId_hyperlink_962" Type="http://schemas.openxmlformats.org/officeDocument/2006/relationships/hyperlink" Target="https%3A%2F%2Fwww.webofscience.com%2Fwos%2Fwoscc%2Ffull-record%2F" TargetMode="External"/><Relationship Id="rId_hyperlink_963" Type="http://schemas.openxmlformats.org/officeDocument/2006/relationships/hyperlink" Target="http://dx.doi.org/10.3390/h10030103" TargetMode="External"/><Relationship Id="rId_hyperlink_964" Type="http://schemas.openxmlformats.org/officeDocument/2006/relationships/hyperlink" Target="https%3A%2F%2Fwww.webofscience.com%2Fwos%2Fwoscc%2Ffull-record%2F" TargetMode="External"/><Relationship Id="rId_hyperlink_965" Type="http://schemas.openxmlformats.org/officeDocument/2006/relationships/hyperlink" Target="http://dx.doi.org/10.1016/j.enbuild.2010.09.002" TargetMode="External"/><Relationship Id="rId_hyperlink_966" Type="http://schemas.openxmlformats.org/officeDocument/2006/relationships/hyperlink" Target="https%3A%2F%2Fwww.webofscience.com%2Fwos%2Fwoscc%2Ffull-record%2F" TargetMode="External"/><Relationship Id="rId_hyperlink_967" Type="http://schemas.openxmlformats.org/officeDocument/2006/relationships/hyperlink" Target="http://dx.doi.org/10.3390/su132011307" TargetMode="External"/><Relationship Id="rId_hyperlink_968" Type="http://schemas.openxmlformats.org/officeDocument/2006/relationships/hyperlink" Target="https%3A%2F%2Fwww.webofscience.com%2Fwos%2Fwoscc%2Ffull-record%2F" TargetMode="External"/><Relationship Id="rId_hyperlink_969" Type="http://schemas.openxmlformats.org/officeDocument/2006/relationships/hyperlink" Target="http://dx.doi.org/10.1021/acs.est.8b04063" TargetMode="External"/><Relationship Id="rId_hyperlink_970" Type="http://schemas.openxmlformats.org/officeDocument/2006/relationships/hyperlink" Target="https%3A%2F%2Fwww.webofscience.com%2Fwos%2Fwoscc%2Ffull-record%2F" TargetMode="External"/><Relationship Id="rId_hyperlink_971" Type="http://schemas.openxmlformats.org/officeDocument/2006/relationships/hyperlink" Target="http://dx.doi.org/10.1016/j.jhazmat.2018.07.073" TargetMode="External"/><Relationship Id="rId_hyperlink_972" Type="http://schemas.openxmlformats.org/officeDocument/2006/relationships/hyperlink" Target="https%3A%2F%2Fwww.webofscience.com%2Fwos%2Fwoscc%2Ffull-record%2F" TargetMode="External"/><Relationship Id="rId_hyperlink_973" Type="http://schemas.openxmlformats.org/officeDocument/2006/relationships/hyperlink" Target="http://dx.doi.org/10.1007/s10113-011-0260-7" TargetMode="External"/><Relationship Id="rId_hyperlink_974" Type="http://schemas.openxmlformats.org/officeDocument/2006/relationships/hyperlink" Target="https%3A%2F%2Fwww.webofscience.com%2Fwos%2Fwoscc%2Ffull-record%2F" TargetMode="External"/><Relationship Id="rId_hyperlink_975" Type="http://schemas.openxmlformats.org/officeDocument/2006/relationships/hyperlink" Target="http://dx.doi.org/10.1080/02513625.2012.759354" TargetMode="External"/><Relationship Id="rId_hyperlink_976" Type="http://schemas.openxmlformats.org/officeDocument/2006/relationships/hyperlink" Target="https%3A%2F%2Fwww.webofscience.com%2Fwos%2Fwoscc%2Ffull-record%2F" TargetMode="External"/><Relationship Id="rId_hyperlink_977" Type="http://schemas.openxmlformats.org/officeDocument/2006/relationships/hyperlink" Target="http://dx.doi.org/10.1177/0734242X221136467" TargetMode="External"/><Relationship Id="rId_hyperlink_978" Type="http://schemas.openxmlformats.org/officeDocument/2006/relationships/hyperlink" Target="https%3A%2F%2Fwww.webofscience.com%2Fwos%2Fwoscc%2Ffull-record%2F" TargetMode="External"/><Relationship Id="rId_hyperlink_979" Type="http://schemas.openxmlformats.org/officeDocument/2006/relationships/hyperlink" Target="http://dx.doi.org/10.3390/su13158390" TargetMode="External"/><Relationship Id="rId_hyperlink_980" Type="http://schemas.openxmlformats.org/officeDocument/2006/relationships/hyperlink" Target="https%3A%2F%2Fwww.webofscience.com%2Fwos%2Fwoscc%2Ffull-record%2F" TargetMode="External"/><Relationship Id="rId_hyperlink_981" Type="http://schemas.openxmlformats.org/officeDocument/2006/relationships/hyperlink" Target="http://dx.doi.org/10.1016/j.scs.2020.102546" TargetMode="External"/><Relationship Id="rId_hyperlink_982" Type="http://schemas.openxmlformats.org/officeDocument/2006/relationships/hyperlink" Target="https%3A%2F%2Fwww.webofscience.com%2Fwos%2Fwoscc%2Ffull-record%2F" TargetMode="External"/><Relationship Id="rId_hyperlink_983" Type="http://schemas.openxmlformats.org/officeDocument/2006/relationships/hyperlink" Target="http://dx.doi.org/10.1016/j.eiar.2020.106469" TargetMode="External"/><Relationship Id="rId_hyperlink_984" Type="http://schemas.openxmlformats.org/officeDocument/2006/relationships/hyperlink" Target="https%3A%2F%2Fwww.webofscience.com%2Fwos%2Fwoscc%2Ffull-record%2F" TargetMode="External"/><Relationship Id="rId_hyperlink_985" Type="http://schemas.openxmlformats.org/officeDocument/2006/relationships/hyperlink" Target="http://dx.doi.org/10.3390/su15107956" TargetMode="External"/><Relationship Id="rId_hyperlink_986" Type="http://schemas.openxmlformats.org/officeDocument/2006/relationships/hyperlink" Target="https%3A%2F%2Fwww.webofscience.com%2Fwos%2Fwoscc%2Ffull-record%2F" TargetMode="External"/><Relationship Id="rId_hyperlink_987" Type="http://schemas.openxmlformats.org/officeDocument/2006/relationships/hyperlink" Target="http://dx.doi.org/10.1016/j.scs.2021.103236" TargetMode="External"/><Relationship Id="rId_hyperlink_988" Type="http://schemas.openxmlformats.org/officeDocument/2006/relationships/hyperlink" Target="https%3A%2F%2Fwww.webofscience.com%2Fwos%2Fwoscc%2Ffull-record%2F" TargetMode="External"/><Relationship Id="rId_hyperlink_989" Type="http://schemas.openxmlformats.org/officeDocument/2006/relationships/hyperlink" Target="http://dx.doi.org/10.3390/su8050459" TargetMode="External"/><Relationship Id="rId_hyperlink_990" Type="http://schemas.openxmlformats.org/officeDocument/2006/relationships/hyperlink" Target="https%3A%2F%2Fwww.webofscience.com%2Fwos%2Fwoscc%2Ffull-record%2F" TargetMode="External"/><Relationship Id="rId_hyperlink_991" Type="http://schemas.openxmlformats.org/officeDocument/2006/relationships/hyperlink" Target="http://dx.doi.org/10.1016/j.enpol.2010.12.008" TargetMode="External"/><Relationship Id="rId_hyperlink_992" Type="http://schemas.openxmlformats.org/officeDocument/2006/relationships/hyperlink" Target="https%3A%2F%2Fwww.webofscience.com%2Fwos%2Fwoscc%2Ffull-record%2F" TargetMode="External"/><Relationship Id="rId_hyperlink_993" Type="http://schemas.openxmlformats.org/officeDocument/2006/relationships/hyperlink" Target="http://dx.doi.org/10.3390/w15061005" TargetMode="External"/><Relationship Id="rId_hyperlink_994" Type="http://schemas.openxmlformats.org/officeDocument/2006/relationships/hyperlink" Target="https%3A%2F%2Fwww.webofscience.com%2Fwos%2Fwoscc%2Ffull-record%2F" TargetMode="External"/><Relationship Id="rId_hyperlink_995" Type="http://schemas.openxmlformats.org/officeDocument/2006/relationships/hyperlink" Target="http://dx.doi.org/10.1016/j.jclepro.2021.128031" TargetMode="External"/><Relationship Id="rId_hyperlink_996" Type="http://schemas.openxmlformats.org/officeDocument/2006/relationships/hyperlink" Target="https%3A%2F%2Fwww.webofscience.com%2Fwos%2Fwoscc%2Ffull-record%2F" TargetMode="External"/><Relationship Id="rId_hyperlink_997" Type="http://schemas.openxmlformats.org/officeDocument/2006/relationships/hyperlink" Target="http://dx.doi.org/10.1016/j.scs.2018.11.030" TargetMode="External"/><Relationship Id="rId_hyperlink_998" Type="http://schemas.openxmlformats.org/officeDocument/2006/relationships/hyperlink" Target="https%3A%2F%2Fwww.webofscience.com%2Fwos%2Fwoscc%2Ffull-record%2F" TargetMode="External"/><Relationship Id="rId_hyperlink_999" Type="http://schemas.openxmlformats.org/officeDocument/2006/relationships/hyperlink" Target="http://dx.doi.org/10.1007/s11442-016-1317-9" TargetMode="External"/><Relationship Id="rId_hyperlink_1000" Type="http://schemas.openxmlformats.org/officeDocument/2006/relationships/hyperlink" Target="https%3A%2F%2Fwww.webofscience.com%2Fwos%2Fwoscc%2Ffull-record%2F" TargetMode="External"/><Relationship Id="rId_hyperlink_1001" Type="http://schemas.openxmlformats.org/officeDocument/2006/relationships/hyperlink" Target="http://dx.doi.org/10.1016/j.ecolind.2023.110337" TargetMode="External"/><Relationship Id="rId_hyperlink_1002" Type="http://schemas.openxmlformats.org/officeDocument/2006/relationships/hyperlink" Target="https%3A%2F%2Fwww.webofscience.com%2Fwos%2Fwoscc%2Ffull-record%2F" TargetMode="External"/><Relationship Id="rId_hyperlink_1003" Type="http://schemas.openxmlformats.org/officeDocument/2006/relationships/hyperlink" Target="http://dx.doi.org/10.1111/j.1530-9290.2008.00085.x" TargetMode="External"/><Relationship Id="rId_hyperlink_1004" Type="http://schemas.openxmlformats.org/officeDocument/2006/relationships/hyperlink" Target="https%3A%2F%2Fwww.webofscience.com%2Fwos%2Fwoscc%2Ffull-record%2F" TargetMode="External"/><Relationship Id="rId_hyperlink_1005" Type="http://schemas.openxmlformats.org/officeDocument/2006/relationships/hyperlink" Target="http://dx.doi.org/10.1007/s10113-023-02070-x" TargetMode="External"/><Relationship Id="rId_hyperlink_1006" Type="http://schemas.openxmlformats.org/officeDocument/2006/relationships/hyperlink" Target="https%3A%2F%2Fwww.webofscience.com%2Fwos%2Fwoscc%2Ffull-record%2F" TargetMode="External"/><Relationship Id="rId_hyperlink_1007" Type="http://schemas.openxmlformats.org/officeDocument/2006/relationships/hyperlink" Target="http://dx.doi.org/10.1016/j.cities.2021.103162" TargetMode="External"/><Relationship Id="rId_hyperlink_1008" Type="http://schemas.openxmlformats.org/officeDocument/2006/relationships/hyperlink" Target="https%3A%2F%2Fwww.webofscience.com%2Fwos%2Fwoscc%2Ffull-record%2F" TargetMode="External"/><Relationship Id="rId_hyperlink_1009" Type="http://schemas.openxmlformats.org/officeDocument/2006/relationships/hyperlink" Target="http://dx.doi.org/10.1016/j.scs.2018.04.027" TargetMode="External"/><Relationship Id="rId_hyperlink_1010" Type="http://schemas.openxmlformats.org/officeDocument/2006/relationships/hyperlink" Target="https%3A%2F%2Fwww.webofscience.com%2Fwos%2Fwoscc%2Ffull-record%2F" TargetMode="External"/><Relationship Id="rId_hyperlink_1011" Type="http://schemas.openxmlformats.org/officeDocument/2006/relationships/hyperlink" Target="http://dx.doi.org/10.1016/j.cacint.2020.100044" TargetMode="External"/><Relationship Id="rId_hyperlink_1012" Type="http://schemas.openxmlformats.org/officeDocument/2006/relationships/hyperlink" Target="https%3A%2F%2Fwww.webofscience.com%2Fwos%2Fwoscc%2Ffull-record%2F" TargetMode="External"/><Relationship Id="rId_hyperlink_1013" Type="http://schemas.openxmlformats.org/officeDocument/2006/relationships/hyperlink" Target="http://dx.doi.org/10.1016/j.jclepro.2022.134197" TargetMode="External"/><Relationship Id="rId_hyperlink_1014" Type="http://schemas.openxmlformats.org/officeDocument/2006/relationships/hyperlink" Target="https%3A%2F%2Fwww.webofscience.com%2Fwos%2Fwoscc%2Ffull-record%2F" TargetMode="External"/><Relationship Id="rId_hyperlink_1015" Type="http://schemas.openxmlformats.org/officeDocument/2006/relationships/hyperlink" Target="http://dx.doi.org/10.3390/su13147742" TargetMode="External"/><Relationship Id="rId_hyperlink_1016" Type="http://schemas.openxmlformats.org/officeDocument/2006/relationships/hyperlink" Target="https%3A%2F%2Fwww.webofscience.com%2Fwos%2Fwoscc%2Ffull-record%2F" TargetMode="External"/><Relationship Id="rId_hyperlink_1017" Type="http://schemas.openxmlformats.org/officeDocument/2006/relationships/hyperlink" Target="http://dx.doi.org/10.17645/up.v8i1.6178" TargetMode="External"/><Relationship Id="rId_hyperlink_1018" Type="http://schemas.openxmlformats.org/officeDocument/2006/relationships/hyperlink" Target="https%3A%2F%2Fwww.webofscience.com%2Fwos%2Fwoscc%2Ffull-record%2F" TargetMode="External"/><Relationship Id="rId_hyperlink_1019" Type="http://schemas.openxmlformats.org/officeDocument/2006/relationships/hyperlink" Target="http://dx.doi.org/10.1007/s10113-021-01845-4" TargetMode="External"/><Relationship Id="rId_hyperlink_1020" Type="http://schemas.openxmlformats.org/officeDocument/2006/relationships/hyperlink" Target="https%3A%2F%2Fwww.webofscience.com%2Fwos%2Fwoscc%2Ffull-record%2F" TargetMode="External"/><Relationship Id="rId_hyperlink_1021" Type="http://schemas.openxmlformats.org/officeDocument/2006/relationships/hyperlink" Target="http://dx.doi.org/10.1016/j.eiar.2007.06.003" TargetMode="External"/><Relationship Id="rId_hyperlink_1022" Type="http://schemas.openxmlformats.org/officeDocument/2006/relationships/hyperlink" Target="https%3A%2F%2Fwww.webofscience.com%2Fwos%2Fwoscc%2Ffull-record%2F" TargetMode="External"/><Relationship Id="rId_hyperlink_1023" Type="http://schemas.openxmlformats.org/officeDocument/2006/relationships/hyperlink" Target="http://dx.doi.org/10.1016/j.resconrec.2021.106042" TargetMode="External"/><Relationship Id="rId_hyperlink_1024" Type="http://schemas.openxmlformats.org/officeDocument/2006/relationships/hyperlink" Target="https%3A%2F%2Fwww.webofscience.com%2Fwos%2Fwoscc%2Ffull-record%2F" TargetMode="External"/><Relationship Id="rId_hyperlink_1025" Type="http://schemas.openxmlformats.org/officeDocument/2006/relationships/hyperlink" Target="http://dx.doi.org/10.1007/s11367-019-01586-x" TargetMode="External"/><Relationship Id="rId_hyperlink_1026" Type="http://schemas.openxmlformats.org/officeDocument/2006/relationships/hyperlink" Target="https%3A%2F%2Fwww.webofscience.com%2Fwos%2Fwoscc%2Ffull-record%2F" TargetMode="External"/><Relationship Id="rId_hyperlink_1027" Type="http://schemas.openxmlformats.org/officeDocument/2006/relationships/hyperlink" Target="http://dx.doi.org/10.1016/j.enpol.2016.06.002" TargetMode="External"/><Relationship Id="rId_hyperlink_1028" Type="http://schemas.openxmlformats.org/officeDocument/2006/relationships/hyperlink" Target="https%3A%2F%2Fwww.webofscience.com%2Fwos%2Fwoscc%2Ffull-record%2F" TargetMode="External"/><Relationship Id="rId_hyperlink_1029" Type="http://schemas.openxmlformats.org/officeDocument/2006/relationships/hyperlink" Target="http://dx.doi.org/10.3390/su6128618" TargetMode="External"/><Relationship Id="rId_hyperlink_1030" Type="http://schemas.openxmlformats.org/officeDocument/2006/relationships/hyperlink" Target="https%3A%2F%2Fwww.webofscience.com%2Fwos%2Fwoscc%2Ffull-record%2F" TargetMode="External"/><Relationship Id="rId_hyperlink_1031" Type="http://schemas.openxmlformats.org/officeDocument/2006/relationships/hyperlink" Target="http://dx.doi.org/10.1111/jiec.12349" TargetMode="External"/><Relationship Id="rId_hyperlink_1032" Type="http://schemas.openxmlformats.org/officeDocument/2006/relationships/hyperlink" Target="https%3A%2F%2Fwww.webofscience.com%2Fwos%2Fwoscc%2Ffull-record%2F" TargetMode="External"/><Relationship Id="rId_hyperlink_1033" Type="http://schemas.openxmlformats.org/officeDocument/2006/relationships/hyperlink" Target="http://dx.doi.org/10.1016/S0169-2046(00)00109-2" TargetMode="External"/><Relationship Id="rId_hyperlink_1034" Type="http://schemas.openxmlformats.org/officeDocument/2006/relationships/hyperlink" Target="https%3A%2F%2Fwww.webofscience.com%2Fwos%2Fwoscc%2Ffull-record%2F" TargetMode="External"/><Relationship Id="rId_hyperlink_1035" Type="http://schemas.openxmlformats.org/officeDocument/2006/relationships/hyperlink" Target="http://dx.doi.org/10.1080/19463138.2021.1898967" TargetMode="External"/><Relationship Id="rId_hyperlink_1036" Type="http://schemas.openxmlformats.org/officeDocument/2006/relationships/hyperlink" Target="https%3A%2F%2Fwww.webofscience.com%2Fwos%2Fwoscc%2Ffull-record%2F" TargetMode="External"/><Relationship Id="rId_hyperlink_1037" Type="http://schemas.openxmlformats.org/officeDocument/2006/relationships/hyperlink" Target="https%3A%2F%2Fwww.webofscience.com%2Fwos%2Fwoscc%2Ffull-record%2F" TargetMode="External"/><Relationship Id="rId_hyperlink_1038" Type="http://schemas.openxmlformats.org/officeDocument/2006/relationships/hyperlink" Target="http://dx.doi.org/10.1016/j.scs.2023.104605" TargetMode="External"/><Relationship Id="rId_hyperlink_1039" Type="http://schemas.openxmlformats.org/officeDocument/2006/relationships/hyperlink" Target="https%3A%2F%2Fwww.webofscience.com%2Fwos%2Fwoscc%2Ffull-record%2F" TargetMode="External"/><Relationship Id="rId_hyperlink_1040" Type="http://schemas.openxmlformats.org/officeDocument/2006/relationships/hyperlink" Target="http://dx.doi.org/10.3390/su12051889" TargetMode="External"/><Relationship Id="rId_hyperlink_1041" Type="http://schemas.openxmlformats.org/officeDocument/2006/relationships/hyperlink" Target="https%3A%2F%2Fwww.webofscience.com%2Fwos%2Fwoscc%2Ffull-record%2F" TargetMode="External"/><Relationship Id="rId_hyperlink_1042" Type="http://schemas.openxmlformats.org/officeDocument/2006/relationships/hyperlink" Target="http://dx.doi.org/10.1080/24694452.2022.2062290" TargetMode="External"/><Relationship Id="rId_hyperlink_1043" Type="http://schemas.openxmlformats.org/officeDocument/2006/relationships/hyperlink" Target="https%3A%2F%2Fwww.webofscience.com%2Fwos%2Fwoscc%2Ffull-record%2F" TargetMode="External"/><Relationship Id="rId_hyperlink_1044" Type="http://schemas.openxmlformats.org/officeDocument/2006/relationships/hyperlink" Target="http://dx.doi.org/10.1002/aisy.202000043" TargetMode="External"/><Relationship Id="rId_hyperlink_1045" Type="http://schemas.openxmlformats.org/officeDocument/2006/relationships/hyperlink" Target="https%3A%2F%2Fwww.webofscience.com%2Fwos%2Fwoscc%2Ffull-record%2F" TargetMode="External"/><Relationship Id="rId_hyperlink_1046" Type="http://schemas.openxmlformats.org/officeDocument/2006/relationships/hyperlink" Target="http://dx.doi.org/10.1016/j.energy.2019.01.048" TargetMode="External"/><Relationship Id="rId_hyperlink_1047" Type="http://schemas.openxmlformats.org/officeDocument/2006/relationships/hyperlink" Target="https%3A%2F%2Fwww.webofscience.com%2Fwos%2Fwoscc%2Ffull-record%2F" TargetMode="External"/><Relationship Id="rId_hyperlink_1048" Type="http://schemas.openxmlformats.org/officeDocument/2006/relationships/hyperlink" Target="http://dx.doi.org/10.1016/j.enpol.2017.02.047" TargetMode="External"/><Relationship Id="rId_hyperlink_1049" Type="http://schemas.openxmlformats.org/officeDocument/2006/relationships/hyperlink" Target="https%3A%2F%2Fwww.webofscience.com%2Fwos%2Fwoscc%2Ffull-record%2F" TargetMode="External"/><Relationship Id="rId_hyperlink_1050" Type="http://schemas.openxmlformats.org/officeDocument/2006/relationships/hyperlink" Target="http://dx.doi.org/10.1016/j.geoforum.2019.10.008" TargetMode="External"/><Relationship Id="rId_hyperlink_1051" Type="http://schemas.openxmlformats.org/officeDocument/2006/relationships/hyperlink" Target="https%3A%2F%2Fwww.webofscience.com%2Fwos%2Fwoscc%2Ffull-record%2F" TargetMode="External"/><Relationship Id="rId_hyperlink_1052" Type="http://schemas.openxmlformats.org/officeDocument/2006/relationships/hyperlink" Target="http://dx.doi.org/10.1016/j.worlddev.2019.06.026" TargetMode="External"/><Relationship Id="rId_hyperlink_1053" Type="http://schemas.openxmlformats.org/officeDocument/2006/relationships/hyperlink" Target="https%3A%2F%2Fwww.webofscience.com%2Fwos%2Fwoscc%2Ffull-record%2F" TargetMode="External"/><Relationship Id="rId_hyperlink_1054" Type="http://schemas.openxmlformats.org/officeDocument/2006/relationships/hyperlink" Target="http://dx.doi.org/10.1016/j.jclepro.2023.137082" TargetMode="External"/><Relationship Id="rId_hyperlink_1055" Type="http://schemas.openxmlformats.org/officeDocument/2006/relationships/hyperlink" Target="https%3A%2F%2Fwww.webofscience.com%2Fwos%2Fwoscc%2Ffull-record%2F" TargetMode="External"/><Relationship Id="rId_hyperlink_1056" Type="http://schemas.openxmlformats.org/officeDocument/2006/relationships/hyperlink" Target="http://dx.doi.org/10.3390/su8030220" TargetMode="External"/><Relationship Id="rId_hyperlink_1057" Type="http://schemas.openxmlformats.org/officeDocument/2006/relationships/hyperlink" Target="https%3A%2F%2Fwww.webofscience.com%2Fwos%2Fwoscc%2Ffull-record%2F" TargetMode="External"/><Relationship Id="rId_hyperlink_1058" Type="http://schemas.openxmlformats.org/officeDocument/2006/relationships/hyperlink" Target="http://dx.doi.org/10.1080/20964129.2020.1839358" TargetMode="External"/><Relationship Id="rId_hyperlink_1059" Type="http://schemas.openxmlformats.org/officeDocument/2006/relationships/hyperlink" Target="https%3A%2F%2Fwww.webofscience.com%2Fwos%2Fwoscc%2Ffull-record%2F" TargetMode="External"/><Relationship Id="rId_hyperlink_1060" Type="http://schemas.openxmlformats.org/officeDocument/2006/relationships/hyperlink" Target="http://dx.doi.org/10.5004/dwt.2017.20814" TargetMode="External"/><Relationship Id="rId_hyperlink_1061" Type="http://schemas.openxmlformats.org/officeDocument/2006/relationships/hyperlink" Target="https%3A%2F%2Fwww.webofscience.com%2Fwos%2Fwoscc%2Ffull-record%2F" TargetMode="External"/><Relationship Id="rId_hyperlink_1062" Type="http://schemas.openxmlformats.org/officeDocument/2006/relationships/hyperlink" Target="http://dx.doi.org/10.1007/s13593-015-0348-4" TargetMode="External"/><Relationship Id="rId_hyperlink_1063" Type="http://schemas.openxmlformats.org/officeDocument/2006/relationships/hyperlink" Target="https%3A%2F%2Fwww.webofscience.com%2Fwos%2Fwoscc%2Ffull-record%2F" TargetMode="External"/><Relationship Id="rId_hyperlink_1064" Type="http://schemas.openxmlformats.org/officeDocument/2006/relationships/hyperlink" Target="http://dx.doi.org/10.1016/j.scitotenv.2006.12.003" TargetMode="External"/><Relationship Id="rId_hyperlink_1065" Type="http://schemas.openxmlformats.org/officeDocument/2006/relationships/hyperlink" Target="https%3A%2F%2Fwww.webofscience.com%2Fwos%2Fwoscc%2Ffull-record%2F" TargetMode="External"/><Relationship Id="rId_hyperlink_1066" Type="http://schemas.openxmlformats.org/officeDocument/2006/relationships/hyperlink" Target="http://dx.doi.org/10.3390/rs13081503" TargetMode="External"/><Relationship Id="rId_hyperlink_1067" Type="http://schemas.openxmlformats.org/officeDocument/2006/relationships/hyperlink" Target="https%3A%2F%2Fwww.webofscience.com%2Fwos%2Fwoscc%2Ffull-record%2F" TargetMode="External"/><Relationship Id="rId_hyperlink_1068" Type="http://schemas.openxmlformats.org/officeDocument/2006/relationships/hyperlink" Target="http://dx.doi.org/10.1177/25148486211051082" TargetMode="External"/><Relationship Id="rId_hyperlink_1069" Type="http://schemas.openxmlformats.org/officeDocument/2006/relationships/hyperlink" Target="https%3A%2F%2Fwww.webofscience.com%2Fwos%2Fwoscc%2Ffull-record%2F" TargetMode="External"/><Relationship Id="rId_hyperlink_1070" Type="http://schemas.openxmlformats.org/officeDocument/2006/relationships/hyperlink" Target="http://dx.doi.org/10.3992/1943-4618.14.3.63" TargetMode="External"/><Relationship Id="rId_hyperlink_1071" Type="http://schemas.openxmlformats.org/officeDocument/2006/relationships/hyperlink" Target="https%3A%2F%2Fwww.webofscience.com%2Fwos%2Fwoscc%2Ffull-record%2F" TargetMode="External"/><Relationship Id="rId_hyperlink_1072" Type="http://schemas.openxmlformats.org/officeDocument/2006/relationships/hyperlink" Target="http://dx.doi.org/10.1111/jiec.12239" TargetMode="External"/><Relationship Id="rId_hyperlink_1073" Type="http://schemas.openxmlformats.org/officeDocument/2006/relationships/hyperlink" Target="https%3A%2F%2Fwww.webofscience.com%2Fwos%2Fwoscc%2Ffull-record%2F" TargetMode="External"/><Relationship Id="rId_hyperlink_1074" Type="http://schemas.openxmlformats.org/officeDocument/2006/relationships/hyperlink" Target="http://dx.doi.org/10.1016/j.jclepro.2014.04.012" TargetMode="External"/><Relationship Id="rId_hyperlink_1075" Type="http://schemas.openxmlformats.org/officeDocument/2006/relationships/hyperlink" Target="https%3A%2F%2Fwww.webofscience.com%2Fwos%2Fwoscc%2Ffull-record%2F" TargetMode="External"/><Relationship Id="rId_hyperlink_1076" Type="http://schemas.openxmlformats.org/officeDocument/2006/relationships/hyperlink" Target="http://dx.doi.org/10.1111/jiec.13097" TargetMode="External"/><Relationship Id="rId_hyperlink_1077" Type="http://schemas.openxmlformats.org/officeDocument/2006/relationships/hyperlink" Target="https%3A%2F%2Fwww.webofscience.com%2Fwos%2Fwoscc%2Ffull-record%2F" TargetMode="External"/><Relationship Id="rId_hyperlink_1078" Type="http://schemas.openxmlformats.org/officeDocument/2006/relationships/hyperlink" Target="http://dx.doi.org/10.3390/su12135417" TargetMode="External"/><Relationship Id="rId_hyperlink_1079" Type="http://schemas.openxmlformats.org/officeDocument/2006/relationships/hyperlink" Target="https%3A%2F%2Fwww.webofscience.com%2Fwos%2Fwoscc%2Ffull-record%2F" TargetMode="External"/><Relationship Id="rId_hyperlink_1080" Type="http://schemas.openxmlformats.org/officeDocument/2006/relationships/hyperlink" Target="http://dx.doi.org/10.1016/j.jclepro.2019.118975" TargetMode="External"/><Relationship Id="rId_hyperlink_1081" Type="http://schemas.openxmlformats.org/officeDocument/2006/relationships/hyperlink" Target="https%3A%2F%2Fwww.webofscience.com%2Fwos%2Fwoscc%2Ffull-record%2F" TargetMode="External"/><Relationship Id="rId_hyperlink_1082" Type="http://schemas.openxmlformats.org/officeDocument/2006/relationships/hyperlink" Target="http://dx.doi.org/10.1016/j.scs.2022.104052" TargetMode="External"/><Relationship Id="rId_hyperlink_1083" Type="http://schemas.openxmlformats.org/officeDocument/2006/relationships/hyperlink" Target="https%3A%2F%2Fwww.webofscience.com%2Fwos%2Fwoscc%2Ffull-record%2F" TargetMode="External"/><Relationship Id="rId_hyperlink_1084" Type="http://schemas.openxmlformats.org/officeDocument/2006/relationships/hyperlink" Target="http://dx.doi.org/10.1088/2634-4505/ace738" TargetMode="External"/><Relationship Id="rId_hyperlink_1085" Type="http://schemas.openxmlformats.org/officeDocument/2006/relationships/hyperlink" Target="https%3A%2F%2Fwww.webofscience.com%2Fwos%2Fwoscc%2Ffull-record%2F" TargetMode="External"/><Relationship Id="rId_hyperlink_1086" Type="http://schemas.openxmlformats.org/officeDocument/2006/relationships/hyperlink" Target="http://dx.doi.org/10.1007/s10460-021-10253-7" TargetMode="External"/><Relationship Id="rId_hyperlink_1087" Type="http://schemas.openxmlformats.org/officeDocument/2006/relationships/hyperlink" Target="https%3A%2F%2Fwww.webofscience.com%2Fwos%2Fwoscc%2Ffull-record%2F" TargetMode="External"/><Relationship Id="rId_hyperlink_1088" Type="http://schemas.openxmlformats.org/officeDocument/2006/relationships/hyperlink" Target="http://dx.doi.org/10.1111/jiec.12651" TargetMode="External"/><Relationship Id="rId_hyperlink_1089" Type="http://schemas.openxmlformats.org/officeDocument/2006/relationships/hyperlink" Target="https%3A%2F%2Fwww.webofscience.com%2Fwos%2Fwoscc%2Ffull-record%2F" TargetMode="External"/><Relationship Id="rId_hyperlink_1090" Type="http://schemas.openxmlformats.org/officeDocument/2006/relationships/hyperlink" Target="http://dx.doi.org/10.1016/j.ecolecon.2019.106567" TargetMode="External"/><Relationship Id="rId_hyperlink_1091" Type="http://schemas.openxmlformats.org/officeDocument/2006/relationships/hyperlink" Target="https%3A%2F%2Fwww.webofscience.com%2Fwos%2Fwoscc%2Ffull-record%2F" TargetMode="External"/><Relationship Id="rId_hyperlink_1092" Type="http://schemas.openxmlformats.org/officeDocument/2006/relationships/hyperlink" Target="http://dx.doi.org/10.1002/sd.2766" TargetMode="External"/><Relationship Id="rId_hyperlink_1093" Type="http://schemas.openxmlformats.org/officeDocument/2006/relationships/hyperlink" Target="https%3A%2F%2Fwww.webofscience.com%2Fwos%2Fwoscc%2Ffull-record%2F" TargetMode="External"/><Relationship Id="rId_hyperlink_1094" Type="http://schemas.openxmlformats.org/officeDocument/2006/relationships/hyperlink" Target="http://dx.doi.org/10.1016/j.ecolecon.2015.07.019" TargetMode="External"/><Relationship Id="rId_hyperlink_1095" Type="http://schemas.openxmlformats.org/officeDocument/2006/relationships/hyperlink" Target="https%3A%2F%2Fwww.webofscience.com%2Fwos%2Fwoscc%2Ffull-record%2F" TargetMode="External"/><Relationship Id="rId_hyperlink_1096" Type="http://schemas.openxmlformats.org/officeDocument/2006/relationships/hyperlink" Target="http://dx.doi.org/10.1016/j.jclepro.2023.137379" TargetMode="External"/><Relationship Id="rId_hyperlink_1097" Type="http://schemas.openxmlformats.org/officeDocument/2006/relationships/hyperlink" Target="https%3A%2F%2Fwww.webofscience.com%2Fwos%2Fwoscc%2Ffull-record%2F" TargetMode="External"/><Relationship Id="rId_hyperlink_1098" Type="http://schemas.openxmlformats.org/officeDocument/2006/relationships/hyperlink" Target="http://dx.doi.org/10.1016/j.scs.2018.03.001" TargetMode="External"/><Relationship Id="rId_hyperlink_1099" Type="http://schemas.openxmlformats.org/officeDocument/2006/relationships/hyperlink" Target="https%3A%2F%2Fwww.webofscience.com%2Fwos%2Fwoscc%2Ffull-record%2F" TargetMode="External"/><Relationship Id="rId_hyperlink_1100" Type="http://schemas.openxmlformats.org/officeDocument/2006/relationships/hyperlink" Target="http://dx.doi.org/10.34133/ehs.0084" TargetMode="External"/><Relationship Id="rId_hyperlink_1101" Type="http://schemas.openxmlformats.org/officeDocument/2006/relationships/hyperlink" Target="https%3A%2F%2Fwww.webofscience.com%2Fwos%2Fwoscc%2Ffull-record%2F" TargetMode="External"/><Relationship Id="rId_hyperlink_1102" Type="http://schemas.openxmlformats.org/officeDocument/2006/relationships/hyperlink" Target="http://dx.doi.org/10.1016/j.landurbplan.2017.04.015" TargetMode="External"/><Relationship Id="rId_hyperlink_1103" Type="http://schemas.openxmlformats.org/officeDocument/2006/relationships/hyperlink" Target="https%3A%2F%2Fwww.webofscience.com%2Fwos%2Fwoscc%2Ffull-record%2F" TargetMode="External"/><Relationship Id="rId_hyperlink_1104" Type="http://schemas.openxmlformats.org/officeDocument/2006/relationships/hyperlink" Target="http://dx.doi.org/10.1007/s41060-020-00207-3" TargetMode="External"/><Relationship Id="rId_hyperlink_1105" Type="http://schemas.openxmlformats.org/officeDocument/2006/relationships/hyperlink" Target="https%3A%2F%2Fwww.webofscience.com%2Fwos%2Fwoscc%2Ffull-record%2F" TargetMode="External"/><Relationship Id="rId_hyperlink_1106" Type="http://schemas.openxmlformats.org/officeDocument/2006/relationships/hyperlink" Target="http://dx.doi.org/10.1177/0734242X20965676" TargetMode="External"/><Relationship Id="rId_hyperlink_1107" Type="http://schemas.openxmlformats.org/officeDocument/2006/relationships/hyperlink" Target="https%3A%2F%2Fwww.webofscience.com%2Fwos%2Fwoscc%2Ffull-record%2F" TargetMode="External"/><Relationship Id="rId_hyperlink_1108" Type="http://schemas.openxmlformats.org/officeDocument/2006/relationships/hyperlink" Target="http://dx.doi.org/10.1016/j.jclepro.2016.11.018" TargetMode="External"/><Relationship Id="rId_hyperlink_1109" Type="http://schemas.openxmlformats.org/officeDocument/2006/relationships/hyperlink" Target="https%3A%2F%2Fwww.webofscience.com%2Fwos%2Fwoscc%2Ffull-record%2F" TargetMode="External"/><Relationship Id="rId_hyperlink_1110" Type="http://schemas.openxmlformats.org/officeDocument/2006/relationships/hyperlink" Target="http://dx.doi.org/10.1007/s11707-014-0407-1" TargetMode="External"/><Relationship Id="rId_hyperlink_1111" Type="http://schemas.openxmlformats.org/officeDocument/2006/relationships/hyperlink" Target="https%3A%2F%2Fwww.webofscience.com%2Fwos%2Fwoscc%2Ffull-record%2F" TargetMode="External"/><Relationship Id="rId_hyperlink_1112" Type="http://schemas.openxmlformats.org/officeDocument/2006/relationships/hyperlink" Target="http://dx.doi.org/10.3390/su14095386" TargetMode="External"/><Relationship Id="rId_hyperlink_1113" Type="http://schemas.openxmlformats.org/officeDocument/2006/relationships/hyperlink" Target="https%3A%2F%2Fwww.webofscience.com%2Fwos%2Fwoscc%2Ffull-record%2F" TargetMode="External"/><Relationship Id="rId_hyperlink_1114" Type="http://schemas.openxmlformats.org/officeDocument/2006/relationships/hyperlink" Target="http://dx.doi.org/10.1016/j.jclepro.2018.07.298" TargetMode="External"/><Relationship Id="rId_hyperlink_1115" Type="http://schemas.openxmlformats.org/officeDocument/2006/relationships/hyperlink" Target="https%3A%2F%2Fwww.webofscience.com%2Fwos%2Fwoscc%2Ffull-record%2F" TargetMode="External"/><Relationship Id="rId_hyperlink_1116" Type="http://schemas.openxmlformats.org/officeDocument/2006/relationships/hyperlink" Target="http://dx.doi.org/10.1016/j.scs.2014.07.002" TargetMode="External"/><Relationship Id="rId_hyperlink_1117" Type="http://schemas.openxmlformats.org/officeDocument/2006/relationships/hyperlink" Target="https%3A%2F%2Fwww.webofscience.com%2Fwos%2Fwoscc%2Ffull-record%2F" TargetMode="External"/><Relationship Id="rId_hyperlink_1118" Type="http://schemas.openxmlformats.org/officeDocument/2006/relationships/hyperlink" Target="http://dx.doi.org/10.1016/j.scitotenv.2022.160576" TargetMode="External"/><Relationship Id="rId_hyperlink_1119" Type="http://schemas.openxmlformats.org/officeDocument/2006/relationships/hyperlink" Target="https%3A%2F%2Fwww.webofscience.com%2Fwos%2Fwoscc%2Ffull-record%2F" TargetMode="External"/><Relationship Id="rId_hyperlink_1120" Type="http://schemas.openxmlformats.org/officeDocument/2006/relationships/hyperlink" Target="http://dx.doi.org/10.1111/jiec.12995" TargetMode="External"/><Relationship Id="rId_hyperlink_1121" Type="http://schemas.openxmlformats.org/officeDocument/2006/relationships/hyperlink" Target="https%3A%2F%2Fwww.webofscience.com%2Fwos%2Fwoscc%2Ffull-record%2F" TargetMode="External"/><Relationship Id="rId_hyperlink_1122" Type="http://schemas.openxmlformats.org/officeDocument/2006/relationships/hyperlink" Target="http://dx.doi.org/10.1016/j.jclepro.2019.118063" TargetMode="External"/><Relationship Id="rId_hyperlink_1123" Type="http://schemas.openxmlformats.org/officeDocument/2006/relationships/hyperlink" Target="https%3A%2F%2Fwww.webofscience.com%2Fwos%2Fwoscc%2Ffull-record%2F" TargetMode="External"/><Relationship Id="rId_hyperlink_1124" Type="http://schemas.openxmlformats.org/officeDocument/2006/relationships/hyperlink" Target="http://dx.doi.org/10.1016/j.scitotenv.2013.08.047" TargetMode="External"/><Relationship Id="rId_hyperlink_1125" Type="http://schemas.openxmlformats.org/officeDocument/2006/relationships/hyperlink" Target="https%3A%2F%2Fwww.webofscience.com%2Fwos%2Fwoscc%2Ffull-record%2F" TargetMode="External"/><Relationship Id="rId_hyperlink_1126" Type="http://schemas.openxmlformats.org/officeDocument/2006/relationships/hyperlink" Target="http://dx.doi.org/10.1111/jiec.13392" TargetMode="External"/><Relationship Id="rId_hyperlink_1127" Type="http://schemas.openxmlformats.org/officeDocument/2006/relationships/hyperlink" Target="https%3A%2F%2Fwww.webofscience.com%2Fwos%2Fwoscc%2Ffull-record%2F" TargetMode="External"/><Relationship Id="rId_hyperlink_1128" Type="http://schemas.openxmlformats.org/officeDocument/2006/relationships/hyperlink" Target="http://dx.doi.org/10.3390/su12062191" TargetMode="External"/><Relationship Id="rId_hyperlink_1129" Type="http://schemas.openxmlformats.org/officeDocument/2006/relationships/hyperlink" Target="https%3A%2F%2Fwww.webofscience.com%2Fwos%2Fwoscc%2Ffull-record%2F" TargetMode="External"/><Relationship Id="rId_hyperlink_1130" Type="http://schemas.openxmlformats.org/officeDocument/2006/relationships/hyperlink" Target="http://dx.doi.org/10.3390/su9010122" TargetMode="External"/><Relationship Id="rId_hyperlink_1131" Type="http://schemas.openxmlformats.org/officeDocument/2006/relationships/hyperlink" Target="https%3A%2F%2Fwww.webofscience.com%2Fwos%2Fwoscc%2Ffull-record%2F" TargetMode="External"/><Relationship Id="rId_hyperlink_1132" Type="http://schemas.openxmlformats.org/officeDocument/2006/relationships/hyperlink" Target="http://dx.doi.org/10.3390/atmos14061025" TargetMode="External"/><Relationship Id="rId_hyperlink_1133" Type="http://schemas.openxmlformats.org/officeDocument/2006/relationships/hyperlink" Target="https%3A%2F%2Fwww.webofscience.com%2Fwos%2Fwoscc%2Ffull-record%2F" TargetMode="External"/><Relationship Id="rId_hyperlink_1134" Type="http://schemas.openxmlformats.org/officeDocument/2006/relationships/hyperlink" Target="http://dx.doi.org/10.1016/j.geoforum.2017.03.002" TargetMode="External"/><Relationship Id="rId_hyperlink_1135" Type="http://schemas.openxmlformats.org/officeDocument/2006/relationships/hyperlink" Target="https%3A%2F%2Fwww.webofscience.com%2Fwos%2Fwoscc%2Ffull-record%2F" TargetMode="External"/><Relationship Id="rId_hyperlink_1136" Type="http://schemas.openxmlformats.org/officeDocument/2006/relationships/hyperlink" Target="http://dx.doi.org/10.3390/world2010003" TargetMode="External"/><Relationship Id="rId_hyperlink_1137" Type="http://schemas.openxmlformats.org/officeDocument/2006/relationships/hyperlink" Target="https%3A%2F%2Fwww.webofscience.com%2Fwos%2Fwoscc%2Ffull-record%2F" TargetMode="External"/><Relationship Id="rId_hyperlink_1138" Type="http://schemas.openxmlformats.org/officeDocument/2006/relationships/hyperlink" Target="http://dx.doi.org/10.1071/EN08078" TargetMode="External"/><Relationship Id="rId_hyperlink_1139" Type="http://schemas.openxmlformats.org/officeDocument/2006/relationships/hyperlink" Target="https%3A%2F%2Fwww.webofscience.com%2Fwos%2Fwoscc%2Ffull-record%2F" TargetMode="External"/><Relationship Id="rId_hyperlink_1140" Type="http://schemas.openxmlformats.org/officeDocument/2006/relationships/hyperlink" Target="http://dx.doi.org/10.1177/0042098016686535" TargetMode="External"/><Relationship Id="rId_hyperlink_1141" Type="http://schemas.openxmlformats.org/officeDocument/2006/relationships/hyperlink" Target="https%3A%2F%2Fwww.webofscience.com%2Fwos%2Fwoscc%2Ffull-record%2F" TargetMode="External"/><Relationship Id="rId_hyperlink_1142" Type="http://schemas.openxmlformats.org/officeDocument/2006/relationships/hyperlink" Target="http://dx.doi.org/10.1016/j.scs.2021.103553" TargetMode="External"/><Relationship Id="rId_hyperlink_1143" Type="http://schemas.openxmlformats.org/officeDocument/2006/relationships/hyperlink" Target="https%3A%2F%2Fwww.webofscience.com%2Fwos%2Fwoscc%2Ffull-record%2F" TargetMode="External"/><Relationship Id="rId_hyperlink_1144" Type="http://schemas.openxmlformats.org/officeDocument/2006/relationships/hyperlink" Target="http://dx.doi.org/10.1080/1943815X.2020.1841241" TargetMode="External"/><Relationship Id="rId_hyperlink_1145" Type="http://schemas.openxmlformats.org/officeDocument/2006/relationships/hyperlink" Target="https%3A%2F%2Fwww.webofscience.com%2Fwos%2Fwoscc%2Ffull-record%2F" TargetMode="External"/><Relationship Id="rId_hyperlink_1146" Type="http://schemas.openxmlformats.org/officeDocument/2006/relationships/hyperlink" Target="http://dx.doi.org/10.3390/en16217325" TargetMode="External"/><Relationship Id="rId_hyperlink_1147" Type="http://schemas.openxmlformats.org/officeDocument/2006/relationships/hyperlink" Target="https%3A%2F%2Fwww.webofscience.com%2Fwos%2Fwoscc%2Ffull-record%2F" TargetMode="External"/><Relationship Id="rId_hyperlink_1148" Type="http://schemas.openxmlformats.org/officeDocument/2006/relationships/hyperlink" Target="http://dx.doi.org/10.1007/s11252-014-0413-9" TargetMode="External"/><Relationship Id="rId_hyperlink_1149" Type="http://schemas.openxmlformats.org/officeDocument/2006/relationships/hyperlink" Target="https%3A%2F%2Fwww.webofscience.com%2Fwos%2Fwoscc%2Ffull-record%2F" TargetMode="External"/><Relationship Id="rId_hyperlink_1150" Type="http://schemas.openxmlformats.org/officeDocument/2006/relationships/hyperlink" Target="http://dx.doi.org/10.1111/jiec.13110" TargetMode="External"/><Relationship Id="rId_hyperlink_1151" Type="http://schemas.openxmlformats.org/officeDocument/2006/relationships/hyperlink" Target="https%3A%2F%2Fwww.webofscience.com%2Fwos%2Fwoscc%2Ffull-record%2F" TargetMode="External"/><Relationship Id="rId_hyperlink_1152" Type="http://schemas.openxmlformats.org/officeDocument/2006/relationships/hyperlink" Target="http://dx.doi.org/10.3390/su12176975" TargetMode="External"/><Relationship Id="rId_hyperlink_1153" Type="http://schemas.openxmlformats.org/officeDocument/2006/relationships/hyperlink" Target="https%3A%2F%2Fwww.webofscience.com%2Fwos%2Fwoscc%2Ffull-record%2F" TargetMode="External"/><Relationship Id="rId_hyperlink_1154" Type="http://schemas.openxmlformats.org/officeDocument/2006/relationships/hyperlink" Target="http://dx.doi.org/10.3390/su11123246" TargetMode="External"/><Relationship Id="rId_hyperlink_1155" Type="http://schemas.openxmlformats.org/officeDocument/2006/relationships/hyperlink" Target="https%3A%2F%2Fwww.webofscience.com%2Fwos%2Fwoscc%2Ffull-record%2F" TargetMode="External"/><Relationship Id="rId_hyperlink_1156" Type="http://schemas.openxmlformats.org/officeDocument/2006/relationships/hyperlink" Target="http://dx.doi.org/10.1016/j.compenvurbsys.2021.101647" TargetMode="External"/><Relationship Id="rId_hyperlink_1157" Type="http://schemas.openxmlformats.org/officeDocument/2006/relationships/hyperlink" Target="https%3A%2F%2Fwww.webofscience.com%2Fwos%2Fwoscc%2Ffull-record%2F" TargetMode="External"/><Relationship Id="rId_hyperlink_1158" Type="http://schemas.openxmlformats.org/officeDocument/2006/relationships/hyperlink" Target="http://dx.doi.org/10.1111/jiec.12446" TargetMode="External"/><Relationship Id="rId_hyperlink_1159" Type="http://schemas.openxmlformats.org/officeDocument/2006/relationships/hyperlink" Target="https%3A%2F%2Fwww.webofscience.com%2Fwos%2Fwoscc%2Ffull-record%2F" TargetMode="External"/><Relationship Id="rId_hyperlink_1160" Type="http://schemas.openxmlformats.org/officeDocument/2006/relationships/hyperlink" Target="http://dx.doi.org/10.7717/peerj.6869" TargetMode="External"/><Relationship Id="rId_hyperlink_1161" Type="http://schemas.openxmlformats.org/officeDocument/2006/relationships/hyperlink" Target="https%3A%2F%2Fwww.webofscience.com%2Fwos%2Fwoscc%2Ffull-record%2F" TargetMode="External"/><Relationship Id="rId_hyperlink_1162" Type="http://schemas.openxmlformats.org/officeDocument/2006/relationships/hyperlink" Target="http://dx.doi.org/10.1016/j.jenvman.2022.115095" TargetMode="External"/><Relationship Id="rId_hyperlink_1163" Type="http://schemas.openxmlformats.org/officeDocument/2006/relationships/hyperlink" Target="https%3A%2F%2Fwww.webofscience.com%2Fwos%2Fwoscc%2Ffull-record%2F" TargetMode="External"/><Relationship Id="rId_hyperlink_1164" Type="http://schemas.openxmlformats.org/officeDocument/2006/relationships/hyperlink" Target="http://dx.doi.org/10.1177/0969776412474665" TargetMode="External"/><Relationship Id="rId_hyperlink_1165" Type="http://schemas.openxmlformats.org/officeDocument/2006/relationships/hyperlink" Target="https%3A%2F%2Fwww.webofscience.com%2Fwos%2Fwoscc%2Ffull-record%2F" TargetMode="External"/><Relationship Id="rId_hyperlink_1166" Type="http://schemas.openxmlformats.org/officeDocument/2006/relationships/hyperlink" Target="http://dx.doi.org/10.1016/j.envres.2023.116737" TargetMode="External"/><Relationship Id="rId_hyperlink_1167" Type="http://schemas.openxmlformats.org/officeDocument/2006/relationships/hyperlink" Target="https%3A%2F%2Fwww.webofscience.com%2Fwos%2Fwoscc%2Ffull-record%2F" TargetMode="External"/><Relationship Id="rId_hyperlink_1168" Type="http://schemas.openxmlformats.org/officeDocument/2006/relationships/hyperlink" Target="http://dx.doi.org/10.1016/j.scitotenv.2018.09.293" TargetMode="External"/><Relationship Id="rId_hyperlink_1169" Type="http://schemas.openxmlformats.org/officeDocument/2006/relationships/hyperlink" Target="https%3A%2F%2Fwww.webofscience.com%2Fwos%2Fwoscc%2Ffull-record%2F" TargetMode="External"/><Relationship Id="rId_hyperlink_1170" Type="http://schemas.openxmlformats.org/officeDocument/2006/relationships/hyperlink" Target="http://dx.doi.org/10.5194/amt-8-3481-2015" TargetMode="External"/><Relationship Id="rId_hyperlink_1171" Type="http://schemas.openxmlformats.org/officeDocument/2006/relationships/hyperlink" Target="https%3A%2F%2Fwww.webofscience.com%2Fwos%2Fwoscc%2Ffull-record%2F" TargetMode="External"/><Relationship Id="rId_hyperlink_1172" Type="http://schemas.openxmlformats.org/officeDocument/2006/relationships/hyperlink" Target="http://dx.doi.org/10.1007/s11356-022-18916-6" TargetMode="External"/><Relationship Id="rId_hyperlink_1173" Type="http://schemas.openxmlformats.org/officeDocument/2006/relationships/hyperlink" Target="https%3A%2F%2Fwww.webofscience.com%2Fwos%2Fwoscc%2Ffull-record%2F" TargetMode="External"/><Relationship Id="rId_hyperlink_1174" Type="http://schemas.openxmlformats.org/officeDocument/2006/relationships/hyperlink" Target="http://dx.doi.org/10.1016/j.resconrec.2020.104725" TargetMode="External"/><Relationship Id="rId_hyperlink_1175" Type="http://schemas.openxmlformats.org/officeDocument/2006/relationships/hyperlink" Target="https%3A%2F%2Fwww.webofscience.com%2Fwos%2Fwoscc%2Ffull-record%2F" TargetMode="External"/><Relationship Id="rId_hyperlink_1176" Type="http://schemas.openxmlformats.org/officeDocument/2006/relationships/hyperlink" Target="http://dx.doi.org/10.2166/bgs.2020.929" TargetMode="External"/><Relationship Id="rId_hyperlink_1177" Type="http://schemas.openxmlformats.org/officeDocument/2006/relationships/hyperlink" Target="https%3A%2F%2Fwww.webofscience.com%2Fwos%2Fwoscc%2Ffull-record%2F" TargetMode="External"/><Relationship Id="rId_hyperlink_1178" Type="http://schemas.openxmlformats.org/officeDocument/2006/relationships/hyperlink" Target="http://dx.doi.org/10.1016/j.apr.2018.10.009" TargetMode="External"/><Relationship Id="rId_hyperlink_1179" Type="http://schemas.openxmlformats.org/officeDocument/2006/relationships/hyperlink" Target="https%3A%2F%2Fwww.webofscience.com%2Fwos%2Fwoscc%2Ffull-record%2F" TargetMode="External"/><Relationship Id="rId_hyperlink_1180" Type="http://schemas.openxmlformats.org/officeDocument/2006/relationships/hyperlink" Target="http://dx.doi.org/10.1016/j.resconrec.2017.09.022" TargetMode="External"/><Relationship Id="rId_hyperlink_1181" Type="http://schemas.openxmlformats.org/officeDocument/2006/relationships/hyperlink" Target="https%3A%2F%2Fwww.webofscience.com%2Fwos%2Fwoscc%2Ffull-record%2F" TargetMode="External"/><Relationship Id="rId_hyperlink_1182" Type="http://schemas.openxmlformats.org/officeDocument/2006/relationships/hyperlink" Target="http://dx.doi.org/10.3390/land12040841" TargetMode="External"/><Relationship Id="rId_hyperlink_1183" Type="http://schemas.openxmlformats.org/officeDocument/2006/relationships/hyperlink" Target="https%3A%2F%2Fwww.webofscience.com%2Fwos%2Fwoscc%2Ffull-record%2F" TargetMode="External"/><Relationship Id="rId_hyperlink_1184" Type="http://schemas.openxmlformats.org/officeDocument/2006/relationships/hyperlink" Target="http://dx.doi.org/10.1016/j.jclepro.2020.124694" TargetMode="External"/><Relationship Id="rId_hyperlink_1185" Type="http://schemas.openxmlformats.org/officeDocument/2006/relationships/hyperlink" Target="https%3A%2F%2Fwww.webofscience.com%2Fwos%2Fwoscc%2Ffull-record%2F" TargetMode="External"/><Relationship Id="rId_hyperlink_1186" Type="http://schemas.openxmlformats.org/officeDocument/2006/relationships/hyperlink" Target="http://dx.doi.org/10.1016/j.resconrec.2020.104909" TargetMode="External"/><Relationship Id="rId_hyperlink_1187" Type="http://schemas.openxmlformats.org/officeDocument/2006/relationships/hyperlink" Target="https%3A%2F%2Fwww.webofscience.com%2Fwos%2Fwoscc%2Ffull-record%2F" TargetMode="External"/><Relationship Id="rId_hyperlink_1188" Type="http://schemas.openxmlformats.org/officeDocument/2006/relationships/hyperlink" Target="http://dx.doi.org/10.1016/j.ecolmodel.2019.03.025" TargetMode="External"/><Relationship Id="rId_hyperlink_1189" Type="http://schemas.openxmlformats.org/officeDocument/2006/relationships/hyperlink" Target="https%3A%2F%2Fwww.webofscience.com%2Fwos%2Fwoscc%2Ffull-record%2F" TargetMode="External"/><Relationship Id="rId_hyperlink_1190" Type="http://schemas.openxmlformats.org/officeDocument/2006/relationships/hyperlink" Target="http://dx.doi.org/10.1016/j.jclepro.2015.08.080" TargetMode="External"/><Relationship Id="rId_hyperlink_1191" Type="http://schemas.openxmlformats.org/officeDocument/2006/relationships/hyperlink" Target="https%3A%2F%2Fwww.webofscience.com%2Fwos%2Fwoscc%2Ffull-record%2F" TargetMode="External"/><Relationship Id="rId_hyperlink_1192" Type="http://schemas.openxmlformats.org/officeDocument/2006/relationships/hyperlink" Target="http://dx.doi.org/10.1016/j.scitotenv.2017.08.213" TargetMode="External"/><Relationship Id="rId_hyperlink_1193" Type="http://schemas.openxmlformats.org/officeDocument/2006/relationships/hyperlink" Target="https%3A%2F%2Fwww.webofscience.com%2Fwos%2Fwoscc%2Ffull-record%2F" TargetMode="External"/><Relationship Id="rId_hyperlink_1194" Type="http://schemas.openxmlformats.org/officeDocument/2006/relationships/hyperlink" Target="http://dx.doi.org/10.1016/j.jclepro.2022.133918" TargetMode="External"/><Relationship Id="rId_hyperlink_1195" Type="http://schemas.openxmlformats.org/officeDocument/2006/relationships/hyperlink" Target="https%3A%2F%2Fwww.webofscience.com%2Fwos%2Fwoscc%2Ffull-record%2F" TargetMode="External"/><Relationship Id="rId_hyperlink_1196" Type="http://schemas.openxmlformats.org/officeDocument/2006/relationships/hyperlink" Target="http://dx.doi.org/10.1111/jiec.12088" TargetMode="External"/><Relationship Id="rId_hyperlink_1197" Type="http://schemas.openxmlformats.org/officeDocument/2006/relationships/hyperlink" Target="https%3A%2F%2Fwww.webofscience.com%2Fwos%2Fwoscc%2Ffull-record%2F" TargetMode="External"/><Relationship Id="rId_hyperlink_1198" Type="http://schemas.openxmlformats.org/officeDocument/2006/relationships/hyperlink" Target="http://dx.doi.org/10.1007/s11783-013-0549-5" TargetMode="External"/><Relationship Id="rId_hyperlink_1199" Type="http://schemas.openxmlformats.org/officeDocument/2006/relationships/hyperlink" Target="https%3A%2F%2Fwww.webofscience.com%2Fwos%2Fwoscc%2Ffull-record%2F" TargetMode="External"/><Relationship Id="rId_hyperlink_1200" Type="http://schemas.openxmlformats.org/officeDocument/2006/relationships/hyperlink" Target="http://dx.doi.org/10.1016/j.ecolmodel.2013.01.002" TargetMode="External"/><Relationship Id="rId_hyperlink_1201" Type="http://schemas.openxmlformats.org/officeDocument/2006/relationships/hyperlink" Target="https%3A%2F%2Fwww.webofscience.com%2Fwos%2Fwoscc%2Ffull-record%2F" TargetMode="External"/><Relationship Id="rId_hyperlink_1202" Type="http://schemas.openxmlformats.org/officeDocument/2006/relationships/hyperlink" Target="http://dx.doi.org/10.1016/j.ufug.2020.126934" TargetMode="External"/><Relationship Id="rId_hyperlink_1203" Type="http://schemas.openxmlformats.org/officeDocument/2006/relationships/hyperlink" Target="https%3A%2F%2Fwww.webofscience.com%2Fwos%2Fwoscc%2Ffull-record%2F" TargetMode="External"/><Relationship Id="rId_hyperlink_1204" Type="http://schemas.openxmlformats.org/officeDocument/2006/relationships/hyperlink" Target="http://dx.doi.org/10.1061/(ASCE)EE.1943-7870.0000661" TargetMode="External"/><Relationship Id="rId_hyperlink_1205" Type="http://schemas.openxmlformats.org/officeDocument/2006/relationships/hyperlink" Target="https%3A%2F%2Fwww.webofscience.com%2Fwos%2Fwoscc%2Ffull-record%2F" TargetMode="External"/><Relationship Id="rId_hyperlink_1206" Type="http://schemas.openxmlformats.org/officeDocument/2006/relationships/hyperlink" Target="http://dx.doi.org/10.1016/j.jclepro.2021.125856" TargetMode="External"/><Relationship Id="rId_hyperlink_1207" Type="http://schemas.openxmlformats.org/officeDocument/2006/relationships/hyperlink" Target="https%3A%2F%2Fwww.webofscience.com%2Fwos%2Fwoscc%2Ffull-record%2F" TargetMode="External"/><Relationship Id="rId_hyperlink_1208" Type="http://schemas.openxmlformats.org/officeDocument/2006/relationships/hyperlink" Target="http://dx.doi.org/10.1016/j.indic.2020.100023" TargetMode="External"/><Relationship Id="rId_hyperlink_1209" Type="http://schemas.openxmlformats.org/officeDocument/2006/relationships/hyperlink" Target="https%3A%2F%2Fwww.webofscience.com%2Fwos%2Fwoscc%2Ffull-record%2F" TargetMode="External"/><Relationship Id="rId_hyperlink_1210" Type="http://schemas.openxmlformats.org/officeDocument/2006/relationships/hyperlink" Target="http://dx.doi.org/10.1016/j.ejrh.2023.101631" TargetMode="External"/><Relationship Id="rId_hyperlink_1211" Type="http://schemas.openxmlformats.org/officeDocument/2006/relationships/hyperlink" Target="https%3A%2F%2Fwww.webofscience.com%2Fwos%2Fwoscc%2Ffull-record%2F" TargetMode="External"/><Relationship Id="rId_hyperlink_1212" Type="http://schemas.openxmlformats.org/officeDocument/2006/relationships/hyperlink" Target="http://dx.doi.org/10.1016/j.rser.2022.112418" TargetMode="External"/><Relationship Id="rId_hyperlink_1213" Type="http://schemas.openxmlformats.org/officeDocument/2006/relationships/hyperlink" Target="https%3A%2F%2Fwww.webofscience.com%2Fwos%2Fwoscc%2Ffull-record%2F" TargetMode="External"/><Relationship Id="rId_hyperlink_1214" Type="http://schemas.openxmlformats.org/officeDocument/2006/relationships/hyperlink" Target="http://dx.doi.org/10.1080/02723638.2017.1388733" TargetMode="External"/><Relationship Id="rId_hyperlink_1215" Type="http://schemas.openxmlformats.org/officeDocument/2006/relationships/hyperlink" Target="https%3A%2F%2Fwww.webofscience.com%2Fwos%2Fwoscc%2Ffull-record%2F" TargetMode="External"/><Relationship Id="rId_hyperlink_1216" Type="http://schemas.openxmlformats.org/officeDocument/2006/relationships/hyperlink" Target="http://dx.doi.org/10.3390/su8040329" TargetMode="External"/><Relationship Id="rId_hyperlink_1217" Type="http://schemas.openxmlformats.org/officeDocument/2006/relationships/hyperlink" Target="https%3A%2F%2Fwww.webofscience.com%2Fwos%2Fwoscc%2Ffull-record%2F" TargetMode="External"/><Relationship Id="rId_hyperlink_1218" Type="http://schemas.openxmlformats.org/officeDocument/2006/relationships/hyperlink" Target="http://dx.doi.org/10.1016/j.jclepro.2017.05.024" TargetMode="External"/><Relationship Id="rId_hyperlink_1219" Type="http://schemas.openxmlformats.org/officeDocument/2006/relationships/hyperlink" Target="https%3A%2F%2Fwww.webofscience.com%2Fwos%2Fwoscc%2Ffull-record%2F" TargetMode="External"/><Relationship Id="rId_hyperlink_1220" Type="http://schemas.openxmlformats.org/officeDocument/2006/relationships/hyperlink" Target="http://dx.doi.org/10.1016/S0921-8009(02)00029-0" TargetMode="External"/><Relationship Id="rId_hyperlink_1221" Type="http://schemas.openxmlformats.org/officeDocument/2006/relationships/hyperlink" Target="https%3A%2F%2Fwww.webofscience.com%2Fwos%2Fwoscc%2Ffull-record%2F" TargetMode="External"/><Relationship Id="rId_hyperlink_1222" Type="http://schemas.openxmlformats.org/officeDocument/2006/relationships/hyperlink" Target="http://dx.doi.org/10.1016/j.jclepro.2017.06.030" TargetMode="External"/><Relationship Id="rId_hyperlink_1223" Type="http://schemas.openxmlformats.org/officeDocument/2006/relationships/hyperlink" Target="https%3A%2F%2Fwww.webofscience.com%2Fwos%2Fwoscc%2Ffull-record%2F" TargetMode="External"/><Relationship Id="rId_hyperlink_1224" Type="http://schemas.openxmlformats.org/officeDocument/2006/relationships/hyperlink" Target="http://dx.doi.org/10.1016/j.ecolind.2020.106687" TargetMode="External"/><Relationship Id="rId_hyperlink_1225" Type="http://schemas.openxmlformats.org/officeDocument/2006/relationships/hyperlink" Target="https%3A%2F%2Fwww.webofscience.com%2Fwos%2Fwoscc%2Ffull-record%2F" TargetMode="External"/><Relationship Id="rId_hyperlink_1226" Type="http://schemas.openxmlformats.org/officeDocument/2006/relationships/hyperlink" Target="http://dx.doi.org/10.1016/j.scitotenv.2023.163077" TargetMode="External"/><Relationship Id="rId_hyperlink_1227" Type="http://schemas.openxmlformats.org/officeDocument/2006/relationships/hyperlink" Target="https%3A%2F%2Fwww.webofscience.com%2Fwos%2Fwoscc%2Ffull-record%2F" TargetMode="External"/><Relationship Id="rId_hyperlink_1228" Type="http://schemas.openxmlformats.org/officeDocument/2006/relationships/hyperlink" Target="http://dx.doi.org/10.1016/j.jenvman.2015.02.042" TargetMode="External"/><Relationship Id="rId_hyperlink_1229" Type="http://schemas.openxmlformats.org/officeDocument/2006/relationships/hyperlink" Target="https%3A%2F%2Fwww.webofscience.com%2Fwos%2Fwoscc%2Ffull-record%2F" TargetMode="External"/><Relationship Id="rId_hyperlink_1230" Type="http://schemas.openxmlformats.org/officeDocument/2006/relationships/hyperlink" Target="http://dx.doi.org/10.1016/j.scs.2023.104396" TargetMode="External"/><Relationship Id="rId_hyperlink_1231" Type="http://schemas.openxmlformats.org/officeDocument/2006/relationships/hyperlink" Target="https%3A%2F%2Fwww.webofscience.com%2Fwos%2Fwoscc%2Ffull-record%2F" TargetMode="External"/><Relationship Id="rId_hyperlink_1232" Type="http://schemas.openxmlformats.org/officeDocument/2006/relationships/hyperlink" Target="http://dx.doi.org/10.1371/journal.pone.0262782" TargetMode="External"/><Relationship Id="rId_hyperlink_1233" Type="http://schemas.openxmlformats.org/officeDocument/2006/relationships/hyperlink" Target="https%3A%2F%2Fwww.webofscience.com%2Fwos%2Fwoscc%2Ffull-record%2F" TargetMode="External"/><Relationship Id="rId_hyperlink_1234" Type="http://schemas.openxmlformats.org/officeDocument/2006/relationships/hyperlink" Target="http://dx.doi.org/10.1016/j.jclepro.2020.122551" TargetMode="External"/><Relationship Id="rId_hyperlink_1235" Type="http://schemas.openxmlformats.org/officeDocument/2006/relationships/hyperlink" Target="https%3A%2F%2Fwww.webofscience.com%2Fwos%2Fwoscc%2Ffull-record%2F" TargetMode="External"/><Relationship Id="rId_hyperlink_1236" Type="http://schemas.openxmlformats.org/officeDocument/2006/relationships/hyperlink" Target="http://dx.doi.org/10.1007/s10113-010-0201-x" TargetMode="External"/><Relationship Id="rId_hyperlink_1237" Type="http://schemas.openxmlformats.org/officeDocument/2006/relationships/hyperlink" Target="https%3A%2F%2Fwww.webofscience.com%2Fwos%2Fwoscc%2Ffull-record%2F" TargetMode="External"/><Relationship Id="rId_hyperlink_1238" Type="http://schemas.openxmlformats.org/officeDocument/2006/relationships/hyperlink" Target="http://dx.doi.org/10.1016/j.ecolmodel.2017.09.007" TargetMode="External"/><Relationship Id="rId_hyperlink_1239" Type="http://schemas.openxmlformats.org/officeDocument/2006/relationships/hyperlink" Target="https%3A%2F%2Fwww.webofscience.com%2Fwos%2Fwoscc%2Ffull-record%2F" TargetMode="External"/><Relationship Id="rId_hyperlink_1240" Type="http://schemas.openxmlformats.org/officeDocument/2006/relationships/hyperlink" Target="http://dx.doi.org/10.1016/j.apenergy.2016.05.102" TargetMode="External"/><Relationship Id="rId_hyperlink_1241" Type="http://schemas.openxmlformats.org/officeDocument/2006/relationships/hyperlink" Target="https%3A%2F%2Fwww.webofscience.com%2Fwos%2Fwoscc%2Ffull-record%2F" TargetMode="External"/><Relationship Id="rId_hyperlink_1242" Type="http://schemas.openxmlformats.org/officeDocument/2006/relationships/hyperlink" Target="http://dx.doi.org/10.1016/j.ecolmodel.2021.109456" TargetMode="External"/><Relationship Id="rId_hyperlink_1243" Type="http://schemas.openxmlformats.org/officeDocument/2006/relationships/hyperlink" Target="https%3A%2F%2Fwww.webofscience.com%2Fwos%2Fwoscc%2Ffull-record%2F" TargetMode="External"/><Relationship Id="rId_hyperlink_1244" Type="http://schemas.openxmlformats.org/officeDocument/2006/relationships/hyperlink" Target="http://dx.doi.org/10.1111/jiec.13070" TargetMode="External"/><Relationship Id="rId_hyperlink_1245" Type="http://schemas.openxmlformats.org/officeDocument/2006/relationships/hyperlink" Target="https%3A%2F%2Fwww.webofscience.com%2Fwos%2Fwoscc%2Ffull-record%2F" TargetMode="External"/><Relationship Id="rId_hyperlink_1246" Type="http://schemas.openxmlformats.org/officeDocument/2006/relationships/hyperlink" Target="http://dx.doi.org/10.1016/j.jhydrol.2018.02.043" TargetMode="External"/><Relationship Id="rId_hyperlink_1247" Type="http://schemas.openxmlformats.org/officeDocument/2006/relationships/hyperlink" Target="https%3A%2F%2Fwww.webofscience.com%2Fwos%2Fwoscc%2Ffull-record%2F" TargetMode="External"/><Relationship Id="rId_hyperlink_1248" Type="http://schemas.openxmlformats.org/officeDocument/2006/relationships/hyperlink" Target="http://dx.doi.org/10.1016/j.dib.2021.106891" TargetMode="External"/><Relationship Id="rId_hyperlink_1249" Type="http://schemas.openxmlformats.org/officeDocument/2006/relationships/hyperlink" Target="https%3A%2F%2Fwww.webofscience.com%2Fwos%2Fwoscc%2Ffull-record%2F" TargetMode="External"/><Relationship Id="rId_hyperlink_1250" Type="http://schemas.openxmlformats.org/officeDocument/2006/relationships/hyperlink" Target="http://dx.doi.org/10.1016/j.scitotenv.2015.11.032" TargetMode="External"/><Relationship Id="rId_hyperlink_1251" Type="http://schemas.openxmlformats.org/officeDocument/2006/relationships/hyperlink" Target="https%3A%2F%2Fwww.webofscience.com%2Fwos%2Fwoscc%2Ffull-record%2F" TargetMode="External"/><Relationship Id="rId_hyperlink_1252" Type="http://schemas.openxmlformats.org/officeDocument/2006/relationships/hyperlink" Target="http://dx.doi.org/10.3390/rs6064780" TargetMode="External"/><Relationship Id="rId_hyperlink_1253" Type="http://schemas.openxmlformats.org/officeDocument/2006/relationships/hyperlink" Target="https%3A%2F%2Fwww.webofscience.com%2Fwos%2Fwoscc%2Ffull-record%2F" TargetMode="External"/><Relationship Id="rId_hyperlink_1254" Type="http://schemas.openxmlformats.org/officeDocument/2006/relationships/hyperlink" Target="http://dx.doi.org/10.1177/08969205211020502" TargetMode="External"/><Relationship Id="rId_hyperlink_1255" Type="http://schemas.openxmlformats.org/officeDocument/2006/relationships/hyperlink" Target="https%3A%2F%2Fwww.webofscience.com%2Fwos%2Fwoscc%2Ffull-record%2F" TargetMode="External"/><Relationship Id="rId_hyperlink_1256" Type="http://schemas.openxmlformats.org/officeDocument/2006/relationships/hyperlink" Target="http://dx.doi.org/10.1016/j.scitotenv.2018.12.022" TargetMode="External"/><Relationship Id="rId_hyperlink_1257" Type="http://schemas.openxmlformats.org/officeDocument/2006/relationships/hyperlink" Target="https%3A%2F%2Fwww.webofscience.com%2Fwos%2Fwoscc%2Ffull-record%2F" TargetMode="External"/><Relationship Id="rId_hyperlink_1258" Type="http://schemas.openxmlformats.org/officeDocument/2006/relationships/hyperlink" Target="http://dx.doi.org/10.1016/j.ecolmodel.2015.08.008" TargetMode="External"/><Relationship Id="rId_hyperlink_1259" Type="http://schemas.openxmlformats.org/officeDocument/2006/relationships/hyperlink" Target="https%3A%2F%2Fwww.webofscience.com%2Fwos%2Fwoscc%2Ffull-record%2F" TargetMode="External"/><Relationship Id="rId_hyperlink_1260" Type="http://schemas.openxmlformats.org/officeDocument/2006/relationships/hyperlink" Target="http://dx.doi.org/10.1111/jiec.12890" TargetMode="External"/><Relationship Id="rId_hyperlink_1261" Type="http://schemas.openxmlformats.org/officeDocument/2006/relationships/hyperlink" Target="https%3A%2F%2Fwww.webofscience.com%2Fwos%2Fwoscc%2Ffull-record%2F" TargetMode="External"/><Relationship Id="rId_hyperlink_1262" Type="http://schemas.openxmlformats.org/officeDocument/2006/relationships/hyperlink" Target="http://dx.doi.org/10.1016/j.resconrec.2017.10.034" TargetMode="External"/><Relationship Id="rId_hyperlink_1263" Type="http://schemas.openxmlformats.org/officeDocument/2006/relationships/hyperlink" Target="https%3A%2F%2Fwww.webofscience.com%2Fwos%2Fwoscc%2Ffull-record%2F" TargetMode="External"/><Relationship Id="rId_hyperlink_1264" Type="http://schemas.openxmlformats.org/officeDocument/2006/relationships/hyperlink" Target="http://dx.doi.org/10.1016/j.resconrec.2019.104632" TargetMode="External"/><Relationship Id="rId_hyperlink_1265" Type="http://schemas.openxmlformats.org/officeDocument/2006/relationships/hyperlink" Target="https%3A%2F%2Fwww.webofscience.com%2Fwos%2Fwoscc%2Ffull-record%2F" TargetMode="External"/><Relationship Id="rId_hyperlink_1266" Type="http://schemas.openxmlformats.org/officeDocument/2006/relationships/hyperlink" Target="http://dx.doi.org/10.1016/j.apenergy.2017.02.011" TargetMode="External"/><Relationship Id="rId_hyperlink_1267" Type="http://schemas.openxmlformats.org/officeDocument/2006/relationships/hyperlink" Target="https%3A%2F%2Fwww.webofscience.com%2Fwos%2Fwoscc%2Ffull-record%2F" TargetMode="External"/><Relationship Id="rId_hyperlink_1268" Type="http://schemas.openxmlformats.org/officeDocument/2006/relationships/hyperlink" Target="http://dx.doi.org/10.1016/j.rser.2020.109948" TargetMode="External"/><Relationship Id="rId_hyperlink_1269" Type="http://schemas.openxmlformats.org/officeDocument/2006/relationships/hyperlink" Target="https%3A%2F%2Fwww.webofscience.com%2Fwos%2Fwoscc%2Ffull-record%2F" TargetMode="External"/><Relationship Id="rId_hyperlink_1270" Type="http://schemas.openxmlformats.org/officeDocument/2006/relationships/hyperlink" Target="http://dx.doi.org/10.1016/j.scitotenv.2018.11.350" TargetMode="External"/><Relationship Id="rId_hyperlink_1271" Type="http://schemas.openxmlformats.org/officeDocument/2006/relationships/hyperlink" Target="https%3A%2F%2Fwww.webofscience.com%2Fwos%2Fwoscc%2Ffull-record%2F" TargetMode="External"/><Relationship Id="rId_hyperlink_1272" Type="http://schemas.openxmlformats.org/officeDocument/2006/relationships/hyperlink" Target="http://dx.doi.org/10.3390/ijerph17217847" TargetMode="External"/><Relationship Id="rId_hyperlink_1273" Type="http://schemas.openxmlformats.org/officeDocument/2006/relationships/hyperlink" Target="https%3A%2F%2Fwww.webofscience.com%2Fwos%2Fwoscc%2Ffull-record%2F" TargetMode="External"/><Relationship Id="rId_hyperlink_1274" Type="http://schemas.openxmlformats.org/officeDocument/2006/relationships/hyperlink" Target="http://dx.doi.org/10.1016/j.resconrec.2019.104667" TargetMode="External"/><Relationship Id="rId_hyperlink_1275" Type="http://schemas.openxmlformats.org/officeDocument/2006/relationships/hyperlink" Target="https%3A%2F%2Fwww.webofscience.com%2Fwos%2Fwoscc%2Ffull-record%2F" TargetMode="External"/><Relationship Id="rId_hyperlink_1276" Type="http://schemas.openxmlformats.org/officeDocument/2006/relationships/hyperlink" Target="http://dx.doi.org/10.1016/j.scitotenv.2019.03.132" TargetMode="External"/><Relationship Id="rId_hyperlink_1277" Type="http://schemas.openxmlformats.org/officeDocument/2006/relationships/hyperlink" Target="https%3A%2F%2Fwww.webofscience.com%2Fwos%2Fwoscc%2Ffull-record%2F" TargetMode="External"/><Relationship Id="rId_hyperlink_1278" Type="http://schemas.openxmlformats.org/officeDocument/2006/relationships/hyperlink" Target="http://dx.doi.org/10.15666/aeer/1703_60516067" TargetMode="External"/><Relationship Id="rId_hyperlink_1279" Type="http://schemas.openxmlformats.org/officeDocument/2006/relationships/hyperlink" Target="https%3A%2F%2Fwww.webofscience.com%2Fwos%2Fwoscc%2Ffull-record%2F" TargetMode="External"/><Relationship Id="rId_hyperlink_1280" Type="http://schemas.openxmlformats.org/officeDocument/2006/relationships/hyperlink" Target="http://dx.doi.org/10.1016/j.resconrec.2018.06.007" TargetMode="External"/><Relationship Id="rId_hyperlink_1281" Type="http://schemas.openxmlformats.org/officeDocument/2006/relationships/hyperlink" Target="https%3A%2F%2Fwww.webofscience.com%2Fwos%2Fwoscc%2Ffull-record%2F" TargetMode="External"/><Relationship Id="rId_hyperlink_1282" Type="http://schemas.openxmlformats.org/officeDocument/2006/relationships/hyperlink" Target="http://dx.doi.org/10.1111/jiec.13206" TargetMode="External"/><Relationship Id="rId_hyperlink_1283" Type="http://schemas.openxmlformats.org/officeDocument/2006/relationships/hyperlink" Target="https%3A%2F%2Fwww.webofscience.com%2Fwos%2Fwoscc%2Ffull-record%2F" TargetMode="External"/><Relationship Id="rId_hyperlink_1284" Type="http://schemas.openxmlformats.org/officeDocument/2006/relationships/hyperlink" Target="http://dx.doi.org/10.1016/j.resconrec.2016.09.002" TargetMode="External"/><Relationship Id="rId_hyperlink_1285" Type="http://schemas.openxmlformats.org/officeDocument/2006/relationships/hyperlink" Target="https%3A%2F%2Fwww.webofscience.com%2Fwos%2Fwoscc%2Ffull-record%2F" TargetMode="External"/><Relationship Id="rId_hyperlink_1286" Type="http://schemas.openxmlformats.org/officeDocument/2006/relationships/hyperlink" Target="http://dx.doi.org/10.1080/09613210903169394" TargetMode="External"/><Relationship Id="rId_hyperlink_1287" Type="http://schemas.openxmlformats.org/officeDocument/2006/relationships/hyperlink" Target="https%3A%2F%2Fwww.webofscience.com%2Fwos%2Fwoscc%2Ffull-record%2F" TargetMode="External"/><Relationship Id="rId_hyperlink_1288" Type="http://schemas.openxmlformats.org/officeDocument/2006/relationships/hyperlink" Target="http://dx.doi.org/10.1016/j.resconrec.2018.12.011" TargetMode="External"/><Relationship Id="rId_hyperlink_1289" Type="http://schemas.openxmlformats.org/officeDocument/2006/relationships/hyperlink" Target="https%3A%2F%2Fwww.webofscience.com%2Fwos%2Fwoscc%2Ffull-record%2F" TargetMode="External"/><Relationship Id="rId_hyperlink_1290" Type="http://schemas.openxmlformats.org/officeDocument/2006/relationships/hyperlink" Target="http://dx.doi.org/10.17645/up.v4i3.2484" TargetMode="External"/><Relationship Id="rId_hyperlink_1291" Type="http://schemas.openxmlformats.org/officeDocument/2006/relationships/hyperlink" Target="https%3A%2F%2Fwww.webofscience.com%2Fwos%2Fwoscc%2Ffull-record%2F" TargetMode="External"/><Relationship Id="rId_hyperlink_1292" Type="http://schemas.openxmlformats.org/officeDocument/2006/relationships/hyperlink" Target="http://dx.doi.org/10.3390/su10124740" TargetMode="External"/><Relationship Id="rId_hyperlink_1293" Type="http://schemas.openxmlformats.org/officeDocument/2006/relationships/hyperlink" Target="https%3A%2F%2Fwww.webofscience.com%2Fwos%2Fwoscc%2Ffull-record%2F" TargetMode="External"/><Relationship Id="rId_hyperlink_1294" Type="http://schemas.openxmlformats.org/officeDocument/2006/relationships/hyperlink" Target="http://dx.doi.org/10.1016/j.scitotenv.2022.159502" TargetMode="External"/><Relationship Id="rId_hyperlink_1295" Type="http://schemas.openxmlformats.org/officeDocument/2006/relationships/hyperlink" Target="https%3A%2F%2Fwww.webofscience.com%2Fwos%2Fwoscc%2Ffull-record%2F" TargetMode="External"/><Relationship Id="rId_hyperlink_1296" Type="http://schemas.openxmlformats.org/officeDocument/2006/relationships/hyperlink" Target="http://dx.doi.org/10.1016/j.resconrec.2019.104581" TargetMode="External"/><Relationship Id="rId_hyperlink_1297" Type="http://schemas.openxmlformats.org/officeDocument/2006/relationships/hyperlink" Target="https%3A%2F%2Fwww.webofscience.com%2Fwos%2Fwoscc%2Ffull-record%2F" TargetMode="External"/><Relationship Id="rId_hyperlink_1298" Type="http://schemas.openxmlformats.org/officeDocument/2006/relationships/hyperlink" Target="http://dx.doi.org/10.1016/j.scitotenv.2022.159514" TargetMode="External"/><Relationship Id="rId_hyperlink_1299" Type="http://schemas.openxmlformats.org/officeDocument/2006/relationships/hyperlink" Target="https%3A%2F%2Fwww.webofscience.com%2Fwos%2Fwoscc%2Ffull-record%2F" TargetMode="External"/><Relationship Id="rId_hyperlink_1300" Type="http://schemas.openxmlformats.org/officeDocument/2006/relationships/hyperlink" Target="http://dx.doi.org/10.1016/j.cities.2017.11.0o9" TargetMode="External"/><Relationship Id="rId_hyperlink_1301" Type="http://schemas.openxmlformats.org/officeDocument/2006/relationships/hyperlink" Target="https%3A%2F%2Fwww.webofscience.com%2Fwos%2Fwoscc%2Ffull-record%2F" TargetMode="External"/><Relationship Id="rId_hyperlink_1302" Type="http://schemas.openxmlformats.org/officeDocument/2006/relationships/hyperlink" Target="http://dx.doi.org/10.1016/j.resconrec.2016.09.015" TargetMode="External"/><Relationship Id="rId_hyperlink_1303" Type="http://schemas.openxmlformats.org/officeDocument/2006/relationships/hyperlink" Target="https%3A%2F%2Fwww.webofscience.com%2Fwos%2Fwoscc%2Ffull-record%2F" TargetMode="External"/><Relationship Id="rId_hyperlink_1304" Type="http://schemas.openxmlformats.org/officeDocument/2006/relationships/hyperlink" Target="http://dx.doi.org/10.1016/j.jenvman.2014.01.054" TargetMode="External"/><Relationship Id="rId_hyperlink_1305" Type="http://schemas.openxmlformats.org/officeDocument/2006/relationships/hyperlink" Target="https%3A%2F%2Fwww.webofscience.com%2Fwos%2Fwoscc%2Ffull-record%2F" TargetMode="External"/><Relationship Id="rId_hyperlink_1306" Type="http://schemas.openxmlformats.org/officeDocument/2006/relationships/hyperlink" Target="http://dx.doi.org/10.1111/jiec.13024" TargetMode="External"/><Relationship Id="rId_hyperlink_1307" Type="http://schemas.openxmlformats.org/officeDocument/2006/relationships/hyperlink" Target="https%3A%2F%2Fwww.webofscience.com%2Fwos%2Fwoscc%2Ffull-record%2F" TargetMode="External"/><Relationship Id="rId_hyperlink_1308" Type="http://schemas.openxmlformats.org/officeDocument/2006/relationships/hyperlink" Target="http://dx.doi.org/10.3390/su11020423" TargetMode="External"/><Relationship Id="rId_hyperlink_1309" Type="http://schemas.openxmlformats.org/officeDocument/2006/relationships/hyperlink" Target="https%3A%2F%2Fwww.webofscience.com%2Fwos%2Fwoscc%2Ffull-record%2F" TargetMode="External"/><Relationship Id="rId_hyperlink_1310" Type="http://schemas.openxmlformats.org/officeDocument/2006/relationships/hyperlink" Target="http://dx.doi.org/10.3390/su131910801" TargetMode="External"/><Relationship Id="rId_hyperlink_1311" Type="http://schemas.openxmlformats.org/officeDocument/2006/relationships/hyperlink" Target="https%3A%2F%2Fwww.webofscience.com%2Fwos%2Fwoscc%2Ffull-record%2F" TargetMode="External"/><Relationship Id="rId_hyperlink_1312" Type="http://schemas.openxmlformats.org/officeDocument/2006/relationships/hyperlink" Target="http://dx.doi.org/10.1016/j.uclim.2021.100947" TargetMode="External"/><Relationship Id="rId_hyperlink_1313" Type="http://schemas.openxmlformats.org/officeDocument/2006/relationships/hyperlink" Target="https%3A%2F%2Fwww.webofscience.com%2Fwos%2Fwoscc%2Ffull-record%2F" TargetMode="External"/><Relationship Id="rId_hyperlink_1314" Type="http://schemas.openxmlformats.org/officeDocument/2006/relationships/hyperlink" Target="http://dx.doi.org/10.1016/j.resconrec.2021.105526" TargetMode="External"/><Relationship Id="rId_hyperlink_1315" Type="http://schemas.openxmlformats.org/officeDocument/2006/relationships/hyperlink" Target="https%3A%2F%2Fwww.webofscience.com%2Fwos%2Fwoscc%2Ffull-record%2F" TargetMode="External"/><Relationship Id="rId_hyperlink_1316" Type="http://schemas.openxmlformats.org/officeDocument/2006/relationships/hyperlink" Target="http://dx.doi.org/10.1016/j.rser.2020.110695" TargetMode="External"/><Relationship Id="rId_hyperlink_1317" Type="http://schemas.openxmlformats.org/officeDocument/2006/relationships/hyperlink" Target="https%3A%2F%2Fwww.webofscience.com%2Fwos%2Fwoscc%2Ffull-record%2F" TargetMode="External"/><Relationship Id="rId_hyperlink_1318" Type="http://schemas.openxmlformats.org/officeDocument/2006/relationships/hyperlink" Target="http://dx.doi.org/10.1111/jiec.12432" TargetMode="External"/><Relationship Id="rId_hyperlink_1319" Type="http://schemas.openxmlformats.org/officeDocument/2006/relationships/hyperlink" Target="https%3A%2F%2Fwww.webofscience.com%2Fwos%2Fwoscc%2Ffull-record%2F" TargetMode="External"/><Relationship Id="rId_hyperlink_1320" Type="http://schemas.openxmlformats.org/officeDocument/2006/relationships/hyperlink" Target="http://dx.doi.org/10.1016/j.jclepro.2020.120811" TargetMode="External"/><Relationship Id="rId_hyperlink_1321" Type="http://schemas.openxmlformats.org/officeDocument/2006/relationships/hyperlink" Target="https%3A%2F%2Fwww.webofscience.com%2Fwos%2Fwoscc%2Ffull-record%2F" TargetMode="External"/><Relationship Id="rId_hyperlink_1322" Type="http://schemas.openxmlformats.org/officeDocument/2006/relationships/hyperlink" Target="http://dx.doi.org/10.1016/j.jclepro.2022.134563" TargetMode="External"/><Relationship Id="rId_hyperlink_1323" Type="http://schemas.openxmlformats.org/officeDocument/2006/relationships/hyperlink" Target="https%3A%2F%2Fwww.webofscience.com%2Fwos%2Fwoscc%2Ffull-record%2F" TargetMode="External"/><Relationship Id="rId_hyperlink_1324" Type="http://schemas.openxmlformats.org/officeDocument/2006/relationships/hyperlink" Target="http://dx.doi.org/10.1155/2020/8855521" TargetMode="External"/><Relationship Id="rId_hyperlink_1325" Type="http://schemas.openxmlformats.org/officeDocument/2006/relationships/hyperlink" Target="https%3A%2F%2Fwww.webofscience.com%2Fwos%2Fwoscc%2Ffull-record%2F" TargetMode="External"/><Relationship Id="rId_hyperlink_1326" Type="http://schemas.openxmlformats.org/officeDocument/2006/relationships/hyperlink" Target="http://dx.doi.org/10.1007/s11625-019-00764-y" TargetMode="External"/><Relationship Id="rId_hyperlink_1327" Type="http://schemas.openxmlformats.org/officeDocument/2006/relationships/hyperlink" Target="https%3A%2F%2Fwww.webofscience.com%2Fwos%2Fwoscc%2Ffull-record%2F" TargetMode="External"/><Relationship Id="rId_hyperlink_1328" Type="http://schemas.openxmlformats.org/officeDocument/2006/relationships/hyperlink" Target="http://dx.doi.org/10.1111/1752-1688.12563" TargetMode="External"/><Relationship Id="rId_hyperlink_1329" Type="http://schemas.openxmlformats.org/officeDocument/2006/relationships/hyperlink" Target="https%3A%2F%2Fwww.webofscience.com%2Fwos%2Fwoscc%2Ffull-record%2F" TargetMode="External"/><Relationship Id="rId_hyperlink_1330" Type="http://schemas.openxmlformats.org/officeDocument/2006/relationships/hyperlink" Target="http://dx.doi.org/10.1016/j.jclepro.2015.06.093" TargetMode="External"/><Relationship Id="rId_hyperlink_1331" Type="http://schemas.openxmlformats.org/officeDocument/2006/relationships/hyperlink" Target="https%3A%2F%2Fwww.webofscience.com%2Fwos%2Fwoscc%2Ffull-record%2F" TargetMode="External"/><Relationship Id="rId_hyperlink_1332" Type="http://schemas.openxmlformats.org/officeDocument/2006/relationships/hyperlink" Target="http://dx.doi.org/10.1016/j.apenergy.2015.09.021" TargetMode="External"/><Relationship Id="rId_hyperlink_1333" Type="http://schemas.openxmlformats.org/officeDocument/2006/relationships/hyperlink" Target="https%3A%2F%2Fwww.webofscience.com%2Fwos%2Fwoscc%2Ffull-record%2F" TargetMode="External"/><Relationship Id="rId_hyperlink_1334" Type="http://schemas.openxmlformats.org/officeDocument/2006/relationships/hyperlink" Target="http://dx.doi.org/10.1111/jiec.13335" TargetMode="External"/><Relationship Id="rId_hyperlink_1335" Type="http://schemas.openxmlformats.org/officeDocument/2006/relationships/hyperlink" Target="https%3A%2F%2Fwww.webofscience.com%2Fwos%2Fwoscc%2Ffull-record%2F" TargetMode="External"/><Relationship Id="rId_hyperlink_1336" Type="http://schemas.openxmlformats.org/officeDocument/2006/relationships/hyperlink" Target="http://dx.doi.org/10.3389/frsc.2022.930061" TargetMode="External"/><Relationship Id="rId_hyperlink_1337" Type="http://schemas.openxmlformats.org/officeDocument/2006/relationships/hyperlink" Target="https%3A%2F%2Fwww.webofscience.com%2Fwos%2Fwoscc%2Ffull-record%2F" TargetMode="External"/><Relationship Id="rId_hyperlink_1338" Type="http://schemas.openxmlformats.org/officeDocument/2006/relationships/hyperlink" Target="http://dx.doi.org/10.1016/j.wasman.2021.08.012" TargetMode="External"/><Relationship Id="rId_hyperlink_1339" Type="http://schemas.openxmlformats.org/officeDocument/2006/relationships/hyperlink" Target="https%3A%2F%2Fwww.webofscience.com%2Fwos%2Fwoscc%2Ffull-record%2F" TargetMode="External"/><Relationship Id="rId_hyperlink_1340" Type="http://schemas.openxmlformats.org/officeDocument/2006/relationships/hyperlink" Target="http://dx.doi.org/10.1016/j.resconrec.2020.105359" TargetMode="External"/><Relationship Id="rId_hyperlink_1341" Type="http://schemas.openxmlformats.org/officeDocument/2006/relationships/hyperlink" Target="https%3A%2F%2Fwww.webofscience.com%2Fwos%2Fwoscc%2Ffull-record%2F" TargetMode="External"/><Relationship Id="rId_hyperlink_1342" Type="http://schemas.openxmlformats.org/officeDocument/2006/relationships/hyperlink" Target="http://dx.doi.org/10.1177/0734242X20972773" TargetMode="External"/><Relationship Id="rId_hyperlink_1343" Type="http://schemas.openxmlformats.org/officeDocument/2006/relationships/hyperlink" Target="https%3A%2F%2Fwww.webofscience.com%2Fwos%2Fwoscc%2Ffull-record%2F" TargetMode="External"/><Relationship Id="rId_hyperlink_1344" Type="http://schemas.openxmlformats.org/officeDocument/2006/relationships/hyperlink" Target="http://dx.doi.org/10.3390/ijerph17020479" TargetMode="External"/><Relationship Id="rId_hyperlink_1345" Type="http://schemas.openxmlformats.org/officeDocument/2006/relationships/hyperlink" Target="https%3A%2F%2Fwww.webofscience.com%2Fwos%2Fwoscc%2Ffull-record%2F" TargetMode="External"/><Relationship Id="rId_hyperlink_1346" Type="http://schemas.openxmlformats.org/officeDocument/2006/relationships/hyperlink" Target="http://dx.doi.org/10.1016/j.scitotenv.2023.169768" TargetMode="External"/><Relationship Id="rId_hyperlink_1347" Type="http://schemas.openxmlformats.org/officeDocument/2006/relationships/hyperlink" Target="https%3A%2F%2Fwww.webofscience.com%2Fwos%2Fwoscc%2Ffull-record%2F" TargetMode="External"/><Relationship Id="rId_hyperlink_1348" Type="http://schemas.openxmlformats.org/officeDocument/2006/relationships/hyperlink" Target="http://dx.doi.org/10.1016/j.jclepro.2019.04.036" TargetMode="External"/><Relationship Id="rId_hyperlink_1349" Type="http://schemas.openxmlformats.org/officeDocument/2006/relationships/hyperlink" Target="https%3A%2F%2Fwww.webofscience.com%2Fwos%2Fwoscc%2Ffull-record%2F" TargetMode="External"/><Relationship Id="rId_hyperlink_1350" Type="http://schemas.openxmlformats.org/officeDocument/2006/relationships/hyperlink" Target="http://dx.doi.org/10.1016/j.ecolind.2017.03.060" TargetMode="External"/><Relationship Id="rId_hyperlink_1351" Type="http://schemas.openxmlformats.org/officeDocument/2006/relationships/hyperlink" Target="https%3A%2F%2Fwww.webofscience.com%2Fwos%2Fwoscc%2Ffull-record%2F" TargetMode="External"/><Relationship Id="rId_hyperlink_1352" Type="http://schemas.openxmlformats.org/officeDocument/2006/relationships/hyperlink" Target="http://dx.doi.org/10.1016/j.scitotenv.2021.149963" TargetMode="External"/><Relationship Id="rId_hyperlink_1353" Type="http://schemas.openxmlformats.org/officeDocument/2006/relationships/hyperlink" Target="https%3A%2F%2Fwww.webofscience.com%2Fwos%2Fwoscc%2Ffull-record%2F" TargetMode="External"/><Relationship Id="rId_hyperlink_1354" Type="http://schemas.openxmlformats.org/officeDocument/2006/relationships/hyperlink" Target="http://dx.doi.org/10.1111/jiec.12553" TargetMode="External"/><Relationship Id="rId_hyperlink_1355" Type="http://schemas.openxmlformats.org/officeDocument/2006/relationships/hyperlink" Target="https%3A%2F%2Fwww.webofscience.com%2Fwos%2Fwoscc%2Ffull-record%2F" TargetMode="External"/><Relationship Id="rId_hyperlink_1356" Type="http://schemas.openxmlformats.org/officeDocument/2006/relationships/hyperlink" Target="http://dx.doi.org/10.1016/j.rsma.2023.102886" TargetMode="External"/><Relationship Id="rId_hyperlink_1357" Type="http://schemas.openxmlformats.org/officeDocument/2006/relationships/hyperlink" Target="https%3A%2F%2Fwww.webofscience.com%2Fwos%2Fwoscc%2Ffull-record%2F" TargetMode="External"/><Relationship Id="rId_hyperlink_1358" Type="http://schemas.openxmlformats.org/officeDocument/2006/relationships/hyperlink" Target="http://dx.doi.org/10.1186/s13021-022-00217-7" TargetMode="External"/><Relationship Id="rId_hyperlink_1359" Type="http://schemas.openxmlformats.org/officeDocument/2006/relationships/hyperlink" Target="https%3A%2F%2Fwww.webofscience.com%2Fwos%2Fwoscc%2Ffull-record%2F" TargetMode="External"/><Relationship Id="rId_hyperlink_1360" Type="http://schemas.openxmlformats.org/officeDocument/2006/relationships/hyperlink" Target="http://dx.doi.org/10.3390/land11091573" TargetMode="External"/><Relationship Id="rId_hyperlink_1361" Type="http://schemas.openxmlformats.org/officeDocument/2006/relationships/hyperlink" Target="https%3A%2F%2Fwww.webofscience.com%2Fwos%2Fwoscc%2Ffull-record%2F" TargetMode="External"/><Relationship Id="rId_hyperlink_1362" Type="http://schemas.openxmlformats.org/officeDocument/2006/relationships/hyperlink" Target="http://dx.doi.org/10.1016/j.jclepro.2022.132064" TargetMode="External"/><Relationship Id="rId_hyperlink_1363" Type="http://schemas.openxmlformats.org/officeDocument/2006/relationships/hyperlink" Target="https%3A%2F%2Fwww.webofscience.com%2Fwos%2Fwoscc%2Ffull-record%2F" TargetMode="External"/><Relationship Id="rId_hyperlink_1364" Type="http://schemas.openxmlformats.org/officeDocument/2006/relationships/hyperlink" Target="http://dx.doi.org/10.1016/j.jclepro.2021.125850" TargetMode="External"/><Relationship Id="rId_hyperlink_1365" Type="http://schemas.openxmlformats.org/officeDocument/2006/relationships/hyperlink" Target="https%3A%2F%2Fwww.webofscience.com%2Fwos%2Fwoscc%2Ffull-record%2F" TargetMode="External"/><Relationship Id="rId_hyperlink_1366" Type="http://schemas.openxmlformats.org/officeDocument/2006/relationships/hyperlink" Target="http://dx.doi.org/10.3390/su12072708" TargetMode="External"/><Relationship Id="rId_hyperlink_1367" Type="http://schemas.openxmlformats.org/officeDocument/2006/relationships/hyperlink" Target="https%3A%2F%2Fwww.webofscience.com%2Fwos%2Fwoscc%2Ffull-record%2F" TargetMode="External"/><Relationship Id="rId_hyperlink_1368" Type="http://schemas.openxmlformats.org/officeDocument/2006/relationships/hyperlink" Target="http://dx.doi.org/10.1177/00420980231202684" TargetMode="External"/><Relationship Id="rId_hyperlink_1369" Type="http://schemas.openxmlformats.org/officeDocument/2006/relationships/hyperlink" Target="https%3A%2F%2Fwww.webofscience.com%2Fwos%2Fwoscc%2Ffull-record%2F" TargetMode="External"/><Relationship Id="rId_hyperlink_1370" Type="http://schemas.openxmlformats.org/officeDocument/2006/relationships/hyperlink" Target="http://dx.doi.org/10.1007/s12649-023-02193-6" TargetMode="External"/><Relationship Id="rId_hyperlink_1371" Type="http://schemas.openxmlformats.org/officeDocument/2006/relationships/hyperlink" Target="https%3A%2F%2Fwww.webofscience.com%2Fwos%2Fwoscc%2Ffull-record%2F" TargetMode="External"/><Relationship Id="rId_hyperlink_1372" Type="http://schemas.openxmlformats.org/officeDocument/2006/relationships/hyperlink" Target="http://dx.doi.org/10.3390/infrastructures8070111" TargetMode="External"/><Relationship Id="rId_hyperlink_1373" Type="http://schemas.openxmlformats.org/officeDocument/2006/relationships/hyperlink" Target="https%3A%2F%2Fwww.webofscience.com%2Fwos%2Fwoscc%2Ffull-record%2F" TargetMode="External"/><Relationship Id="rId_hyperlink_1374" Type="http://schemas.openxmlformats.org/officeDocument/2006/relationships/hyperlink" Target="http://dx.doi.org/10.1016/j.landusepol.2023.106695" TargetMode="External"/><Relationship Id="rId_hyperlink_1375" Type="http://schemas.openxmlformats.org/officeDocument/2006/relationships/hyperlink" Target="https%3A%2F%2Fwww.webofscience.com%2Fwos%2Fwoscc%2Ffull-record%2F" TargetMode="External"/><Relationship Id="rId_hyperlink_1376" Type="http://schemas.openxmlformats.org/officeDocument/2006/relationships/hyperlink" Target="http://dx.doi.org/10.1111/jiec.12960" TargetMode="External"/><Relationship Id="rId_hyperlink_1377" Type="http://schemas.openxmlformats.org/officeDocument/2006/relationships/hyperlink" Target="https%3A%2F%2Fwww.webofscience.com%2Fwos%2Fwoscc%2Ffull-record%2F" TargetMode="External"/><Relationship Id="rId_hyperlink_1378" Type="http://schemas.openxmlformats.org/officeDocument/2006/relationships/hyperlink" Target="http://dx.doi.org/10.1016/j.ecolind.2017.12.069" TargetMode="External"/><Relationship Id="rId_hyperlink_1379" Type="http://schemas.openxmlformats.org/officeDocument/2006/relationships/hyperlink" Target="https%3A%2F%2Fwww.webofscience.com%2Fwos%2Fwoscc%2Ffull-record%2F" TargetMode="External"/><Relationship Id="rId_hyperlink_1380" Type="http://schemas.openxmlformats.org/officeDocument/2006/relationships/hyperlink" Target="http://dx.doi.org/10.3389/fbuil.2021.748842" TargetMode="External"/><Relationship Id="rId_hyperlink_1381" Type="http://schemas.openxmlformats.org/officeDocument/2006/relationships/hyperlink" Target="https%3A%2F%2Fwww.webofscience.com%2Fwos%2Fwoscc%2Ffull-record%2F" TargetMode="External"/><Relationship Id="rId_hyperlink_1382" Type="http://schemas.openxmlformats.org/officeDocument/2006/relationships/hyperlink" Target="http://dx.doi.org/10.1016/j.jclepro.2017.03.194" TargetMode="External"/><Relationship Id="rId_hyperlink_1383" Type="http://schemas.openxmlformats.org/officeDocument/2006/relationships/hyperlink" Target="https%3A%2F%2Fwww.webofscience.com%2Fwos%2Fwoscc%2Ffull-record%2F" TargetMode="External"/><Relationship Id="rId_hyperlink_1384" Type="http://schemas.openxmlformats.org/officeDocument/2006/relationships/hyperlink" Target="http://dx.doi.org/10.1016/j.jclepro.2016.09.199" TargetMode="External"/><Relationship Id="rId_hyperlink_1385" Type="http://schemas.openxmlformats.org/officeDocument/2006/relationships/hyperlink" Target="https%3A%2F%2Fwww.webofscience.com%2Fwos%2Fwoscc%2Ffull-record%2F" TargetMode="External"/><Relationship Id="rId_hyperlink_1386" Type="http://schemas.openxmlformats.org/officeDocument/2006/relationships/hyperlink" Target="http://dx.doi.org/10.1016/j.scitotenv.2015.06.073" TargetMode="External"/><Relationship Id="rId_hyperlink_1387" Type="http://schemas.openxmlformats.org/officeDocument/2006/relationships/hyperlink" Target="https%3A%2F%2Fwww.webofscience.com%2Fwos%2Fwoscc%2Ffull-record%2F" TargetMode="External"/><Relationship Id="rId_hyperlink_1388" Type="http://schemas.openxmlformats.org/officeDocument/2006/relationships/hyperlink" Target="http://dx.doi.org/10.3390/su11133512" TargetMode="External"/><Relationship Id="rId_hyperlink_1389" Type="http://schemas.openxmlformats.org/officeDocument/2006/relationships/hyperlink" Target="https%3A%2F%2Fwww.webofscience.com%2Fwos%2Fwoscc%2Ffull-record%2F" TargetMode="External"/><Relationship Id="rId_hyperlink_1390" Type="http://schemas.openxmlformats.org/officeDocument/2006/relationships/hyperlink" Target="http://dx.doi.org/10.1111/jiec.12586" TargetMode="External"/><Relationship Id="rId_hyperlink_1391" Type="http://schemas.openxmlformats.org/officeDocument/2006/relationships/hyperlink" Target="https%3A%2F%2Fwww.webofscience.com%2Fwos%2Fwoscc%2Ffull-record%2F" TargetMode="External"/><Relationship Id="rId_hyperlink_1392" Type="http://schemas.openxmlformats.org/officeDocument/2006/relationships/hyperlink" Target="http://dx.doi.org/10.1016/j.resconrec.2007.02.003" TargetMode="External"/><Relationship Id="rId_hyperlink_1393" Type="http://schemas.openxmlformats.org/officeDocument/2006/relationships/hyperlink" Target="https%3A%2F%2Fwww.webofscience.com%2Fwos%2Fwoscc%2Ffull-record%2F" TargetMode="External"/><Relationship Id="rId_hyperlink_1394" Type="http://schemas.openxmlformats.org/officeDocument/2006/relationships/hyperlink" Target="http://dx.doi.org/10.1016/j.scitotenv.2020.143931" TargetMode="External"/><Relationship Id="rId_hyperlink_1395" Type="http://schemas.openxmlformats.org/officeDocument/2006/relationships/hyperlink" Target="https%3A%2F%2Fwww.webofscience.com%2Fwos%2Fwoscc%2Ffull-record%2F" TargetMode="External"/><Relationship Id="rId_hyperlink_1396" Type="http://schemas.openxmlformats.org/officeDocument/2006/relationships/hyperlink" Target="http://dx.doi.org/10.1016/j.watres.2018.01.070" TargetMode="External"/><Relationship Id="rId_hyperlink_1397" Type="http://schemas.openxmlformats.org/officeDocument/2006/relationships/hyperlink" Target="https%3A%2F%2Fwww.webofscience.com%2Fwos%2Fwoscc%2Ffull-record%2F" TargetMode="External"/><Relationship Id="rId_hyperlink_1398" Type="http://schemas.openxmlformats.org/officeDocument/2006/relationships/hyperlink" Target="http://dx.doi.org/10.1016/j.ecolmodel.2017.12.012" TargetMode="External"/><Relationship Id="rId_hyperlink_1399" Type="http://schemas.openxmlformats.org/officeDocument/2006/relationships/hyperlink" Target="https%3A%2F%2Fwww.webofscience.com%2Fwos%2Fwoscc%2Ffull-record%2F" TargetMode="External"/><Relationship Id="rId_hyperlink_1400" Type="http://schemas.openxmlformats.org/officeDocument/2006/relationships/hyperlink" Target="http://dx.doi.org/10.1016/j.compenvurbsys.2019.101427" TargetMode="External"/><Relationship Id="rId_hyperlink_1401" Type="http://schemas.openxmlformats.org/officeDocument/2006/relationships/hyperlink" Target="https%3A%2F%2Fwww.webofscience.com%2Fwos%2Fwoscc%2Ffull-record%2F" TargetMode="External"/><Relationship Id="rId_hyperlink_1402" Type="http://schemas.openxmlformats.org/officeDocument/2006/relationships/hyperlink" Target="http://dx.doi.org/10.1016/j.jclepro.2015.02.027" TargetMode="External"/><Relationship Id="rId_hyperlink_1403" Type="http://schemas.openxmlformats.org/officeDocument/2006/relationships/hyperlink" Target="https%3A%2F%2Fwww.webofscience.com%2Fwos%2Fwoscc%2Ffull-record%2F" TargetMode="External"/><Relationship Id="rId_hyperlink_1404" Type="http://schemas.openxmlformats.org/officeDocument/2006/relationships/hyperlink" Target="http://dx.doi.org/10.1016/j.wasman.2022.02.011" TargetMode="External"/><Relationship Id="rId_hyperlink_1405" Type="http://schemas.openxmlformats.org/officeDocument/2006/relationships/hyperlink" Target="https%3A%2F%2Fwww.webofscience.com%2Fwos%2Fwoscc%2Ffull-record%2F" TargetMode="External"/><Relationship Id="rId_hyperlink_1406" Type="http://schemas.openxmlformats.org/officeDocument/2006/relationships/hyperlink" Target="http://dx.doi.org/10.1016/j.cities.2016.07.003" TargetMode="External"/><Relationship Id="rId_hyperlink_1407" Type="http://schemas.openxmlformats.org/officeDocument/2006/relationships/hyperlink" Target="https%3A%2F%2Fwww.webofscience.com%2Fwos%2Fwoscc%2Ffull-record%2F" TargetMode="External"/><Relationship Id="rId_hyperlink_1408" Type="http://schemas.openxmlformats.org/officeDocument/2006/relationships/hyperlink" Target="http://dx.doi.org/10.1016/j.ecolmodel.2009.02.001" TargetMode="External"/><Relationship Id="rId_hyperlink_1409" Type="http://schemas.openxmlformats.org/officeDocument/2006/relationships/hyperlink" Target="https%3A%2F%2Fwww.webofscience.com%2Fwos%2Fwoscc%2Ffull-record%2F" TargetMode="External"/><Relationship Id="rId_hyperlink_1410" Type="http://schemas.openxmlformats.org/officeDocument/2006/relationships/hyperlink" Target="http://dx.doi.org/10.3390/ijerph19105793" TargetMode="External"/><Relationship Id="rId_hyperlink_1411" Type="http://schemas.openxmlformats.org/officeDocument/2006/relationships/hyperlink" Target="https%3A%2F%2Fwww.webofscience.com%2Fwos%2Fwoscc%2Ffull-record%2F" TargetMode="External"/><Relationship Id="rId_hyperlink_1412" Type="http://schemas.openxmlformats.org/officeDocument/2006/relationships/hyperlink" Target="http://dx.doi.org/10.1016/j.ecolind.2018.07.053" TargetMode="External"/><Relationship Id="rId_hyperlink_1413" Type="http://schemas.openxmlformats.org/officeDocument/2006/relationships/hyperlink" Target="https%3A%2F%2Fwww.webofscience.com%2Fwos%2Fwoscc%2Ffull-record%2F" TargetMode="External"/><Relationship Id="rId_hyperlink_1414" Type="http://schemas.openxmlformats.org/officeDocument/2006/relationships/hyperlink" Target="http://dx.doi.org/10.1111/tran.12187" TargetMode="External"/><Relationship Id="rId_hyperlink_1415" Type="http://schemas.openxmlformats.org/officeDocument/2006/relationships/hyperlink" Target="https%3A%2F%2Fwww.webofscience.com%2Fwos%2Fwoscc%2Ffull-record%2F" TargetMode="External"/><Relationship Id="rId_hyperlink_1416" Type="http://schemas.openxmlformats.org/officeDocument/2006/relationships/hyperlink" Target="http://dx.doi.org/10.1016/j.jclepro.2019.118236" TargetMode="External"/><Relationship Id="rId_hyperlink_1417" Type="http://schemas.openxmlformats.org/officeDocument/2006/relationships/hyperlink" Target="https%3A%2F%2Fwww.webofscience.com%2Fwos%2Fwoscc%2Ffull-record%2F" TargetMode="External"/><Relationship Id="rId_hyperlink_1418" Type="http://schemas.openxmlformats.org/officeDocument/2006/relationships/hyperlink" Target="http://dx.doi.org/10.1016/j.resconrec.2017.05.010" TargetMode="External"/><Relationship Id="rId_hyperlink_1419" Type="http://schemas.openxmlformats.org/officeDocument/2006/relationships/hyperlink" Target="https%3A%2F%2Fwww.webofscience.com%2Fwos%2Fwoscc%2Ffull-record%2F" TargetMode="External"/><Relationship Id="rId_hyperlink_1420" Type="http://schemas.openxmlformats.org/officeDocument/2006/relationships/hyperlink" Target="http://dx.doi.org/10.1016/j.geoforum.2021.03.005" TargetMode="External"/><Relationship Id="rId_hyperlink_1421" Type="http://schemas.openxmlformats.org/officeDocument/2006/relationships/hyperlink" Target="https%3A%2F%2Fwww.webofscience.com%2Fwos%2Fwoscc%2Ffull-record%2F" TargetMode="External"/><Relationship Id="rId_hyperlink_1422" Type="http://schemas.openxmlformats.org/officeDocument/2006/relationships/hyperlink" Target="http://dx.doi.org/10.1016/j.atmosenv.2019.117204" TargetMode="External"/><Relationship Id="rId_hyperlink_1423" Type="http://schemas.openxmlformats.org/officeDocument/2006/relationships/hyperlink" Target="https%3A%2F%2Fwww.webofscience.com%2Fwos%2Fwoscc%2Ffull-record%2F" TargetMode="External"/><Relationship Id="rId_hyperlink_1424" Type="http://schemas.openxmlformats.org/officeDocument/2006/relationships/hyperlink" Target="http://dx.doi.org/10.3390/s20164391" TargetMode="External"/><Relationship Id="rId_hyperlink_1425" Type="http://schemas.openxmlformats.org/officeDocument/2006/relationships/hyperlink" Target="https%3A%2F%2Fwww.webofscience.com%2Fwos%2Fwoscc%2Ffull-record%2F" TargetMode="External"/><Relationship Id="rId_hyperlink_1426" Type="http://schemas.openxmlformats.org/officeDocument/2006/relationships/hyperlink" Target="http://dx.doi.org/10.1016/j.jclepro.2018.06.084" TargetMode="External"/><Relationship Id="rId_hyperlink_1427" Type="http://schemas.openxmlformats.org/officeDocument/2006/relationships/hyperlink" Target="https%3A%2F%2Fwww.webofscience.com%2Fwos%2Fwoscc%2Ffull-record%2F" TargetMode="External"/><Relationship Id="rId_hyperlink_1428" Type="http://schemas.openxmlformats.org/officeDocument/2006/relationships/hyperlink" Target="http://dx.doi.org/10.1016/j.rser.2016.07.019" TargetMode="External"/><Relationship Id="rId_hyperlink_1429" Type="http://schemas.openxmlformats.org/officeDocument/2006/relationships/hyperlink" Target="https%3A%2F%2Fwww.webofscience.com%2Fwos%2Fwoscc%2Ffull-record%2F" TargetMode="External"/><Relationship Id="rId_hyperlink_1430" Type="http://schemas.openxmlformats.org/officeDocument/2006/relationships/hyperlink" Target="http://dx.doi.org/10.1016/j.watres.2014.05.004" TargetMode="External"/><Relationship Id="rId_hyperlink_1431" Type="http://schemas.openxmlformats.org/officeDocument/2006/relationships/hyperlink" Target="https%3A%2F%2Fwww.webofscience.com%2Fwos%2Fwoscc%2Ffull-record%2F" TargetMode="External"/><Relationship Id="rId_hyperlink_1432" Type="http://schemas.openxmlformats.org/officeDocument/2006/relationships/hyperlink" Target="http://dx.doi.org/10.1080/01944360801993531" TargetMode="External"/><Relationship Id="rId_hyperlink_1433" Type="http://schemas.openxmlformats.org/officeDocument/2006/relationships/hyperlink" Target="https%3A%2F%2Fwww.webofscience.com%2Fwos%2Fwoscc%2Ffull-record%2F" TargetMode="External"/><Relationship Id="rId_hyperlink_1434" Type="http://schemas.openxmlformats.org/officeDocument/2006/relationships/hyperlink" Target="http://dx.doi.org/10.1007/s11252-012-0270-3" TargetMode="External"/><Relationship Id="rId_hyperlink_1435" Type="http://schemas.openxmlformats.org/officeDocument/2006/relationships/hyperlink" Target="https%3A%2F%2Fwww.webofscience.com%2Fwos%2Fwoscc%2Ffull-record%2F" TargetMode="External"/><Relationship Id="rId_hyperlink_1436" Type="http://schemas.openxmlformats.org/officeDocument/2006/relationships/hyperlink" Target="http://dx.doi.org/10.17159/sajs.2022/12552" TargetMode="External"/><Relationship Id="rId_hyperlink_1437" Type="http://schemas.openxmlformats.org/officeDocument/2006/relationships/hyperlink" Target="https%3A%2F%2Fwww.webofscience.com%2Fwos%2Fwoscc%2Ffull-record%2F" TargetMode="External"/><Relationship Id="rId_hyperlink_1438" Type="http://schemas.openxmlformats.org/officeDocument/2006/relationships/hyperlink" Target="http://dx.doi.org/10.1016/j.ecoser.2022.101454" TargetMode="External"/><Relationship Id="rId_hyperlink_1439" Type="http://schemas.openxmlformats.org/officeDocument/2006/relationships/hyperlink" Target="https%3A%2F%2Fwww.webofscience.com%2Fwos%2Fwoscc%2Ffull-record%2F" TargetMode="External"/><Relationship Id="rId_hyperlink_1440" Type="http://schemas.openxmlformats.org/officeDocument/2006/relationships/hyperlink" Target="http://dx.doi.org/10.1007/s11356-023-27670-2" TargetMode="External"/><Relationship Id="rId_hyperlink_1441" Type="http://schemas.openxmlformats.org/officeDocument/2006/relationships/hyperlink" Target="https%3A%2F%2Fwww.webofscience.com%2Fwos%2Fwoscc%2Ffull-record%2F" TargetMode="External"/><Relationship Id="rId_hyperlink_1442" Type="http://schemas.openxmlformats.org/officeDocument/2006/relationships/hyperlink" Target="http://dx.doi.org/10.1016/j.jenvman.2022.117046" TargetMode="External"/><Relationship Id="rId_hyperlink_1443" Type="http://schemas.openxmlformats.org/officeDocument/2006/relationships/hyperlink" Target="https%3A%2F%2Fwww.webofscience.com%2Fwos%2Fwoscc%2Ffull-record%2F" TargetMode="External"/><Relationship Id="rId_hyperlink_1444" Type="http://schemas.openxmlformats.org/officeDocument/2006/relationships/hyperlink" Target="http://dx.doi.org/10.1017/sus.2018.16" TargetMode="External"/><Relationship Id="rId_hyperlink_1445" Type="http://schemas.openxmlformats.org/officeDocument/2006/relationships/hyperlink" Target="https%3A%2F%2Fwww.webofscience.com%2Fwos%2Fwoscc%2Ffull-record%2F" TargetMode="External"/><Relationship Id="rId_hyperlink_1446" Type="http://schemas.openxmlformats.org/officeDocument/2006/relationships/hyperlink" Target="https%3A%2F%2Fwww.webofscience.com%2Fwos%2Fwoscc%2Ffull-record%2F" TargetMode="External"/><Relationship Id="rId_hyperlink_1447" Type="http://schemas.openxmlformats.org/officeDocument/2006/relationships/hyperlink" Target="http://dx.doi.org/10.1016/j.jclepro.2011.01.007" TargetMode="External"/><Relationship Id="rId_hyperlink_1448" Type="http://schemas.openxmlformats.org/officeDocument/2006/relationships/hyperlink" Target="https%3A%2F%2Fwww.webofscience.com%2Fwos%2Fwoscc%2Ffull-record%2F" TargetMode="External"/><Relationship Id="rId_hyperlink_1449" Type="http://schemas.openxmlformats.org/officeDocument/2006/relationships/hyperlink" Target="http://dx.doi.org/10.1016/j.jclepro.2019.118780" TargetMode="External"/><Relationship Id="rId_hyperlink_1450" Type="http://schemas.openxmlformats.org/officeDocument/2006/relationships/hyperlink" Target="https%3A%2F%2Fwww.webofscience.com%2Fwos%2Fwoscc%2Ffull-record%2F" TargetMode="External"/><Relationship Id="rId_hyperlink_1451" Type="http://schemas.openxmlformats.org/officeDocument/2006/relationships/hyperlink" Target="http://dx.doi.org/10.1088/1748-9326/aa98ca" TargetMode="External"/><Relationship Id="rId_hyperlink_1452" Type="http://schemas.openxmlformats.org/officeDocument/2006/relationships/hyperlink" Target="https%3A%2F%2Fwww.webofscience.com%2Fwos%2Fwoscc%2Ffull-record%2F" TargetMode="External"/><Relationship Id="rId_hyperlink_1453" Type="http://schemas.openxmlformats.org/officeDocument/2006/relationships/hyperlink" Target="http://dx.doi.org/10.1016/j.uclim.2022.101195" TargetMode="External"/><Relationship Id="rId_hyperlink_1454" Type="http://schemas.openxmlformats.org/officeDocument/2006/relationships/hyperlink" Target="https%3A%2F%2Fwww.webofscience.com%2Fwos%2Fwoscc%2Ffull-record%2F" TargetMode="External"/><Relationship Id="rId_hyperlink_1455" Type="http://schemas.openxmlformats.org/officeDocument/2006/relationships/hyperlink" Target="http://dx.doi.org/10.1016/j.jclepro.2020.123510" TargetMode="External"/><Relationship Id="rId_hyperlink_1456" Type="http://schemas.openxmlformats.org/officeDocument/2006/relationships/hyperlink" Target="https%3A%2F%2Fwww.webofscience.com%2Fwos%2Fwoscc%2Ffull-record%2F" TargetMode="External"/><Relationship Id="rId_hyperlink_1457" Type="http://schemas.openxmlformats.org/officeDocument/2006/relationships/hyperlink" Target="http://dx.doi.org/10.1016/j.watres.2021.116892" TargetMode="External"/><Relationship Id="rId_hyperlink_1458" Type="http://schemas.openxmlformats.org/officeDocument/2006/relationships/hyperlink" Target="https%3A%2F%2Fwww.webofscience.com%2Fwos%2Fwoscc%2Ffull-record%2F" TargetMode="External"/><Relationship Id="rId_hyperlink_1459" Type="http://schemas.openxmlformats.org/officeDocument/2006/relationships/hyperlink" Target="http://dx.doi.org/10.1016/j.ecolmodel.2016.06.001" TargetMode="External"/><Relationship Id="rId_hyperlink_1460" Type="http://schemas.openxmlformats.org/officeDocument/2006/relationships/hyperlink" Target="https%3A%2F%2Fwww.webofscience.com%2Fwos%2Fwoscc%2Ffull-record%2F" TargetMode="External"/><Relationship Id="rId_hyperlink_1461" Type="http://schemas.openxmlformats.org/officeDocument/2006/relationships/hyperlink" Target="http://dx.doi.org/10.1016/j.jenvman.2021.113618" TargetMode="External"/><Relationship Id="rId_hyperlink_1462" Type="http://schemas.openxmlformats.org/officeDocument/2006/relationships/hyperlink" Target="https%3A%2F%2Fwww.webofscience.com%2Fwos%2Fwoscc%2Ffull-record%2F" TargetMode="External"/><Relationship Id="rId_hyperlink_1463" Type="http://schemas.openxmlformats.org/officeDocument/2006/relationships/hyperlink" Target="http://dx.doi.org/10.1007/s11356-023-29735-8" TargetMode="External"/><Relationship Id="rId_hyperlink_1464" Type="http://schemas.openxmlformats.org/officeDocument/2006/relationships/hyperlink" Target="https%3A%2F%2Fwww.webofscience.com%2Fwos%2Fwoscc%2Ffull-record%2F" TargetMode="External"/><Relationship Id="rId_hyperlink_1465" Type="http://schemas.openxmlformats.org/officeDocument/2006/relationships/hyperlink" Target="http://dx.doi.org/10.1016/j.scitotenv.2023.162991" TargetMode="External"/><Relationship Id="rId_hyperlink_1466" Type="http://schemas.openxmlformats.org/officeDocument/2006/relationships/hyperlink" Target="https%3A%2F%2Fwww.webofscience.com%2Fwos%2Fwoscc%2Ffull-record%2F" TargetMode="External"/><Relationship Id="rId_hyperlink_1467" Type="http://schemas.openxmlformats.org/officeDocument/2006/relationships/hyperlink" Target="http://dx.doi.org/10.1111/jiec.12491" TargetMode="External"/><Relationship Id="rId_hyperlink_1468" Type="http://schemas.openxmlformats.org/officeDocument/2006/relationships/hyperlink" Target="https%3A%2F%2Fwww.webofscience.com%2Fwos%2Fwoscc%2Ffull-record%2F" TargetMode="External"/><Relationship Id="rId_hyperlink_1469" Type="http://schemas.openxmlformats.org/officeDocument/2006/relationships/hyperlink" Target="http://dx.doi.org/10.3389/fpls.2020.596550" TargetMode="External"/><Relationship Id="rId_hyperlink_1470" Type="http://schemas.openxmlformats.org/officeDocument/2006/relationships/hyperlink" Target="https%3A%2F%2Fwww.webofscience.com%2Fwos%2Fwoscc%2Ffull-record%2F" TargetMode="External"/><Relationship Id="rId_hyperlink_1471" Type="http://schemas.openxmlformats.org/officeDocument/2006/relationships/hyperlink" Target="http://dx.doi.org/10.3390/su132313181" TargetMode="External"/><Relationship Id="rId_hyperlink_1472" Type="http://schemas.openxmlformats.org/officeDocument/2006/relationships/hyperlink" Target="https%3A%2F%2Fwww.webofscience.com%2Fwos%2Fwoscc%2Ffull-record%2F" TargetMode="External"/><Relationship Id="rId_hyperlink_1473" Type="http://schemas.openxmlformats.org/officeDocument/2006/relationships/hyperlink" Target="http://dx.doi.org/10.3390/resources8020062" TargetMode="External"/><Relationship Id="rId_hyperlink_1474" Type="http://schemas.openxmlformats.org/officeDocument/2006/relationships/hyperlink" Target="https%3A%2F%2Fwww.webofscience.com%2Fwos%2Fwoscc%2Ffull-record%2F" TargetMode="External"/><Relationship Id="rId_hyperlink_1475" Type="http://schemas.openxmlformats.org/officeDocument/2006/relationships/hyperlink" Target="http://dx.doi.org/10.1016/j.jenvman.2022.115371" TargetMode="External"/><Relationship Id="rId_hyperlink_1476" Type="http://schemas.openxmlformats.org/officeDocument/2006/relationships/hyperlink" Target="https%3A%2F%2Fwww.webofscience.com%2Fwos%2Fwoscc%2Ffull-record%2F" TargetMode="External"/><Relationship Id="rId_hyperlink_1477" Type="http://schemas.openxmlformats.org/officeDocument/2006/relationships/hyperlink" Target="http://dx.doi.org/10.1016/j.envint.2016.02.032" TargetMode="External"/><Relationship Id="rId_hyperlink_1478" Type="http://schemas.openxmlformats.org/officeDocument/2006/relationships/hyperlink" Target="https%3A%2F%2Fwww.webofscience.com%2Fwos%2Fwoscc%2Ffull-record%2F" TargetMode="External"/><Relationship Id="rId_hyperlink_1479" Type="http://schemas.openxmlformats.org/officeDocument/2006/relationships/hyperlink" Target="http://dx.doi.org/10.1111/anti.12191" TargetMode="External"/><Relationship Id="rId_hyperlink_1480" Type="http://schemas.openxmlformats.org/officeDocument/2006/relationships/hyperlink" Target="https%3A%2F%2Fwww.webofscience.com%2Fwos%2Fwoscc%2Ffull-record%2F" TargetMode="External"/><Relationship Id="rId_hyperlink_1481" Type="http://schemas.openxmlformats.org/officeDocument/2006/relationships/hyperlink" Target="http://dx.doi.org/10.1016/j.jclepro.2019.118433" TargetMode="External"/><Relationship Id="rId_hyperlink_1482" Type="http://schemas.openxmlformats.org/officeDocument/2006/relationships/hyperlink" Target="https%3A%2F%2Fwww.webofscience.com%2Fwos%2Fwoscc%2Ffull-record%2F" TargetMode="External"/><Relationship Id="rId_hyperlink_1483" Type="http://schemas.openxmlformats.org/officeDocument/2006/relationships/hyperlink" Target="http://dx.doi.org/10.1023/A:1016302913909" TargetMode="External"/><Relationship Id="rId_hyperlink_1484" Type="http://schemas.openxmlformats.org/officeDocument/2006/relationships/hyperlink" Target="https%3A%2F%2Fwww.webofscience.com%2Fwos%2Fwoscc%2Ffull-record%2F" TargetMode="External"/><Relationship Id="rId_hyperlink_1485" Type="http://schemas.openxmlformats.org/officeDocument/2006/relationships/hyperlink" Target="http://dx.doi.org/10.3390/su151712680" TargetMode="External"/><Relationship Id="rId_hyperlink_1486" Type="http://schemas.openxmlformats.org/officeDocument/2006/relationships/hyperlink" Target="https%3A%2F%2Fwww.webofscience.com%2Fwos%2Fwoscc%2Ffull-record%2F" TargetMode="External"/><Relationship Id="rId_hyperlink_1487" Type="http://schemas.openxmlformats.org/officeDocument/2006/relationships/hyperlink" Target="http://dx.doi.org/10.3390/su15065284" TargetMode="External"/><Relationship Id="rId_hyperlink_1488" Type="http://schemas.openxmlformats.org/officeDocument/2006/relationships/hyperlink" Target="https%3A%2F%2Fwww.webofscience.com%2Fwos%2Fwoscc%2Ffull-record%2F" TargetMode="External"/><Relationship Id="rId_hyperlink_1489" Type="http://schemas.openxmlformats.org/officeDocument/2006/relationships/hyperlink" Target="http://dx.doi.org/10.3390/rs14010198" TargetMode="External"/><Relationship Id="rId_hyperlink_1490" Type="http://schemas.openxmlformats.org/officeDocument/2006/relationships/hyperlink" Target="https%3A%2F%2Fwww.webofscience.com%2Fwos%2Fwoscc%2Ffull-record%2F" TargetMode="External"/><Relationship Id="rId_hyperlink_1491" Type="http://schemas.openxmlformats.org/officeDocument/2006/relationships/hyperlink" Target="http://dx.doi.org/10.1016/j.ecolmodel.2005.03.004" TargetMode="External"/><Relationship Id="rId_hyperlink_1492" Type="http://schemas.openxmlformats.org/officeDocument/2006/relationships/hyperlink" Target="https%3A%2F%2Fwww.webofscience.com%2Fwos%2Fwoscc%2Ffull-record%2F" TargetMode="External"/><Relationship Id="rId_hyperlink_1493" Type="http://schemas.openxmlformats.org/officeDocument/2006/relationships/hyperlink" Target="http://dx.doi.org/10.1890/08-0027.1" TargetMode="External"/><Relationship Id="rId_hyperlink_1494" Type="http://schemas.openxmlformats.org/officeDocument/2006/relationships/hyperlink" Target="https%3A%2F%2Fwww.webofscience.com%2Fwos%2Fwoscc%2Ffull-record%2F" TargetMode="External"/><Relationship Id="rId_hyperlink_1495" Type="http://schemas.openxmlformats.org/officeDocument/2006/relationships/hyperlink" Target="http://dx.doi.org/10.1016/j.jclepro.2019.05.333" TargetMode="External"/><Relationship Id="rId_hyperlink_1496" Type="http://schemas.openxmlformats.org/officeDocument/2006/relationships/hyperlink" Target="https%3A%2F%2Fwww.webofscience.com%2Fwos%2Fwoscc%2Ffull-record%2F" TargetMode="External"/><Relationship Id="rId_hyperlink_1497" Type="http://schemas.openxmlformats.org/officeDocument/2006/relationships/hyperlink" Target="http://dx.doi.org/10.1016/j.compenvurbsys.2016.02.002" TargetMode="External"/><Relationship Id="rId_hyperlink_1498" Type="http://schemas.openxmlformats.org/officeDocument/2006/relationships/hyperlink" Target="https%3A%2F%2Fwww.webofscience.com%2Fwos%2Fwoscc%2Ffull-record%2F" TargetMode="External"/><Relationship Id="rId_hyperlink_1499" Type="http://schemas.openxmlformats.org/officeDocument/2006/relationships/hyperlink" Target="http://dx.doi.org/10.1007/s11356-023-31724-w" TargetMode="External"/><Relationship Id="rId_hyperlink_1500" Type="http://schemas.openxmlformats.org/officeDocument/2006/relationships/hyperlink" Target="https%3A%2F%2Fwww.webofscience.com%2Fwos%2Fwoscc%2Ffull-record%2F" TargetMode="External"/><Relationship Id="rId_hyperlink_1501" Type="http://schemas.openxmlformats.org/officeDocument/2006/relationships/hyperlink" Target="https%3A%2F%2Fwww.webofscience.com%2Fwos%2Fwoscc%2Ffull-record%2F" TargetMode="External"/><Relationship Id="rId_hyperlink_1502" Type="http://schemas.openxmlformats.org/officeDocument/2006/relationships/hyperlink" Target="http://dx.doi.org/10.3390/su132313159" TargetMode="External"/><Relationship Id="rId_hyperlink_1503" Type="http://schemas.openxmlformats.org/officeDocument/2006/relationships/hyperlink" Target="https%3A%2F%2Fwww.webofscience.com%2Fwos%2Fwoscc%2Ffull-record%2F" TargetMode="External"/><Relationship Id="rId_hyperlink_1504" Type="http://schemas.openxmlformats.org/officeDocument/2006/relationships/hyperlink" Target="http://dx.doi.org/10.1016/j.landusepol.2017.12.029" TargetMode="External"/><Relationship Id="rId_hyperlink_1505" Type="http://schemas.openxmlformats.org/officeDocument/2006/relationships/hyperlink" Target="https%3A%2F%2Fwww.webofscience.com%2Fwos%2Fwoscc%2Ffull-record%2F" TargetMode="External"/><Relationship Id="rId_hyperlink_1506" Type="http://schemas.openxmlformats.org/officeDocument/2006/relationships/hyperlink" Target="http://dx.doi.org/10.1016/j.jclepro.2021.129253" TargetMode="External"/><Relationship Id="rId_hyperlink_1507" Type="http://schemas.openxmlformats.org/officeDocument/2006/relationships/hyperlink" Target="https%3A%2F%2Fwww.webofscience.com%2Fwos%2Fwoscc%2Ffull-record%2F" TargetMode="External"/><Relationship Id="rId_hyperlink_1508" Type="http://schemas.openxmlformats.org/officeDocument/2006/relationships/hyperlink" Target="http://dx.doi.org/10.1016/j.cities.2016.04.004" TargetMode="External"/><Relationship Id="rId_hyperlink_1509" Type="http://schemas.openxmlformats.org/officeDocument/2006/relationships/hyperlink" Target="https%3A%2F%2Fwww.webofscience.com%2Fwos%2Fwoscc%2Ffull-record%2F" TargetMode="External"/><Relationship Id="rId_hyperlink_1510" Type="http://schemas.openxmlformats.org/officeDocument/2006/relationships/hyperlink" Target="http://dx.doi.org/10.3390/su7078522" TargetMode="External"/><Relationship Id="rId_hyperlink_1511" Type="http://schemas.openxmlformats.org/officeDocument/2006/relationships/hyperlink" Target="https%3A%2F%2Fwww.webofscience.com%2Fwos%2Fwoscc%2Ffull-record%2F" TargetMode="External"/><Relationship Id="rId_hyperlink_1512" Type="http://schemas.openxmlformats.org/officeDocument/2006/relationships/hyperlink" Target="http://dx.doi.org/10.5194/hess-11-1757-2007" TargetMode="External"/><Relationship Id="rId_hyperlink_1513" Type="http://schemas.openxmlformats.org/officeDocument/2006/relationships/hyperlink" Target="https%3A%2F%2Fwww.webofscience.com%2Fwos%2Fwoscc%2Ffull-record%2F" TargetMode="External"/><Relationship Id="rId_hyperlink_1514" Type="http://schemas.openxmlformats.org/officeDocument/2006/relationships/hyperlink" Target="http://dx.doi.org/10.1016/j.spc.2021.04.008" TargetMode="External"/><Relationship Id="rId_hyperlink_1515" Type="http://schemas.openxmlformats.org/officeDocument/2006/relationships/hyperlink" Target="https%3A%2F%2Fwww.webofscience.com%2Fwos%2Fwoscc%2Ffull-record%2F" TargetMode="External"/><Relationship Id="rId_hyperlink_1516" Type="http://schemas.openxmlformats.org/officeDocument/2006/relationships/hyperlink" Target="http://dx.doi.org/10.1016/j.jclepro.2018.07.238" TargetMode="External"/><Relationship Id="rId_hyperlink_1517" Type="http://schemas.openxmlformats.org/officeDocument/2006/relationships/hyperlink" Target="https%3A%2F%2Fwww.webofscience.com%2Fwos%2Fwoscc%2Ffull-record%2F" TargetMode="External"/><Relationship Id="rId_hyperlink_1518" Type="http://schemas.openxmlformats.org/officeDocument/2006/relationships/hyperlink" Target="http://dx.doi.org/10.1016/j.eiar.2023.107320" TargetMode="External"/><Relationship Id="rId_hyperlink_1519" Type="http://schemas.openxmlformats.org/officeDocument/2006/relationships/hyperlink" Target="https%3A%2F%2Fwww.webofscience.com%2Fwos%2Fwoscc%2Ffull-record%2F" TargetMode="External"/><Relationship Id="rId_hyperlink_1520" Type="http://schemas.openxmlformats.org/officeDocument/2006/relationships/hyperlink" Target="http://dx.doi.org/10.1016/j.landusepol.2023.106693" TargetMode="External"/><Relationship Id="rId_hyperlink_1521" Type="http://schemas.openxmlformats.org/officeDocument/2006/relationships/hyperlink" Target="https%3A%2F%2Fwww.webofscience.com%2Fwos%2Fwoscc%2Ffull-record%2F" TargetMode="External"/><Relationship Id="rId_hyperlink_1522" Type="http://schemas.openxmlformats.org/officeDocument/2006/relationships/hyperlink" Target="http://dx.doi.org/10.1016/j.jclepro.2019.01.199" TargetMode="External"/><Relationship Id="rId_hyperlink_1523" Type="http://schemas.openxmlformats.org/officeDocument/2006/relationships/hyperlink" Target="https%3A%2F%2Fwww.webofscience.com%2Fwos%2Fwoscc%2Ffull-record%2F" TargetMode="External"/><Relationship Id="rId_hyperlink_1524" Type="http://schemas.openxmlformats.org/officeDocument/2006/relationships/hyperlink" Target="http://dx.doi.org/10.1016/j.resconrec.2016.12.002" TargetMode="External"/><Relationship Id="rId_hyperlink_1525" Type="http://schemas.openxmlformats.org/officeDocument/2006/relationships/hyperlink" Target="https%3A%2F%2Fwww.webofscience.com%2Fwos%2Fwoscc%2Ffull-record%2F" TargetMode="External"/><Relationship Id="rId_hyperlink_1526" Type="http://schemas.openxmlformats.org/officeDocument/2006/relationships/hyperlink" Target="http://dx.doi.org/10.1111/anti.12175" TargetMode="External"/><Relationship Id="rId_hyperlink_1527" Type="http://schemas.openxmlformats.org/officeDocument/2006/relationships/hyperlink" Target="https%3A%2F%2Fwww.webofscience.com%2Fwos%2Fwoscc%2Ffull-record%2F" TargetMode="External"/><Relationship Id="rId_hyperlink_1528" Type="http://schemas.openxmlformats.org/officeDocument/2006/relationships/hyperlink" Target="http://dx.doi.org/10.1016/j.apgeog.2010.11.011" TargetMode="External"/><Relationship Id="rId_hyperlink_1529" Type="http://schemas.openxmlformats.org/officeDocument/2006/relationships/hyperlink" Target="https%3A%2F%2Fwww.webofscience.com%2Fwos%2Fwoscc%2Ffull-record%2F" TargetMode="External"/><Relationship Id="rId_hyperlink_1530" Type="http://schemas.openxmlformats.org/officeDocument/2006/relationships/hyperlink" Target="http://dx.doi.org/10.5751/ES-06118-190137" TargetMode="External"/><Relationship Id="rId_hyperlink_1531" Type="http://schemas.openxmlformats.org/officeDocument/2006/relationships/hyperlink" Target="https%3A%2F%2Fwww.webofscience.com%2Fwos%2Fwoscc%2Ffull-record%2F" TargetMode="External"/><Relationship Id="rId_hyperlink_1532" Type="http://schemas.openxmlformats.org/officeDocument/2006/relationships/hyperlink" Target="http://dx.doi.org/10.3389/feart.2022.944865" TargetMode="External"/><Relationship Id="rId_hyperlink_1533" Type="http://schemas.openxmlformats.org/officeDocument/2006/relationships/hyperlink" Target="https%3A%2F%2Fwww.webofscience.com%2Fwos%2Fwoscc%2Ffull-record%2F" TargetMode="External"/><Relationship Id="rId_hyperlink_1534" Type="http://schemas.openxmlformats.org/officeDocument/2006/relationships/hyperlink" Target="http://dx.doi.org/10.1016/j.spc.2020.12.039" TargetMode="External"/><Relationship Id="rId_hyperlink_1535" Type="http://schemas.openxmlformats.org/officeDocument/2006/relationships/hyperlink" Target="https%3A%2F%2Fwww.webofscience.com%2Fwos%2Fwoscc%2Ffull-record%2F" TargetMode="External"/><Relationship Id="rId_hyperlink_1536" Type="http://schemas.openxmlformats.org/officeDocument/2006/relationships/hyperlink" Target="http://dx.doi.org/10.1016/j.scitotenv.2019.135857" TargetMode="External"/><Relationship Id="rId_hyperlink_1537" Type="http://schemas.openxmlformats.org/officeDocument/2006/relationships/hyperlink" Target="https%3A%2F%2Fwww.webofscience.com%2Fwos%2Fwoscc%2Ffull-record%2F" TargetMode="External"/><Relationship Id="rId_hyperlink_1538" Type="http://schemas.openxmlformats.org/officeDocument/2006/relationships/hyperlink" Target="http://dx.doi.org/10.1016/j.jclepro.2022.130657" TargetMode="External"/><Relationship Id="rId_hyperlink_1539" Type="http://schemas.openxmlformats.org/officeDocument/2006/relationships/hyperlink" Target="https%3A%2F%2Fwww.webofscience.com%2Fwos%2Fwoscc%2Ffull-record%2F" TargetMode="External"/><Relationship Id="rId_hyperlink_1540" Type="http://schemas.openxmlformats.org/officeDocument/2006/relationships/hyperlink" Target="http://dx.doi.org/10.3390/su3010155" TargetMode="External"/><Relationship Id="rId_hyperlink_1541" Type="http://schemas.openxmlformats.org/officeDocument/2006/relationships/hyperlink" Target="https%3A%2F%2Fwww.webofscience.com%2Fwos%2Fwoscc%2Ffull-record%2F" TargetMode="External"/><Relationship Id="rId_hyperlink_1542" Type="http://schemas.openxmlformats.org/officeDocument/2006/relationships/hyperlink" Target="http://dx.doi.org/10.1007/s11367-020-01822-9" TargetMode="External"/><Relationship Id="rId_hyperlink_1543" Type="http://schemas.openxmlformats.org/officeDocument/2006/relationships/hyperlink" Target="https%3A%2F%2Fwww.webofscience.com%2Fwos%2Fwoscc%2Ffull-record%2F" TargetMode="External"/><Relationship Id="rId_hyperlink_1544" Type="http://schemas.openxmlformats.org/officeDocument/2006/relationships/hyperlink" Target="http://dx.doi.org/10.1016/j.jclepro.2015.06.113" TargetMode="External"/><Relationship Id="rId_hyperlink_1545" Type="http://schemas.openxmlformats.org/officeDocument/2006/relationships/hyperlink" Target="https%3A%2F%2Fwww.webofscience.com%2Fwos%2Fwoscc%2Ffull-record%2F" TargetMode="External"/><Relationship Id="rId_hyperlink_1546" Type="http://schemas.openxmlformats.org/officeDocument/2006/relationships/hyperlink" Target="http://dx.doi.org/10.1007/s11367-019-01724-5" TargetMode="External"/><Relationship Id="rId_hyperlink_1547" Type="http://schemas.openxmlformats.org/officeDocument/2006/relationships/hyperlink" Target="https%3A%2F%2Fwww.webofscience.com%2Fwos%2Fwoscc%2Ffull-record%2F" TargetMode="External"/><Relationship Id="rId_hyperlink_1548" Type="http://schemas.openxmlformats.org/officeDocument/2006/relationships/hyperlink" Target="http://dx.doi.org/10.1007/s11367-022-02024-1" TargetMode="External"/><Relationship Id="rId_hyperlink_1549" Type="http://schemas.openxmlformats.org/officeDocument/2006/relationships/hyperlink" Target="https%3A%2F%2Fwww.webofscience.com%2Fwos%2Fwoscc%2Ffull-record%2F" TargetMode="External"/><Relationship Id="rId_hyperlink_1550" Type="http://schemas.openxmlformats.org/officeDocument/2006/relationships/hyperlink" Target="http://dx.doi.org/10.1016/j.landusepol.2021.105830" TargetMode="External"/><Relationship Id="rId_hyperlink_1551" Type="http://schemas.openxmlformats.org/officeDocument/2006/relationships/hyperlink" Target="https%3A%2F%2Fwww.webofscience.com%2Fwos%2Fwoscc%2Ffull-record%2F" TargetMode="External"/><Relationship Id="rId_hyperlink_1552" Type="http://schemas.openxmlformats.org/officeDocument/2006/relationships/hyperlink" Target="http://dx.doi.org/10.1016/j.jclepro.2016.03.062" TargetMode="External"/><Relationship Id="rId_hyperlink_1553" Type="http://schemas.openxmlformats.org/officeDocument/2006/relationships/hyperlink" Target="https%3A%2F%2Fwww.webofscience.com%2Fwos%2Fwoscc%2Ffull-record%2F" TargetMode="External"/><Relationship Id="rId_hyperlink_1554" Type="http://schemas.openxmlformats.org/officeDocument/2006/relationships/hyperlink" Target="http://dx.doi.org/10.3390/su4071488" TargetMode="External"/><Relationship Id="rId_hyperlink_1555" Type="http://schemas.openxmlformats.org/officeDocument/2006/relationships/hyperlink" Target="https%3A%2F%2Fwww.webofscience.com%2Fwos%2Fwoscc%2Ffull-record%2F" TargetMode="External"/><Relationship Id="rId_hyperlink_1556" Type="http://schemas.openxmlformats.org/officeDocument/2006/relationships/hyperlink" Target="http://dx.doi.org/10.1080/24694452.2017.1293501" TargetMode="External"/><Relationship Id="rId_hyperlink_1557" Type="http://schemas.openxmlformats.org/officeDocument/2006/relationships/hyperlink" Target="https%3A%2F%2Fwww.webofscience.com%2Fwos%2Fwoscc%2Ffull-record%2F" TargetMode="External"/><Relationship Id="rId_hyperlink_1558" Type="http://schemas.openxmlformats.org/officeDocument/2006/relationships/hyperlink" Target="http://dx.doi.org/10.1007/s11367-018-1467-3" TargetMode="External"/><Relationship Id="rId_hyperlink_1559" Type="http://schemas.openxmlformats.org/officeDocument/2006/relationships/hyperlink" Target="https%3A%2F%2Fwww.webofscience.com%2Fwos%2Fwoscc%2Ffull-record%2F" TargetMode="External"/><Relationship Id="rId_hyperlink_1560" Type="http://schemas.openxmlformats.org/officeDocument/2006/relationships/hyperlink" Target="http://dx.doi.org/10.1080/14649365.2016.1266025" TargetMode="External"/><Relationship Id="rId_hyperlink_1561" Type="http://schemas.openxmlformats.org/officeDocument/2006/relationships/hyperlink" Target="https%3A%2F%2Fwww.webofscience.com%2Fwos%2Fwoscc%2Ffull-record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792"/>
  <sheetViews>
    <sheetView tabSelected="1" workbookViewId="0" showGridLines="true" showRowColHeaders="1">
      <selection activeCell="A1" sqref="A1"/>
    </sheetView>
  </sheetViews>
  <sheetFormatPr customHeight="true" defaultRowHeight="12.75" outlineLevelRow="0" outlineLevelCol="0"/>
  <sheetData>
    <row r="1" spans="1:72" customHeight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customHeight="1" ht="12.75">
      <c r="A2" t="s">
        <v>72</v>
      </c>
      <c r="B2" t="s">
        <v>73</v>
      </c>
      <c r="C2"/>
      <c r="D2"/>
      <c r="E2"/>
      <c r="F2" t="s">
        <v>74</v>
      </c>
      <c r="G2"/>
      <c r="H2"/>
      <c r="I2" t="s">
        <v>75</v>
      </c>
      <c r="J2" t="s">
        <v>76</v>
      </c>
      <c r="K2"/>
      <c r="L2"/>
      <c r="M2"/>
      <c r="N2" t="s">
        <v>77</v>
      </c>
      <c r="O2"/>
      <c r="P2"/>
      <c r="Q2"/>
      <c r="R2"/>
      <c r="S2"/>
      <c r="T2" t="s">
        <v>78</v>
      </c>
      <c r="U2" t="s">
        <v>79</v>
      </c>
      <c r="V2"/>
      <c r="W2"/>
      <c r="X2"/>
      <c r="Y2"/>
      <c r="Z2"/>
      <c r="AA2"/>
      <c r="AB2"/>
      <c r="AC2"/>
      <c r="AD2"/>
      <c r="AE2"/>
      <c r="AF2"/>
      <c r="AG2"/>
      <c r="AH2">
        <v>4</v>
      </c>
      <c r="AI2">
        <v>4</v>
      </c>
      <c r="AJ2"/>
      <c r="AK2"/>
      <c r="AL2"/>
      <c r="AM2"/>
      <c r="AN2"/>
      <c r="AO2" t="s">
        <v>80</v>
      </c>
      <c r="AP2" t="s">
        <v>81</v>
      </c>
      <c r="AQ2"/>
      <c r="AR2"/>
      <c r="AS2"/>
      <c r="AT2"/>
      <c r="AU2">
        <v>2019</v>
      </c>
      <c r="AV2">
        <v>9</v>
      </c>
      <c r="AW2">
        <v>1</v>
      </c>
      <c r="AX2"/>
      <c r="AY2"/>
      <c r="AZ2"/>
      <c r="BA2"/>
      <c r="BB2">
        <v>54</v>
      </c>
      <c r="BC2">
        <v>71</v>
      </c>
      <c r="BD2"/>
      <c r="BE2" t="s">
        <v>82</v>
      </c>
      <c r="BF2" t="str">
        <f>HYPERLINK("http://dx.doi.org/10.15196/RS090103","http://dx.doi.org/10.15196/RS090103")</f>
        <v>http://dx.doi.org/10.15196/RS090103</v>
      </c>
      <c r="BG2"/>
      <c r="BH2"/>
      <c r="BI2"/>
      <c r="BJ2" t="s">
        <v>83</v>
      </c>
      <c r="BK2"/>
      <c r="BL2"/>
      <c r="BM2"/>
      <c r="BN2"/>
      <c r="BO2"/>
      <c r="BP2"/>
      <c r="BQ2"/>
      <c r="BR2"/>
      <c r="BS2"/>
      <c r="BT2" t="str">
        <f>HYPERLINK("https%3A%2F%2Fwww.webofscience.com%2Fwos%2Fwoscc%2Ffull-record%2F","View Full Record in Web of Science")</f>
        <v>View Full Record in Web of Science</v>
      </c>
    </row>
    <row r="3" spans="1:72" customHeight="1" ht="12.75">
      <c r="A3" t="s">
        <v>72</v>
      </c>
      <c r="B3" t="s">
        <v>84</v>
      </c>
      <c r="C3"/>
      <c r="D3"/>
      <c r="E3"/>
      <c r="F3" t="s">
        <v>85</v>
      </c>
      <c r="G3"/>
      <c r="H3"/>
      <c r="I3" t="s">
        <v>86</v>
      </c>
      <c r="J3" t="s">
        <v>87</v>
      </c>
      <c r="K3"/>
      <c r="L3"/>
      <c r="M3"/>
      <c r="N3" t="s">
        <v>77</v>
      </c>
      <c r="O3"/>
      <c r="P3"/>
      <c r="Q3"/>
      <c r="R3"/>
      <c r="S3"/>
      <c r="T3" t="s">
        <v>88</v>
      </c>
      <c r="U3" t="s">
        <v>89</v>
      </c>
      <c r="V3"/>
      <c r="W3"/>
      <c r="X3"/>
      <c r="Y3"/>
      <c r="Z3"/>
      <c r="AA3"/>
      <c r="AB3"/>
      <c r="AC3"/>
      <c r="AD3"/>
      <c r="AE3"/>
      <c r="AF3"/>
      <c r="AG3"/>
      <c r="AH3">
        <v>18</v>
      </c>
      <c r="AI3">
        <v>18</v>
      </c>
      <c r="AJ3"/>
      <c r="AK3"/>
      <c r="AL3"/>
      <c r="AM3"/>
      <c r="AN3"/>
      <c r="AO3" t="s">
        <v>90</v>
      </c>
      <c r="AP3" t="s">
        <v>91</v>
      </c>
      <c r="AQ3"/>
      <c r="AR3"/>
      <c r="AS3"/>
      <c r="AT3" t="s">
        <v>92</v>
      </c>
      <c r="AU3">
        <v>2020</v>
      </c>
      <c r="AV3">
        <v>118</v>
      </c>
      <c r="AW3"/>
      <c r="AX3"/>
      <c r="AY3"/>
      <c r="AZ3"/>
      <c r="BA3"/>
      <c r="BB3"/>
      <c r="BC3"/>
      <c r="BD3">
        <v>106808</v>
      </c>
      <c r="BE3" t="s">
        <v>93</v>
      </c>
      <c r="BF3" t="str">
        <f>HYPERLINK("http://dx.doi.org/10.1016/j.ecolind.2020.106808","http://dx.doi.org/10.1016/j.ecolind.2020.106808")</f>
        <v>http://dx.doi.org/10.1016/j.ecolind.2020.106808</v>
      </c>
      <c r="BG3"/>
      <c r="BH3"/>
      <c r="BI3"/>
      <c r="BJ3" t="s">
        <v>94</v>
      </c>
      <c r="BK3"/>
      <c r="BL3"/>
      <c r="BM3"/>
      <c r="BN3"/>
      <c r="BO3"/>
      <c r="BP3"/>
      <c r="BQ3"/>
      <c r="BR3"/>
      <c r="BS3"/>
      <c r="BT3" t="str">
        <f>HYPERLINK("https%3A%2F%2Fwww.webofscience.com%2Fwos%2Fwoscc%2Ffull-record%2F","View Full Record in Web of Science")</f>
        <v>View Full Record in Web of Science</v>
      </c>
    </row>
    <row r="4" spans="1:72" customHeight="1" ht="12.75">
      <c r="A4" t="s">
        <v>72</v>
      </c>
      <c r="B4" t="s">
        <v>95</v>
      </c>
      <c r="C4"/>
      <c r="D4"/>
      <c r="E4"/>
      <c r="F4" t="s">
        <v>96</v>
      </c>
      <c r="G4"/>
      <c r="H4"/>
      <c r="I4" t="s">
        <v>97</v>
      </c>
      <c r="J4" t="s">
        <v>98</v>
      </c>
      <c r="K4"/>
      <c r="L4"/>
      <c r="M4"/>
      <c r="N4" t="s">
        <v>99</v>
      </c>
      <c r="O4"/>
      <c r="P4"/>
      <c r="Q4"/>
      <c r="R4"/>
      <c r="S4"/>
      <c r="T4" t="s">
        <v>100</v>
      </c>
      <c r="U4" t="s">
        <v>101</v>
      </c>
      <c r="V4"/>
      <c r="W4"/>
      <c r="X4"/>
      <c r="Y4"/>
      <c r="Z4"/>
      <c r="AA4"/>
      <c r="AB4"/>
      <c r="AC4"/>
      <c r="AD4"/>
      <c r="AE4"/>
      <c r="AF4"/>
      <c r="AG4"/>
      <c r="AH4">
        <v>14</v>
      </c>
      <c r="AI4">
        <v>14</v>
      </c>
      <c r="AJ4"/>
      <c r="AK4"/>
      <c r="AL4"/>
      <c r="AM4"/>
      <c r="AN4"/>
      <c r="AO4" t="s">
        <v>102</v>
      </c>
      <c r="AP4" t="s">
        <v>103</v>
      </c>
      <c r="AQ4"/>
      <c r="AR4"/>
      <c r="AS4"/>
      <c r="AT4" t="s">
        <v>104</v>
      </c>
      <c r="AU4">
        <v>2022</v>
      </c>
      <c r="AV4">
        <v>221</v>
      </c>
      <c r="AW4"/>
      <c r="AX4"/>
      <c r="AY4"/>
      <c r="AZ4"/>
      <c r="BA4"/>
      <c r="BB4"/>
      <c r="BC4"/>
      <c r="BD4">
        <v>104376</v>
      </c>
      <c r="BE4" t="s">
        <v>105</v>
      </c>
      <c r="BF4" t="str">
        <f>HYPERLINK("http://dx.doi.org/10.1016/j.landurbplan.2022.104376","http://dx.doi.org/10.1016/j.landurbplan.2022.104376")</f>
        <v>http://dx.doi.org/10.1016/j.landurbplan.2022.104376</v>
      </c>
      <c r="BG4"/>
      <c r="BH4" t="s">
        <v>106</v>
      </c>
      <c r="BI4"/>
      <c r="BJ4" t="s">
        <v>107</v>
      </c>
      <c r="BK4"/>
      <c r="BL4"/>
      <c r="BM4"/>
      <c r="BN4"/>
      <c r="BO4"/>
      <c r="BP4"/>
      <c r="BQ4"/>
      <c r="BR4"/>
      <c r="BS4"/>
      <c r="BT4" t="str">
        <f>HYPERLINK("https%3A%2F%2Fwww.webofscience.com%2Fwos%2Fwoscc%2Ffull-record%2F","View Full Record in Web of Science")</f>
        <v>View Full Record in Web of Science</v>
      </c>
    </row>
    <row r="5" spans="1:72" customHeight="1" ht="12.75">
      <c r="A5" t="s">
        <v>72</v>
      </c>
      <c r="B5" t="s">
        <v>108</v>
      </c>
      <c r="C5"/>
      <c r="D5"/>
      <c r="E5"/>
      <c r="F5" t="s">
        <v>109</v>
      </c>
      <c r="G5"/>
      <c r="H5"/>
      <c r="I5" t="s">
        <v>110</v>
      </c>
      <c r="J5" t="s">
        <v>111</v>
      </c>
      <c r="K5"/>
      <c r="L5"/>
      <c r="M5"/>
      <c r="N5" t="s">
        <v>112</v>
      </c>
      <c r="O5"/>
      <c r="P5"/>
      <c r="Q5"/>
      <c r="R5"/>
      <c r="S5"/>
      <c r="T5" t="s">
        <v>113</v>
      </c>
      <c r="U5" t="s">
        <v>114</v>
      </c>
      <c r="V5"/>
      <c r="W5"/>
      <c r="X5"/>
      <c r="Y5"/>
      <c r="Z5"/>
      <c r="AA5"/>
      <c r="AB5"/>
      <c r="AC5"/>
      <c r="AD5"/>
      <c r="AE5"/>
      <c r="AF5"/>
      <c r="AG5"/>
      <c r="AH5">
        <v>82</v>
      </c>
      <c r="AI5">
        <v>86</v>
      </c>
      <c r="AJ5"/>
      <c r="AK5"/>
      <c r="AL5"/>
      <c r="AM5"/>
      <c r="AN5"/>
      <c r="AO5" t="s">
        <v>115</v>
      </c>
      <c r="AP5" t="s">
        <v>116</v>
      </c>
      <c r="AQ5"/>
      <c r="AR5"/>
      <c r="AS5"/>
      <c r="AT5" t="s">
        <v>117</v>
      </c>
      <c r="AU5">
        <v>2018</v>
      </c>
      <c r="AV5">
        <v>132</v>
      </c>
      <c r="AW5"/>
      <c r="AX5"/>
      <c r="AY5"/>
      <c r="AZ5"/>
      <c r="BA5"/>
      <c r="BB5">
        <v>190</v>
      </c>
      <c r="BC5">
        <v>203</v>
      </c>
      <c r="BD5"/>
      <c r="BE5" t="s">
        <v>118</v>
      </c>
      <c r="BF5" t="str">
        <f>HYPERLINK("http://dx.doi.org/10.1016/j.resconrec.2017.09.014","http://dx.doi.org/10.1016/j.resconrec.2017.09.014")</f>
        <v>http://dx.doi.org/10.1016/j.resconrec.2017.09.014</v>
      </c>
      <c r="BG5"/>
      <c r="BH5"/>
      <c r="BI5"/>
      <c r="BJ5" t="s">
        <v>119</v>
      </c>
      <c r="BK5"/>
      <c r="BL5"/>
      <c r="BM5"/>
      <c r="BN5"/>
      <c r="BO5"/>
      <c r="BP5"/>
      <c r="BQ5"/>
      <c r="BR5"/>
      <c r="BS5"/>
      <c r="BT5" t="str">
        <f>HYPERLINK("https%3A%2F%2Fwww.webofscience.com%2Fwos%2Fwoscc%2Ffull-record%2F","View Full Record in Web of Science")</f>
        <v>View Full Record in Web of Science</v>
      </c>
    </row>
    <row r="6" spans="1:72" customHeight="1" ht="12.75">
      <c r="A6" t="s">
        <v>72</v>
      </c>
      <c r="B6" t="s">
        <v>120</v>
      </c>
      <c r="C6"/>
      <c r="D6"/>
      <c r="E6"/>
      <c r="F6" t="s">
        <v>121</v>
      </c>
      <c r="G6"/>
      <c r="H6"/>
      <c r="I6" t="s">
        <v>122</v>
      </c>
      <c r="J6" t="s">
        <v>123</v>
      </c>
      <c r="K6"/>
      <c r="L6"/>
      <c r="M6"/>
      <c r="N6" t="s">
        <v>77</v>
      </c>
      <c r="O6"/>
      <c r="P6"/>
      <c r="Q6"/>
      <c r="R6"/>
      <c r="S6"/>
      <c r="T6" t="s">
        <v>124</v>
      </c>
      <c r="U6" t="s">
        <v>125</v>
      </c>
      <c r="V6"/>
      <c r="W6"/>
      <c r="X6"/>
      <c r="Y6"/>
      <c r="Z6"/>
      <c r="AA6"/>
      <c r="AB6"/>
      <c r="AC6"/>
      <c r="AD6"/>
      <c r="AE6"/>
      <c r="AF6"/>
      <c r="AG6"/>
      <c r="AH6">
        <v>131</v>
      </c>
      <c r="AI6">
        <v>140</v>
      </c>
      <c r="AJ6"/>
      <c r="AK6"/>
      <c r="AL6"/>
      <c r="AM6"/>
      <c r="AN6"/>
      <c r="AO6" t="s">
        <v>126</v>
      </c>
      <c r="AP6" t="s">
        <v>127</v>
      </c>
      <c r="AQ6"/>
      <c r="AR6"/>
      <c r="AS6"/>
      <c r="AT6" t="s">
        <v>128</v>
      </c>
      <c r="AU6">
        <v>2015</v>
      </c>
      <c r="AV6">
        <v>39</v>
      </c>
      <c r="AW6">
        <v>6</v>
      </c>
      <c r="AX6"/>
      <c r="AY6"/>
      <c r="AZ6"/>
      <c r="BA6"/>
      <c r="BB6">
        <v>702</v>
      </c>
      <c r="BC6">
        <v>728</v>
      </c>
      <c r="BD6"/>
      <c r="BE6" t="s">
        <v>129</v>
      </c>
      <c r="BF6" t="str">
        <f>HYPERLINK("http://dx.doi.org/10.1177/0309132514558442","http://dx.doi.org/10.1177/0309132514558442")</f>
        <v>http://dx.doi.org/10.1177/0309132514558442</v>
      </c>
      <c r="BG6"/>
      <c r="BH6"/>
      <c r="BI6"/>
      <c r="BJ6" t="s">
        <v>83</v>
      </c>
      <c r="BK6"/>
      <c r="BL6"/>
      <c r="BM6"/>
      <c r="BN6"/>
      <c r="BO6"/>
      <c r="BP6"/>
      <c r="BQ6"/>
      <c r="BR6"/>
      <c r="BS6"/>
      <c r="BT6" t="str">
        <f>HYPERLINK("https%3A%2F%2Fwww.webofscience.com%2Fwos%2Fwoscc%2Ffull-record%2F","View Full Record in Web of Science")</f>
        <v>View Full Record in Web of Science</v>
      </c>
    </row>
    <row r="7" spans="1:72" customHeight="1" ht="12.75">
      <c r="A7" t="s">
        <v>72</v>
      </c>
      <c r="B7" t="s">
        <v>130</v>
      </c>
      <c r="C7"/>
      <c r="D7"/>
      <c r="E7"/>
      <c r="F7" t="s">
        <v>131</v>
      </c>
      <c r="G7"/>
      <c r="H7"/>
      <c r="I7" t="s">
        <v>132</v>
      </c>
      <c r="J7" t="s">
        <v>133</v>
      </c>
      <c r="K7"/>
      <c r="L7"/>
      <c r="M7"/>
      <c r="N7" t="s">
        <v>112</v>
      </c>
      <c r="O7"/>
      <c r="P7"/>
      <c r="Q7"/>
      <c r="R7"/>
      <c r="S7"/>
      <c r="T7" t="s">
        <v>134</v>
      </c>
      <c r="U7" t="s">
        <v>135</v>
      </c>
      <c r="V7"/>
      <c r="W7"/>
      <c r="X7"/>
      <c r="Y7"/>
      <c r="Z7"/>
      <c r="AA7"/>
      <c r="AB7"/>
      <c r="AC7"/>
      <c r="AD7"/>
      <c r="AE7"/>
      <c r="AF7"/>
      <c r="AG7"/>
      <c r="AH7">
        <v>12</v>
      </c>
      <c r="AI7">
        <v>15</v>
      </c>
      <c r="AJ7"/>
      <c r="AK7"/>
      <c r="AL7"/>
      <c r="AM7"/>
      <c r="AN7"/>
      <c r="AO7" t="s">
        <v>136</v>
      </c>
      <c r="AP7" t="s">
        <v>137</v>
      </c>
      <c r="AQ7"/>
      <c r="AR7"/>
      <c r="AS7"/>
      <c r="AT7" t="s">
        <v>128</v>
      </c>
      <c r="AU7">
        <v>2019</v>
      </c>
      <c r="AV7">
        <v>23</v>
      </c>
      <c r="AW7">
        <v>6</v>
      </c>
      <c r="AX7"/>
      <c r="AY7"/>
      <c r="AZ7"/>
      <c r="BA7"/>
      <c r="BB7">
        <v>1353</v>
      </c>
      <c r="BC7">
        <v>1362</v>
      </c>
      <c r="BD7"/>
      <c r="BE7" t="s">
        <v>138</v>
      </c>
      <c r="BF7" t="str">
        <f>HYPERLINK("http://dx.doi.org/10.1111/jiec.12923","http://dx.doi.org/10.1111/jiec.12923")</f>
        <v>http://dx.doi.org/10.1111/jiec.12923</v>
      </c>
      <c r="BG7"/>
      <c r="BH7"/>
      <c r="BI7"/>
      <c r="BJ7" t="s">
        <v>139</v>
      </c>
      <c r="BK7"/>
      <c r="BL7"/>
      <c r="BM7"/>
      <c r="BN7"/>
      <c r="BO7"/>
      <c r="BP7"/>
      <c r="BQ7"/>
      <c r="BR7"/>
      <c r="BS7"/>
      <c r="BT7" t="str">
        <f>HYPERLINK("https%3A%2F%2Fwww.webofscience.com%2Fwos%2Fwoscc%2Ffull-record%2F","View Full Record in Web of Science")</f>
        <v>View Full Record in Web of Science</v>
      </c>
    </row>
    <row r="8" spans="1:72" customHeight="1" ht="12.75">
      <c r="A8" t="s">
        <v>72</v>
      </c>
      <c r="B8" t="s">
        <v>140</v>
      </c>
      <c r="C8"/>
      <c r="D8"/>
      <c r="E8"/>
      <c r="F8" t="s">
        <v>141</v>
      </c>
      <c r="G8"/>
      <c r="H8"/>
      <c r="I8" t="s">
        <v>142</v>
      </c>
      <c r="J8" t="s">
        <v>111</v>
      </c>
      <c r="K8"/>
      <c r="L8"/>
      <c r="M8"/>
      <c r="N8" t="s">
        <v>77</v>
      </c>
      <c r="O8"/>
      <c r="P8"/>
      <c r="Q8"/>
      <c r="R8"/>
      <c r="S8"/>
      <c r="T8" t="s">
        <v>143</v>
      </c>
      <c r="U8" t="s">
        <v>144</v>
      </c>
      <c r="V8"/>
      <c r="W8"/>
      <c r="X8"/>
      <c r="Y8"/>
      <c r="Z8"/>
      <c r="AA8"/>
      <c r="AB8"/>
      <c r="AC8"/>
      <c r="AD8"/>
      <c r="AE8"/>
      <c r="AF8"/>
      <c r="AG8"/>
      <c r="AH8">
        <v>43</v>
      </c>
      <c r="AI8">
        <v>47</v>
      </c>
      <c r="AJ8"/>
      <c r="AK8"/>
      <c r="AL8"/>
      <c r="AM8"/>
      <c r="AN8"/>
      <c r="AO8" t="s">
        <v>115</v>
      </c>
      <c r="AP8" t="s">
        <v>116</v>
      </c>
      <c r="AQ8"/>
      <c r="AR8"/>
      <c r="AS8"/>
      <c r="AT8" t="s">
        <v>145</v>
      </c>
      <c r="AU8">
        <v>2018</v>
      </c>
      <c r="AV8">
        <v>131</v>
      </c>
      <c r="AW8"/>
      <c r="AX8"/>
      <c r="AY8"/>
      <c r="AZ8"/>
      <c r="BA8"/>
      <c r="BB8">
        <v>216</v>
      </c>
      <c r="BC8">
        <v>224</v>
      </c>
      <c r="BD8"/>
      <c r="BE8" t="s">
        <v>146</v>
      </c>
      <c r="BF8" t="str">
        <f>HYPERLINK("http://dx.doi.org/10.1016/j.resconrec.2017.12.023","http://dx.doi.org/10.1016/j.resconrec.2017.12.023")</f>
        <v>http://dx.doi.org/10.1016/j.resconrec.2017.12.023</v>
      </c>
      <c r="BG8"/>
      <c r="BH8"/>
      <c r="BI8"/>
      <c r="BJ8" t="s">
        <v>119</v>
      </c>
      <c r="BK8"/>
      <c r="BL8"/>
      <c r="BM8"/>
      <c r="BN8"/>
      <c r="BO8"/>
      <c r="BP8"/>
      <c r="BQ8"/>
      <c r="BR8"/>
      <c r="BS8"/>
      <c r="BT8" t="str">
        <f>HYPERLINK("https%3A%2F%2Fwww.webofscience.com%2Fwos%2Fwoscc%2Ffull-record%2F","View Full Record in Web of Science")</f>
        <v>View Full Record in Web of Science</v>
      </c>
    </row>
    <row r="9" spans="1:72" customHeight="1" ht="12.75">
      <c r="A9" t="s">
        <v>72</v>
      </c>
      <c r="B9" t="s">
        <v>147</v>
      </c>
      <c r="C9"/>
      <c r="D9"/>
      <c r="E9"/>
      <c r="F9" t="s">
        <v>148</v>
      </c>
      <c r="G9"/>
      <c r="H9"/>
      <c r="I9" t="s">
        <v>149</v>
      </c>
      <c r="J9" t="s">
        <v>150</v>
      </c>
      <c r="K9"/>
      <c r="L9"/>
      <c r="M9"/>
      <c r="N9" t="s">
        <v>52</v>
      </c>
      <c r="O9"/>
      <c r="P9"/>
      <c r="Q9"/>
      <c r="R9"/>
      <c r="S9"/>
      <c r="T9" t="s">
        <v>151</v>
      </c>
      <c r="U9"/>
      <c r="V9"/>
      <c r="W9"/>
      <c r="X9"/>
      <c r="Y9"/>
      <c r="Z9"/>
      <c r="AA9"/>
      <c r="AB9"/>
      <c r="AC9"/>
      <c r="AD9"/>
      <c r="AE9"/>
      <c r="AF9"/>
      <c r="AG9"/>
      <c r="AH9">
        <v>0.0</v>
      </c>
      <c r="AI9">
        <v>0.0</v>
      </c>
      <c r="AJ9"/>
      <c r="AK9"/>
      <c r="AL9"/>
      <c r="AM9"/>
      <c r="AN9"/>
      <c r="AO9" t="s">
        <v>152</v>
      </c>
      <c r="AP9" t="s">
        <v>153</v>
      </c>
      <c r="AQ9"/>
      <c r="AR9"/>
      <c r="AS9"/>
      <c r="AT9" t="s">
        <v>154</v>
      </c>
      <c r="AU9">
        <v>2022</v>
      </c>
      <c r="AV9">
        <v>37</v>
      </c>
      <c r="AW9">
        <v>3</v>
      </c>
      <c r="AX9"/>
      <c r="AY9"/>
      <c r="AZ9"/>
      <c r="BA9" t="s">
        <v>155</v>
      </c>
      <c r="BB9">
        <v>548</v>
      </c>
      <c r="BC9">
        <v>549</v>
      </c>
      <c r="BD9"/>
      <c r="BE9"/>
      <c r="BF9"/>
      <c r="BG9"/>
      <c r="BH9"/>
      <c r="BI9"/>
      <c r="BJ9" t="s">
        <v>156</v>
      </c>
      <c r="BK9"/>
      <c r="BL9"/>
      <c r="BM9"/>
      <c r="BN9"/>
      <c r="BO9"/>
      <c r="BP9"/>
      <c r="BQ9"/>
      <c r="BR9"/>
      <c r="BS9"/>
      <c r="BT9" t="str">
        <f>HYPERLINK("https%3A%2F%2Fwww.webofscience.com%2Fwos%2Fwoscc%2Ffull-record%2F","View Full Record in Web of Science")</f>
        <v>View Full Record in Web of Science</v>
      </c>
    </row>
    <row r="10" spans="1:72" customHeight="1" ht="12.75">
      <c r="A10" t="s">
        <v>72</v>
      </c>
      <c r="B10" t="s">
        <v>157</v>
      </c>
      <c r="C10"/>
      <c r="D10"/>
      <c r="E10"/>
      <c r="F10" t="s">
        <v>158</v>
      </c>
      <c r="G10"/>
      <c r="H10"/>
      <c r="I10" t="s">
        <v>159</v>
      </c>
      <c r="J10" t="s">
        <v>111</v>
      </c>
      <c r="K10"/>
      <c r="L10"/>
      <c r="M10"/>
      <c r="N10" t="s">
        <v>112</v>
      </c>
      <c r="O10"/>
      <c r="P10"/>
      <c r="Q10"/>
      <c r="R10"/>
      <c r="S10"/>
      <c r="T10" t="s">
        <v>160</v>
      </c>
      <c r="U10" t="s">
        <v>161</v>
      </c>
      <c r="V10"/>
      <c r="W10"/>
      <c r="X10"/>
      <c r="Y10"/>
      <c r="Z10"/>
      <c r="AA10"/>
      <c r="AB10"/>
      <c r="AC10"/>
      <c r="AD10"/>
      <c r="AE10"/>
      <c r="AF10"/>
      <c r="AG10"/>
      <c r="AH10">
        <v>27</v>
      </c>
      <c r="AI10">
        <v>31</v>
      </c>
      <c r="AJ10"/>
      <c r="AK10"/>
      <c r="AL10"/>
      <c r="AM10"/>
      <c r="AN10"/>
      <c r="AO10" t="s">
        <v>115</v>
      </c>
      <c r="AP10" t="s">
        <v>116</v>
      </c>
      <c r="AQ10"/>
      <c r="AR10"/>
      <c r="AS10"/>
      <c r="AT10" t="s">
        <v>117</v>
      </c>
      <c r="AU10">
        <v>2018</v>
      </c>
      <c r="AV10">
        <v>132</v>
      </c>
      <c r="AW10"/>
      <c r="AX10"/>
      <c r="AY10"/>
      <c r="AZ10"/>
      <c r="BA10"/>
      <c r="BB10">
        <v>239</v>
      </c>
      <c r="BC10">
        <v>245</v>
      </c>
      <c r="BD10"/>
      <c r="BE10" t="s">
        <v>162</v>
      </c>
      <c r="BF10" t="str">
        <f>HYPERLINK("http://dx.doi.org/10.1016/j.resconrec.2017.07.005","http://dx.doi.org/10.1016/j.resconrec.2017.07.005")</f>
        <v>http://dx.doi.org/10.1016/j.resconrec.2017.07.005</v>
      </c>
      <c r="BG10"/>
      <c r="BH10"/>
      <c r="BI10"/>
      <c r="BJ10" t="s">
        <v>119</v>
      </c>
      <c r="BK10"/>
      <c r="BL10"/>
      <c r="BM10"/>
      <c r="BN10"/>
      <c r="BO10"/>
      <c r="BP10"/>
      <c r="BQ10"/>
      <c r="BR10"/>
      <c r="BS10"/>
      <c r="BT10" t="str">
        <f>HYPERLINK("https%3A%2F%2Fwww.webofscience.com%2Fwos%2Fwoscc%2Ffull-record%2F","View Full Record in Web of Science")</f>
        <v>View Full Record in Web of Science</v>
      </c>
    </row>
    <row r="11" spans="1:72" customHeight="1" ht="12.75">
      <c r="A11" t="s">
        <v>72</v>
      </c>
      <c r="B11" t="s">
        <v>163</v>
      </c>
      <c r="C11"/>
      <c r="D11"/>
      <c r="E11"/>
      <c r="F11" t="s">
        <v>164</v>
      </c>
      <c r="G11"/>
      <c r="H11"/>
      <c r="I11" t="s">
        <v>165</v>
      </c>
      <c r="J11" t="s">
        <v>166</v>
      </c>
      <c r="K11"/>
      <c r="L11"/>
      <c r="M11"/>
      <c r="N11" t="s">
        <v>167</v>
      </c>
      <c r="O11"/>
      <c r="P11"/>
      <c r="Q11"/>
      <c r="R11"/>
      <c r="S11"/>
      <c r="T11" t="s">
        <v>168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>
        <v>28</v>
      </c>
      <c r="AI11">
        <v>28</v>
      </c>
      <c r="AJ11"/>
      <c r="AK11"/>
      <c r="AL11"/>
      <c r="AM11"/>
      <c r="AN11"/>
      <c r="AO11"/>
      <c r="AP11" t="s">
        <v>169</v>
      </c>
      <c r="AQ11"/>
      <c r="AR11"/>
      <c r="AS11"/>
      <c r="AT11"/>
      <c r="AU11">
        <v>2019</v>
      </c>
      <c r="AV11">
        <v>1</v>
      </c>
      <c r="AW11"/>
      <c r="AX11"/>
      <c r="AY11"/>
      <c r="AZ11"/>
      <c r="BA11"/>
      <c r="BB11"/>
      <c r="BC11"/>
      <c r="BD11">
        <v>1</v>
      </c>
      <c r="BE11" t="s">
        <v>170</v>
      </c>
      <c r="BF11" t="str">
        <f>HYPERLINK("http://dx.doi.org/10.3389/frsc.2019.00001","http://dx.doi.org/10.3389/frsc.2019.00001")</f>
        <v>http://dx.doi.org/10.3389/frsc.2019.00001</v>
      </c>
      <c r="BG11"/>
      <c r="BH11"/>
      <c r="BI11"/>
      <c r="BJ11" t="s">
        <v>171</v>
      </c>
      <c r="BK11"/>
      <c r="BL11"/>
      <c r="BM11"/>
      <c r="BN11"/>
      <c r="BO11"/>
      <c r="BP11"/>
      <c r="BQ11"/>
      <c r="BR11"/>
      <c r="BS11"/>
      <c r="BT11" t="str">
        <f>HYPERLINK("https%3A%2F%2Fwww.webofscience.com%2Fwos%2Fwoscc%2Ffull-record%2F","View Full Record in Web of Science")</f>
        <v>View Full Record in Web of Science</v>
      </c>
    </row>
    <row r="12" spans="1:72" customHeight="1" ht="12.75">
      <c r="A12" t="s">
        <v>72</v>
      </c>
      <c r="B12" t="s">
        <v>172</v>
      </c>
      <c r="C12"/>
      <c r="D12"/>
      <c r="E12"/>
      <c r="F12" t="s">
        <v>173</v>
      </c>
      <c r="G12"/>
      <c r="H12"/>
      <c r="I12" t="s">
        <v>174</v>
      </c>
      <c r="J12" t="s">
        <v>175</v>
      </c>
      <c r="K12"/>
      <c r="L12"/>
      <c r="M12"/>
      <c r="N12" t="s">
        <v>112</v>
      </c>
      <c r="O12"/>
      <c r="P12"/>
      <c r="Q12"/>
      <c r="R12"/>
      <c r="S12"/>
      <c r="T12" t="s">
        <v>176</v>
      </c>
      <c r="U12" t="s">
        <v>177</v>
      </c>
      <c r="V12"/>
      <c r="W12"/>
      <c r="X12"/>
      <c r="Y12"/>
      <c r="Z12"/>
      <c r="AA12"/>
      <c r="AB12"/>
      <c r="AC12"/>
      <c r="AD12"/>
      <c r="AE12"/>
      <c r="AF12"/>
      <c r="AG12"/>
      <c r="AH12">
        <v>4</v>
      </c>
      <c r="AI12">
        <v>4</v>
      </c>
      <c r="AJ12"/>
      <c r="AK12"/>
      <c r="AL12"/>
      <c r="AM12"/>
      <c r="AN12"/>
      <c r="AO12" t="s">
        <v>178</v>
      </c>
      <c r="AP12" t="s">
        <v>179</v>
      </c>
      <c r="AQ12"/>
      <c r="AR12"/>
      <c r="AS12"/>
      <c r="AT12"/>
      <c r="AU12">
        <v>2020</v>
      </c>
      <c r="AV12">
        <v>31</v>
      </c>
      <c r="AW12">
        <v>4</v>
      </c>
      <c r="AX12"/>
      <c r="AY12"/>
      <c r="AZ12"/>
      <c r="BA12"/>
      <c r="BB12">
        <v>89</v>
      </c>
      <c r="BC12">
        <v>99</v>
      </c>
      <c r="BD12"/>
      <c r="BE12" t="s">
        <v>180</v>
      </c>
      <c r="BF12" t="str">
        <f>HYPERLINK("http://dx.doi.org/10.12775/EQ.2020.031","http://dx.doi.org/10.12775/EQ.2020.031")</f>
        <v>http://dx.doi.org/10.12775/EQ.2020.031</v>
      </c>
      <c r="BG12"/>
      <c r="BH12"/>
      <c r="BI12"/>
      <c r="BJ12" t="s">
        <v>181</v>
      </c>
      <c r="BK12"/>
      <c r="BL12"/>
      <c r="BM12"/>
      <c r="BN12"/>
      <c r="BO12"/>
      <c r="BP12"/>
      <c r="BQ12"/>
      <c r="BR12"/>
      <c r="BS12"/>
      <c r="BT12" t="str">
        <f>HYPERLINK("https%3A%2F%2Fwww.webofscience.com%2Fwos%2Fwoscc%2Ffull-record%2F","View Full Record in Web of Science")</f>
        <v>View Full Record in Web of Science</v>
      </c>
    </row>
    <row r="13" spans="1:72" customHeight="1" ht="12.75">
      <c r="A13" t="s">
        <v>72</v>
      </c>
      <c r="B13" t="s">
        <v>182</v>
      </c>
      <c r="C13"/>
      <c r="D13"/>
      <c r="E13"/>
      <c r="F13" t="s">
        <v>183</v>
      </c>
      <c r="G13"/>
      <c r="H13"/>
      <c r="I13" t="s">
        <v>184</v>
      </c>
      <c r="J13" t="s">
        <v>185</v>
      </c>
      <c r="K13"/>
      <c r="L13"/>
      <c r="M13"/>
      <c r="N13" t="s">
        <v>112</v>
      </c>
      <c r="O13"/>
      <c r="P13"/>
      <c r="Q13"/>
      <c r="R13"/>
      <c r="S13"/>
      <c r="T13" t="s">
        <v>186</v>
      </c>
      <c r="U13" t="s">
        <v>187</v>
      </c>
      <c r="V13"/>
      <c r="W13"/>
      <c r="X13"/>
      <c r="Y13"/>
      <c r="Z13"/>
      <c r="AA13"/>
      <c r="AB13"/>
      <c r="AC13"/>
      <c r="AD13"/>
      <c r="AE13"/>
      <c r="AF13"/>
      <c r="AG13"/>
      <c r="AH13">
        <v>33</v>
      </c>
      <c r="AI13">
        <v>38</v>
      </c>
      <c r="AJ13"/>
      <c r="AK13"/>
      <c r="AL13"/>
      <c r="AM13"/>
      <c r="AN13"/>
      <c r="AO13" t="s">
        <v>188</v>
      </c>
      <c r="AP13" t="s">
        <v>189</v>
      </c>
      <c r="AQ13"/>
      <c r="AR13"/>
      <c r="AS13"/>
      <c r="AT13" t="s">
        <v>190</v>
      </c>
      <c r="AU13">
        <v>2019</v>
      </c>
      <c r="AV13">
        <v>157</v>
      </c>
      <c r="AW13"/>
      <c r="AX13"/>
      <c r="AY13"/>
      <c r="AZ13"/>
      <c r="BA13"/>
      <c r="BB13">
        <v>402</v>
      </c>
      <c r="BC13">
        <v>414</v>
      </c>
      <c r="BD13"/>
      <c r="BE13" t="s">
        <v>191</v>
      </c>
      <c r="BF13" t="str">
        <f>HYPERLINK("http://dx.doi.org/10.1016/j.ecolecon.2018.12.007","http://dx.doi.org/10.1016/j.ecolecon.2018.12.007")</f>
        <v>http://dx.doi.org/10.1016/j.ecolecon.2018.12.007</v>
      </c>
      <c r="BG13"/>
      <c r="BH13"/>
      <c r="BI13"/>
      <c r="BJ13" t="s">
        <v>192</v>
      </c>
      <c r="BK13"/>
      <c r="BL13"/>
      <c r="BM13"/>
      <c r="BN13"/>
      <c r="BO13"/>
      <c r="BP13"/>
      <c r="BQ13"/>
      <c r="BR13"/>
      <c r="BS13"/>
      <c r="BT13" t="str">
        <f>HYPERLINK("https%3A%2F%2Fwww.webofscience.com%2Fwos%2Fwoscc%2Ffull-record%2F","View Full Record in Web of Science")</f>
        <v>View Full Record in Web of Science</v>
      </c>
    </row>
    <row r="14" spans="1:72" customHeight="1" ht="12.75">
      <c r="A14" t="s">
        <v>72</v>
      </c>
      <c r="B14" t="s">
        <v>193</v>
      </c>
      <c r="C14"/>
      <c r="D14"/>
      <c r="E14"/>
      <c r="F14" t="s">
        <v>194</v>
      </c>
      <c r="G14"/>
      <c r="H14"/>
      <c r="I14" t="s">
        <v>195</v>
      </c>
      <c r="J14" t="s">
        <v>87</v>
      </c>
      <c r="K14"/>
      <c r="L14"/>
      <c r="M14"/>
      <c r="N14" t="s">
        <v>77</v>
      </c>
      <c r="O14"/>
      <c r="P14"/>
      <c r="Q14"/>
      <c r="R14"/>
      <c r="S14"/>
      <c r="T14" t="s">
        <v>196</v>
      </c>
      <c r="U14" t="s">
        <v>197</v>
      </c>
      <c r="V14"/>
      <c r="W14"/>
      <c r="X14"/>
      <c r="Y14"/>
      <c r="Z14"/>
      <c r="AA14"/>
      <c r="AB14"/>
      <c r="AC14"/>
      <c r="AD14"/>
      <c r="AE14"/>
      <c r="AF14"/>
      <c r="AG14"/>
      <c r="AH14">
        <v>52</v>
      </c>
      <c r="AI14">
        <v>54</v>
      </c>
      <c r="AJ14"/>
      <c r="AK14"/>
      <c r="AL14"/>
      <c r="AM14"/>
      <c r="AN14"/>
      <c r="AO14" t="s">
        <v>90</v>
      </c>
      <c r="AP14" t="s">
        <v>91</v>
      </c>
      <c r="AQ14"/>
      <c r="AR14"/>
      <c r="AS14"/>
      <c r="AT14" t="s">
        <v>198</v>
      </c>
      <c r="AU14">
        <v>2018</v>
      </c>
      <c r="AV14">
        <v>93</v>
      </c>
      <c r="AW14"/>
      <c r="AX14"/>
      <c r="AY14"/>
      <c r="AZ14"/>
      <c r="BA14"/>
      <c r="BB14">
        <v>704</v>
      </c>
      <c r="BC14">
        <v>717</v>
      </c>
      <c r="BD14"/>
      <c r="BE14" t="s">
        <v>199</v>
      </c>
      <c r="BF14" t="str">
        <f>HYPERLINK("http://dx.doi.org/10.1016/j.ecolind.2018.05.056","http://dx.doi.org/10.1016/j.ecolind.2018.05.056")</f>
        <v>http://dx.doi.org/10.1016/j.ecolind.2018.05.056</v>
      </c>
      <c r="BG14"/>
      <c r="BH14"/>
      <c r="BI14"/>
      <c r="BJ14" t="s">
        <v>94</v>
      </c>
      <c r="BK14"/>
      <c r="BL14"/>
      <c r="BM14"/>
      <c r="BN14"/>
      <c r="BO14"/>
      <c r="BP14"/>
      <c r="BQ14"/>
      <c r="BR14"/>
      <c r="BS14"/>
      <c r="BT14" t="str">
        <f>HYPERLINK("https%3A%2F%2Fwww.webofscience.com%2Fwos%2Fwoscc%2Ffull-record%2F","View Full Record in Web of Science")</f>
        <v>View Full Record in Web of Science</v>
      </c>
    </row>
    <row r="15" spans="1:72" customHeight="1" ht="12.75">
      <c r="A15" t="s">
        <v>72</v>
      </c>
      <c r="B15" t="s">
        <v>200</v>
      </c>
      <c r="C15"/>
      <c r="D15"/>
      <c r="E15"/>
      <c r="F15" t="s">
        <v>201</v>
      </c>
      <c r="G15"/>
      <c r="H15"/>
      <c r="I15" t="s">
        <v>202</v>
      </c>
      <c r="J15" t="s">
        <v>203</v>
      </c>
      <c r="K15"/>
      <c r="L15"/>
      <c r="M15"/>
      <c r="N15" t="s">
        <v>112</v>
      </c>
      <c r="O15"/>
      <c r="P15"/>
      <c r="Q15"/>
      <c r="R15"/>
      <c r="S15"/>
      <c r="T15" t="s">
        <v>204</v>
      </c>
      <c r="U15" t="s">
        <v>205</v>
      </c>
      <c r="V15"/>
      <c r="W15"/>
      <c r="X15"/>
      <c r="Y15"/>
      <c r="Z15"/>
      <c r="AA15"/>
      <c r="AB15"/>
      <c r="AC15"/>
      <c r="AD15"/>
      <c r="AE15"/>
      <c r="AF15"/>
      <c r="AG15"/>
      <c r="AH15">
        <v>17</v>
      </c>
      <c r="AI15">
        <v>18</v>
      </c>
      <c r="AJ15"/>
      <c r="AK15"/>
      <c r="AL15"/>
      <c r="AM15"/>
      <c r="AN15"/>
      <c r="AO15" t="s">
        <v>206</v>
      </c>
      <c r="AP15" t="s">
        <v>207</v>
      </c>
      <c r="AQ15"/>
      <c r="AR15"/>
      <c r="AS15"/>
      <c r="AT15" t="s">
        <v>208</v>
      </c>
      <c r="AU15">
        <v>2014</v>
      </c>
      <c r="AV15">
        <v>32</v>
      </c>
      <c r="AW15">
        <v>1</v>
      </c>
      <c r="AX15"/>
      <c r="AY15"/>
      <c r="AZ15"/>
      <c r="BA15"/>
      <c r="BB15">
        <v>53</v>
      </c>
      <c r="BC15">
        <v>69</v>
      </c>
      <c r="BD15"/>
      <c r="BE15" t="s">
        <v>209</v>
      </c>
      <c r="BF15" t="str">
        <f>HYPERLINK("http://dx.doi.org/10.1080/08111146.2013.826578","http://dx.doi.org/10.1080/08111146.2013.826578")</f>
        <v>http://dx.doi.org/10.1080/08111146.2013.826578</v>
      </c>
      <c r="BG15"/>
      <c r="BH15"/>
      <c r="BI15"/>
      <c r="BJ15" t="s">
        <v>210</v>
      </c>
      <c r="BK15"/>
      <c r="BL15"/>
      <c r="BM15"/>
      <c r="BN15"/>
      <c r="BO15"/>
      <c r="BP15"/>
      <c r="BQ15"/>
      <c r="BR15"/>
      <c r="BS15"/>
      <c r="BT15" t="str">
        <f>HYPERLINK("https%3A%2F%2Fwww.webofscience.com%2Fwos%2Fwoscc%2Ffull-record%2F","View Full Record in Web of Science")</f>
        <v>View Full Record in Web of Science</v>
      </c>
    </row>
    <row r="16" spans="1:72" customHeight="1" ht="12.75">
      <c r="A16" t="s">
        <v>72</v>
      </c>
      <c r="B16" t="s">
        <v>211</v>
      </c>
      <c r="C16"/>
      <c r="D16"/>
      <c r="E16"/>
      <c r="F16" t="s">
        <v>212</v>
      </c>
      <c r="G16"/>
      <c r="H16"/>
      <c r="I16" t="s">
        <v>213</v>
      </c>
      <c r="J16" t="s">
        <v>214</v>
      </c>
      <c r="K16"/>
      <c r="L16"/>
      <c r="M16"/>
      <c r="N16" t="s">
        <v>215</v>
      </c>
      <c r="O16"/>
      <c r="P16"/>
      <c r="Q16"/>
      <c r="R16"/>
      <c r="S16"/>
      <c r="T16" t="s">
        <v>216</v>
      </c>
      <c r="U16" t="s">
        <v>217</v>
      </c>
      <c r="V16"/>
      <c r="W16"/>
      <c r="X16"/>
      <c r="Y16"/>
      <c r="Z16"/>
      <c r="AA16"/>
      <c r="AB16"/>
      <c r="AC16"/>
      <c r="AD16"/>
      <c r="AE16"/>
      <c r="AF16"/>
      <c r="AG16"/>
      <c r="AH16">
        <v>486</v>
      </c>
      <c r="AI16">
        <v>544</v>
      </c>
      <c r="AJ16"/>
      <c r="AK16"/>
      <c r="AL16"/>
      <c r="AM16"/>
      <c r="AN16"/>
      <c r="AO16" t="s">
        <v>218</v>
      </c>
      <c r="AP16" t="s">
        <v>219</v>
      </c>
      <c r="AQ16"/>
      <c r="AR16"/>
      <c r="AS16"/>
      <c r="AT16" t="s">
        <v>220</v>
      </c>
      <c r="AU16">
        <v>2011</v>
      </c>
      <c r="AV16">
        <v>159</v>
      </c>
      <c r="AW16" t="s">
        <v>221</v>
      </c>
      <c r="AX16"/>
      <c r="AY16"/>
      <c r="AZ16" t="s">
        <v>222</v>
      </c>
      <c r="BA16"/>
      <c r="BB16">
        <v>1965</v>
      </c>
      <c r="BC16">
        <v>1973</v>
      </c>
      <c r="BD16"/>
      <c r="BE16" t="s">
        <v>223</v>
      </c>
      <c r="BF16" t="str">
        <f>HYPERLINK("http://dx.doi.org/10.1016/j.envpol.2010.10.022","http://dx.doi.org/10.1016/j.envpol.2010.10.022")</f>
        <v>http://dx.doi.org/10.1016/j.envpol.2010.10.022</v>
      </c>
      <c r="BG16"/>
      <c r="BH16"/>
      <c r="BI16"/>
      <c r="BJ16" t="s">
        <v>224</v>
      </c>
      <c r="BK16"/>
      <c r="BL16"/>
      <c r="BM16"/>
      <c r="BN16"/>
      <c r="BO16"/>
      <c r="BP16"/>
      <c r="BQ16"/>
      <c r="BR16"/>
      <c r="BS16"/>
      <c r="BT16" t="str">
        <f>HYPERLINK("https%3A%2F%2Fwww.webofscience.com%2Fwos%2Fwoscc%2Ffull-record%2F","View Full Record in Web of Science")</f>
        <v>View Full Record in Web of Science</v>
      </c>
    </row>
    <row r="17" spans="1:72" customHeight="1" ht="12.75">
      <c r="A17" t="s">
        <v>72</v>
      </c>
      <c r="B17" t="s">
        <v>225</v>
      </c>
      <c r="C17"/>
      <c r="D17"/>
      <c r="E17"/>
      <c r="F17" t="s">
        <v>226</v>
      </c>
      <c r="G17"/>
      <c r="H17"/>
      <c r="I17" t="s">
        <v>227</v>
      </c>
      <c r="J17" t="s">
        <v>228</v>
      </c>
      <c r="K17"/>
      <c r="L17"/>
      <c r="M17"/>
      <c r="N17" t="s">
        <v>112</v>
      </c>
      <c r="O17"/>
      <c r="P17"/>
      <c r="Q17"/>
      <c r="R17"/>
      <c r="S17"/>
      <c r="T17" t="s">
        <v>229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12</v>
      </c>
      <c r="AI17">
        <v>12</v>
      </c>
      <c r="AJ17"/>
      <c r="AK17"/>
      <c r="AL17"/>
      <c r="AM17"/>
      <c r="AN17"/>
      <c r="AO17" t="s">
        <v>230</v>
      </c>
      <c r="AP17" t="s">
        <v>231</v>
      </c>
      <c r="AQ17"/>
      <c r="AR17"/>
      <c r="AS17"/>
      <c r="AT17"/>
      <c r="AU17">
        <v>2018</v>
      </c>
      <c r="AV17">
        <v>13</v>
      </c>
      <c r="AW17">
        <v>1</v>
      </c>
      <c r="AX17"/>
      <c r="AY17"/>
      <c r="AZ17"/>
      <c r="BA17"/>
      <c r="BB17">
        <v>36</v>
      </c>
      <c r="BC17">
        <v>49</v>
      </c>
      <c r="BD17"/>
      <c r="BE17" t="s">
        <v>232</v>
      </c>
      <c r="BF17" t="str">
        <f>HYPERLINK("http://dx.doi.org/10.1080/18626033.2018.1476031","http://dx.doi.org/10.1080/18626033.2018.1476031")</f>
        <v>http://dx.doi.org/10.1080/18626033.2018.1476031</v>
      </c>
      <c r="BG17"/>
      <c r="BH17"/>
      <c r="BI17"/>
      <c r="BJ17" t="s">
        <v>233</v>
      </c>
      <c r="BK17"/>
      <c r="BL17"/>
      <c r="BM17"/>
      <c r="BN17"/>
      <c r="BO17"/>
      <c r="BP17"/>
      <c r="BQ17"/>
      <c r="BR17"/>
      <c r="BS17"/>
      <c r="BT17" t="str">
        <f>HYPERLINK("https%3A%2F%2Fwww.webofscience.com%2Fwos%2Fwoscc%2Ffull-record%2F","View Full Record in Web of Science")</f>
        <v>View Full Record in Web of Science</v>
      </c>
    </row>
    <row r="18" spans="1:72" customHeight="1" ht="12.75">
      <c r="A18" t="s">
        <v>72</v>
      </c>
      <c r="B18" t="s">
        <v>234</v>
      </c>
      <c r="C18"/>
      <c r="D18"/>
      <c r="E18"/>
      <c r="F18" t="s">
        <v>235</v>
      </c>
      <c r="G18"/>
      <c r="H18"/>
      <c r="I18" t="s">
        <v>236</v>
      </c>
      <c r="J18" t="s">
        <v>237</v>
      </c>
      <c r="K18"/>
      <c r="L18"/>
      <c r="M18"/>
      <c r="N18" t="s">
        <v>112</v>
      </c>
      <c r="O18"/>
      <c r="P18"/>
      <c r="Q18"/>
      <c r="R18"/>
      <c r="S18"/>
      <c r="T18" t="s">
        <v>238</v>
      </c>
      <c r="U18" t="s">
        <v>239</v>
      </c>
      <c r="V18"/>
      <c r="W18"/>
      <c r="X18"/>
      <c r="Y18"/>
      <c r="Z18"/>
      <c r="AA18"/>
      <c r="AB18"/>
      <c r="AC18"/>
      <c r="AD18"/>
      <c r="AE18"/>
      <c r="AF18"/>
      <c r="AG18"/>
      <c r="AH18">
        <v>43</v>
      </c>
      <c r="AI18">
        <v>46</v>
      </c>
      <c r="AJ18"/>
      <c r="AK18"/>
      <c r="AL18"/>
      <c r="AM18"/>
      <c r="AN18"/>
      <c r="AO18" t="s">
        <v>240</v>
      </c>
      <c r="AP18" t="s">
        <v>241</v>
      </c>
      <c r="AQ18"/>
      <c r="AR18"/>
      <c r="AS18"/>
      <c r="AT18" t="s">
        <v>208</v>
      </c>
      <c r="AU18">
        <v>2015</v>
      </c>
      <c r="AV18">
        <v>22</v>
      </c>
      <c r="AW18">
        <v>1</v>
      </c>
      <c r="AX18"/>
      <c r="AY18"/>
      <c r="AZ18"/>
      <c r="BA18"/>
      <c r="BB18">
        <v>65</v>
      </c>
      <c r="BC18">
        <v>86</v>
      </c>
      <c r="BD18"/>
      <c r="BE18" t="s">
        <v>242</v>
      </c>
      <c r="BF18" t="str">
        <f>HYPERLINK("http://dx.doi.org/10.1080/10630732.2014.954899","http://dx.doi.org/10.1080/10630732.2014.954899")</f>
        <v>http://dx.doi.org/10.1080/10630732.2014.954899</v>
      </c>
      <c r="BG18"/>
      <c r="BH18"/>
      <c r="BI18"/>
      <c r="BJ18" t="s">
        <v>243</v>
      </c>
      <c r="BK18"/>
      <c r="BL18"/>
      <c r="BM18"/>
      <c r="BN18"/>
      <c r="BO18"/>
      <c r="BP18"/>
      <c r="BQ18"/>
      <c r="BR18"/>
      <c r="BS18"/>
      <c r="BT18" t="str">
        <f>HYPERLINK("https%3A%2F%2Fwww.webofscience.com%2Fwos%2Fwoscc%2Ffull-record%2F","View Full Record in Web of Science")</f>
        <v>View Full Record in Web of Science</v>
      </c>
    </row>
    <row r="19" spans="1:72" customHeight="1" ht="12.75">
      <c r="A19" t="s">
        <v>72</v>
      </c>
      <c r="B19" t="s">
        <v>244</v>
      </c>
      <c r="C19"/>
      <c r="D19"/>
      <c r="E19"/>
      <c r="F19" t="s">
        <v>245</v>
      </c>
      <c r="G19"/>
      <c r="H19"/>
      <c r="I19" t="s">
        <v>246</v>
      </c>
      <c r="J19" t="s">
        <v>98</v>
      </c>
      <c r="K19"/>
      <c r="L19"/>
      <c r="M19"/>
      <c r="N19" t="s">
        <v>112</v>
      </c>
      <c r="O19"/>
      <c r="P19"/>
      <c r="Q19"/>
      <c r="R19"/>
      <c r="S19"/>
      <c r="T19" t="s">
        <v>247</v>
      </c>
      <c r="U19" t="s">
        <v>248</v>
      </c>
      <c r="V19"/>
      <c r="W19"/>
      <c r="X19"/>
      <c r="Y19"/>
      <c r="Z19"/>
      <c r="AA19"/>
      <c r="AB19"/>
      <c r="AC19"/>
      <c r="AD19"/>
      <c r="AE19"/>
      <c r="AF19"/>
      <c r="AG19"/>
      <c r="AH19">
        <v>193</v>
      </c>
      <c r="AI19">
        <v>215</v>
      </c>
      <c r="AJ19"/>
      <c r="AK19"/>
      <c r="AL19"/>
      <c r="AM19"/>
      <c r="AN19"/>
      <c r="AO19" t="s">
        <v>102</v>
      </c>
      <c r="AP19" t="s">
        <v>103</v>
      </c>
      <c r="AQ19"/>
      <c r="AR19"/>
      <c r="AS19"/>
      <c r="AT19" t="s">
        <v>249</v>
      </c>
      <c r="AU19">
        <v>2012</v>
      </c>
      <c r="AV19">
        <v>107</v>
      </c>
      <c r="AW19">
        <v>3</v>
      </c>
      <c r="AX19"/>
      <c r="AY19"/>
      <c r="AZ19"/>
      <c r="BA19"/>
      <c r="BB19">
        <v>193</v>
      </c>
      <c r="BC19">
        <v>202</v>
      </c>
      <c r="BD19"/>
      <c r="BE19" t="s">
        <v>250</v>
      </c>
      <c r="BF19" t="str">
        <f>HYPERLINK("http://dx.doi.org/10.1016/j.landurbplan.2012.06.006","http://dx.doi.org/10.1016/j.landurbplan.2012.06.006")</f>
        <v>http://dx.doi.org/10.1016/j.landurbplan.2012.06.006</v>
      </c>
      <c r="BG19"/>
      <c r="BH19"/>
      <c r="BI19"/>
      <c r="BJ19" t="s">
        <v>107</v>
      </c>
      <c r="BK19"/>
      <c r="BL19"/>
      <c r="BM19"/>
      <c r="BN19"/>
      <c r="BO19"/>
      <c r="BP19"/>
      <c r="BQ19"/>
      <c r="BR19"/>
      <c r="BS19"/>
      <c r="BT19" t="str">
        <f>HYPERLINK("https%3A%2F%2Fwww.webofscience.com%2Fwos%2Fwoscc%2Ffull-record%2F","View Full Record in Web of Science")</f>
        <v>View Full Record in Web of Science</v>
      </c>
    </row>
    <row r="20" spans="1:72" customHeight="1" ht="12.75">
      <c r="A20" t="s">
        <v>72</v>
      </c>
      <c r="B20" t="s">
        <v>251</v>
      </c>
      <c r="C20"/>
      <c r="D20"/>
      <c r="E20"/>
      <c r="F20" t="s">
        <v>252</v>
      </c>
      <c r="G20"/>
      <c r="H20"/>
      <c r="I20" t="s">
        <v>253</v>
      </c>
      <c r="J20" t="s">
        <v>254</v>
      </c>
      <c r="K20"/>
      <c r="L20"/>
      <c r="M20"/>
      <c r="N20" t="s">
        <v>112</v>
      </c>
      <c r="O20"/>
      <c r="P20"/>
      <c r="Q20"/>
      <c r="R20"/>
      <c r="S20"/>
      <c r="T20" t="s">
        <v>255</v>
      </c>
      <c r="U20" t="s">
        <v>256</v>
      </c>
      <c r="V20"/>
      <c r="W20"/>
      <c r="X20"/>
      <c r="Y20"/>
      <c r="Z20"/>
      <c r="AA20"/>
      <c r="AB20"/>
      <c r="AC20"/>
      <c r="AD20"/>
      <c r="AE20"/>
      <c r="AF20"/>
      <c r="AG20"/>
      <c r="AH20">
        <v>7</v>
      </c>
      <c r="AI20">
        <v>8</v>
      </c>
      <c r="AJ20"/>
      <c r="AK20"/>
      <c r="AL20"/>
      <c r="AM20"/>
      <c r="AN20"/>
      <c r="AO20" t="s">
        <v>257</v>
      </c>
      <c r="AP20"/>
      <c r="AQ20"/>
      <c r="AR20"/>
      <c r="AS20"/>
      <c r="AT20"/>
      <c r="AU20">
        <v>2019</v>
      </c>
      <c r="AV20">
        <v>4</v>
      </c>
      <c r="AW20">
        <v>1</v>
      </c>
      <c r="AX20"/>
      <c r="AY20"/>
      <c r="AZ20"/>
      <c r="BA20"/>
      <c r="BB20">
        <v>187</v>
      </c>
      <c r="BC20">
        <v>199</v>
      </c>
      <c r="BD20"/>
      <c r="BE20" t="s">
        <v>258</v>
      </c>
      <c r="BF20" t="str">
        <f>HYPERLINK("http://dx.doi.org/10.17645/up.v4i1.1750","http://dx.doi.org/10.17645/up.v4i1.1750")</f>
        <v>http://dx.doi.org/10.17645/up.v4i1.1750</v>
      </c>
      <c r="BG20"/>
      <c r="BH20"/>
      <c r="BI20"/>
      <c r="BJ20" t="s">
        <v>243</v>
      </c>
      <c r="BK20"/>
      <c r="BL20"/>
      <c r="BM20"/>
      <c r="BN20"/>
      <c r="BO20"/>
      <c r="BP20"/>
      <c r="BQ20"/>
      <c r="BR20"/>
      <c r="BS20"/>
      <c r="BT20" t="str">
        <f>HYPERLINK("https%3A%2F%2Fwww.webofscience.com%2Fwos%2Fwoscc%2Ffull-record%2F","View Full Record in Web of Science")</f>
        <v>View Full Record in Web of Science</v>
      </c>
    </row>
    <row r="21" spans="1:72" customHeight="1" ht="12.75">
      <c r="A21" t="s">
        <v>72</v>
      </c>
      <c r="B21" t="s">
        <v>259</v>
      </c>
      <c r="C21"/>
      <c r="D21"/>
      <c r="E21"/>
      <c r="F21" t="s">
        <v>260</v>
      </c>
      <c r="G21"/>
      <c r="H21"/>
      <c r="I21" t="s">
        <v>261</v>
      </c>
      <c r="J21" t="s">
        <v>133</v>
      </c>
      <c r="K21"/>
      <c r="L21"/>
      <c r="M21"/>
      <c r="N21" t="s">
        <v>112</v>
      </c>
      <c r="O21"/>
      <c r="P21"/>
      <c r="Q21"/>
      <c r="R21"/>
      <c r="S21"/>
      <c r="T21" t="s">
        <v>262</v>
      </c>
      <c r="U21" t="s">
        <v>263</v>
      </c>
      <c r="V21"/>
      <c r="W21"/>
      <c r="X21"/>
      <c r="Y21"/>
      <c r="Z21"/>
      <c r="AA21"/>
      <c r="AB21"/>
      <c r="AC21"/>
      <c r="AD21"/>
      <c r="AE21"/>
      <c r="AF21"/>
      <c r="AG21"/>
      <c r="AH21">
        <v>161</v>
      </c>
      <c r="AI21">
        <v>179</v>
      </c>
      <c r="AJ21"/>
      <c r="AK21"/>
      <c r="AL21"/>
      <c r="AM21"/>
      <c r="AN21"/>
      <c r="AO21" t="s">
        <v>136</v>
      </c>
      <c r="AP21" t="s">
        <v>137</v>
      </c>
      <c r="AQ21"/>
      <c r="AR21"/>
      <c r="AS21"/>
      <c r="AT21" t="s">
        <v>128</v>
      </c>
      <c r="AU21">
        <v>2012</v>
      </c>
      <c r="AV21">
        <v>16</v>
      </c>
      <c r="AW21">
        <v>6</v>
      </c>
      <c r="AX21"/>
      <c r="AY21"/>
      <c r="AZ21" t="s">
        <v>222</v>
      </c>
      <c r="BA21"/>
      <c r="BB21">
        <v>851</v>
      </c>
      <c r="BC21">
        <v>861</v>
      </c>
      <c r="BD21"/>
      <c r="BE21" t="s">
        <v>264</v>
      </c>
      <c r="BF21" t="str">
        <f>HYPERLINK("http://dx.doi.org/10.1111/j.1530-9290.2012.00556.x","http://dx.doi.org/10.1111/j.1530-9290.2012.00556.x")</f>
        <v>http://dx.doi.org/10.1111/j.1530-9290.2012.00556.x</v>
      </c>
      <c r="BG21"/>
      <c r="BH21"/>
      <c r="BI21"/>
      <c r="BJ21" t="s">
        <v>139</v>
      </c>
      <c r="BK21"/>
      <c r="BL21"/>
      <c r="BM21"/>
      <c r="BN21"/>
      <c r="BO21"/>
      <c r="BP21"/>
      <c r="BQ21"/>
      <c r="BR21"/>
      <c r="BS21"/>
      <c r="BT21" t="str">
        <f>HYPERLINK("https%3A%2F%2Fwww.webofscience.com%2Fwos%2Fwoscc%2Ffull-record%2F","View Full Record in Web of Science")</f>
        <v>View Full Record in Web of Science</v>
      </c>
    </row>
    <row r="22" spans="1:72" customHeight="1" ht="12.75">
      <c r="A22" t="s">
        <v>72</v>
      </c>
      <c r="B22" t="s">
        <v>265</v>
      </c>
      <c r="C22"/>
      <c r="D22"/>
      <c r="E22"/>
      <c r="F22" t="s">
        <v>266</v>
      </c>
      <c r="G22"/>
      <c r="H22"/>
      <c r="I22" t="s">
        <v>267</v>
      </c>
      <c r="J22" t="s">
        <v>268</v>
      </c>
      <c r="K22"/>
      <c r="L22"/>
      <c r="M22"/>
      <c r="N22" t="s">
        <v>112</v>
      </c>
      <c r="O22"/>
      <c r="P22"/>
      <c r="Q22"/>
      <c r="R22"/>
      <c r="S22"/>
      <c r="T22" t="s">
        <v>269</v>
      </c>
      <c r="U22" t="s">
        <v>270</v>
      </c>
      <c r="V22"/>
      <c r="W22"/>
      <c r="X22"/>
      <c r="Y22"/>
      <c r="Z22"/>
      <c r="AA22"/>
      <c r="AB22"/>
      <c r="AC22"/>
      <c r="AD22"/>
      <c r="AE22"/>
      <c r="AF22"/>
      <c r="AG22"/>
      <c r="AH22">
        <v>13</v>
      </c>
      <c r="AI22">
        <v>14</v>
      </c>
      <c r="AJ22"/>
      <c r="AK22"/>
      <c r="AL22"/>
      <c r="AM22"/>
      <c r="AN22"/>
      <c r="AO22" t="s">
        <v>271</v>
      </c>
      <c r="AP22" t="s">
        <v>272</v>
      </c>
      <c r="AQ22"/>
      <c r="AR22"/>
      <c r="AS22"/>
      <c r="AT22" t="s">
        <v>198</v>
      </c>
      <c r="AU22">
        <v>2019</v>
      </c>
      <c r="AV22">
        <v>46</v>
      </c>
      <c r="AW22">
        <v>8</v>
      </c>
      <c r="AX22"/>
      <c r="AY22"/>
      <c r="AZ22" t="s">
        <v>222</v>
      </c>
      <c r="BA22"/>
      <c r="BB22">
        <v>1458</v>
      </c>
      <c r="BC22">
        <v>1479</v>
      </c>
      <c r="BD22"/>
      <c r="BE22" t="s">
        <v>273</v>
      </c>
      <c r="BF22" t="str">
        <f>HYPERLINK("http://dx.doi.org/10.1177/2399808319832611","http://dx.doi.org/10.1177/2399808319832611")</f>
        <v>http://dx.doi.org/10.1177/2399808319832611</v>
      </c>
      <c r="BG22"/>
      <c r="BH22"/>
      <c r="BI22"/>
      <c r="BJ22" t="s">
        <v>210</v>
      </c>
      <c r="BK22"/>
      <c r="BL22"/>
      <c r="BM22"/>
      <c r="BN22"/>
      <c r="BO22"/>
      <c r="BP22"/>
      <c r="BQ22"/>
      <c r="BR22"/>
      <c r="BS22"/>
      <c r="BT22" t="str">
        <f>HYPERLINK("https%3A%2F%2Fwww.webofscience.com%2Fwos%2Fwoscc%2Ffull-record%2F","View Full Record in Web of Science")</f>
        <v>View Full Record in Web of Science</v>
      </c>
    </row>
    <row r="23" spans="1:72" customHeight="1" ht="12.75">
      <c r="A23" t="s">
        <v>72</v>
      </c>
      <c r="B23" t="s">
        <v>274</v>
      </c>
      <c r="C23"/>
      <c r="D23"/>
      <c r="E23"/>
      <c r="F23" t="s">
        <v>275</v>
      </c>
      <c r="G23"/>
      <c r="H23"/>
      <c r="I23" t="s">
        <v>276</v>
      </c>
      <c r="J23" t="s">
        <v>87</v>
      </c>
      <c r="K23"/>
      <c r="L23"/>
      <c r="M23"/>
      <c r="N23" t="s">
        <v>77</v>
      </c>
      <c r="O23"/>
      <c r="P23"/>
      <c r="Q23"/>
      <c r="R23"/>
      <c r="S23"/>
      <c r="T23" t="s">
        <v>277</v>
      </c>
      <c r="U23" t="s">
        <v>278</v>
      </c>
      <c r="V23"/>
      <c r="W23"/>
      <c r="X23"/>
      <c r="Y23"/>
      <c r="Z23"/>
      <c r="AA23"/>
      <c r="AB23"/>
      <c r="AC23"/>
      <c r="AD23"/>
      <c r="AE23"/>
      <c r="AF23"/>
      <c r="AG23"/>
      <c r="AH23">
        <v>18</v>
      </c>
      <c r="AI23">
        <v>19</v>
      </c>
      <c r="AJ23"/>
      <c r="AK23"/>
      <c r="AL23"/>
      <c r="AM23"/>
      <c r="AN23"/>
      <c r="AO23" t="s">
        <v>90</v>
      </c>
      <c r="AP23" t="s">
        <v>91</v>
      </c>
      <c r="AQ23"/>
      <c r="AR23"/>
      <c r="AS23"/>
      <c r="AT23" t="s">
        <v>128</v>
      </c>
      <c r="AU23">
        <v>2020</v>
      </c>
      <c r="AV23">
        <v>119</v>
      </c>
      <c r="AW23"/>
      <c r="AX23"/>
      <c r="AY23"/>
      <c r="AZ23"/>
      <c r="BA23"/>
      <c r="BB23"/>
      <c r="BC23"/>
      <c r="BD23">
        <v>106746</v>
      </c>
      <c r="BE23" t="s">
        <v>279</v>
      </c>
      <c r="BF23" t="str">
        <f>HYPERLINK("http://dx.doi.org/10.1016/j.ecolind.2020.106746","http://dx.doi.org/10.1016/j.ecolind.2020.106746")</f>
        <v>http://dx.doi.org/10.1016/j.ecolind.2020.106746</v>
      </c>
      <c r="BG23"/>
      <c r="BH23"/>
      <c r="BI23"/>
      <c r="BJ23" t="s">
        <v>94</v>
      </c>
      <c r="BK23"/>
      <c r="BL23"/>
      <c r="BM23"/>
      <c r="BN23"/>
      <c r="BO23"/>
      <c r="BP23"/>
      <c r="BQ23"/>
      <c r="BR23"/>
      <c r="BS23"/>
      <c r="BT23" t="str">
        <f>HYPERLINK("https%3A%2F%2Fwww.webofscience.com%2Fwos%2Fwoscc%2Ffull-record%2F","View Full Record in Web of Science")</f>
        <v>View Full Record in Web of Science</v>
      </c>
    </row>
    <row r="24" spans="1:72" customHeight="1" ht="12.75">
      <c r="A24" t="s">
        <v>72</v>
      </c>
      <c r="B24" t="s">
        <v>280</v>
      </c>
      <c r="C24"/>
      <c r="D24"/>
      <c r="E24"/>
      <c r="F24" t="s">
        <v>281</v>
      </c>
      <c r="G24"/>
      <c r="H24"/>
      <c r="I24" t="s">
        <v>282</v>
      </c>
      <c r="J24" t="s">
        <v>283</v>
      </c>
      <c r="K24"/>
      <c r="L24"/>
      <c r="M24"/>
      <c r="N24" t="s">
        <v>112</v>
      </c>
      <c r="O24"/>
      <c r="P24"/>
      <c r="Q24"/>
      <c r="R24"/>
      <c r="S24"/>
      <c r="T24" t="s">
        <v>284</v>
      </c>
      <c r="U24" t="s">
        <v>285</v>
      </c>
      <c r="V24"/>
      <c r="W24"/>
      <c r="X24"/>
      <c r="Y24"/>
      <c r="Z24"/>
      <c r="AA24"/>
      <c r="AB24"/>
      <c r="AC24"/>
      <c r="AD24"/>
      <c r="AE24"/>
      <c r="AF24"/>
      <c r="AG24"/>
      <c r="AH24">
        <v>53</v>
      </c>
      <c r="AI24">
        <v>57</v>
      </c>
      <c r="AJ24"/>
      <c r="AK24"/>
      <c r="AL24"/>
      <c r="AM24"/>
      <c r="AN24"/>
      <c r="AO24" t="s">
        <v>286</v>
      </c>
      <c r="AP24" t="s">
        <v>287</v>
      </c>
      <c r="AQ24"/>
      <c r="AR24"/>
      <c r="AS24"/>
      <c r="AT24" t="s">
        <v>198</v>
      </c>
      <c r="AU24">
        <v>2017</v>
      </c>
      <c r="AV24">
        <v>85</v>
      </c>
      <c r="AW24"/>
      <c r="AX24"/>
      <c r="AY24"/>
      <c r="AZ24"/>
      <c r="BA24"/>
      <c r="BB24">
        <v>353</v>
      </c>
      <c r="BC24">
        <v>367</v>
      </c>
      <c r="BD24"/>
      <c r="BE24" t="s">
        <v>288</v>
      </c>
      <c r="BF24" t="str">
        <f>HYPERLINK("http://dx.doi.org/10.1016/j.geoforum.2016.10.011","http://dx.doi.org/10.1016/j.geoforum.2016.10.011")</f>
        <v>http://dx.doi.org/10.1016/j.geoforum.2016.10.011</v>
      </c>
      <c r="BG24"/>
      <c r="BH24"/>
      <c r="BI24"/>
      <c r="BJ24" t="s">
        <v>83</v>
      </c>
      <c r="BK24"/>
      <c r="BL24"/>
      <c r="BM24"/>
      <c r="BN24"/>
      <c r="BO24"/>
      <c r="BP24"/>
      <c r="BQ24"/>
      <c r="BR24"/>
      <c r="BS24"/>
      <c r="BT24" t="str">
        <f>HYPERLINK("https%3A%2F%2Fwww.webofscience.com%2Fwos%2Fwoscc%2Ffull-record%2F","View Full Record in Web of Science")</f>
        <v>View Full Record in Web of Science</v>
      </c>
    </row>
    <row r="25" spans="1:72" customHeight="1" ht="12.75">
      <c r="A25" t="s">
        <v>72</v>
      </c>
      <c r="B25" t="s">
        <v>289</v>
      </c>
      <c r="C25"/>
      <c r="D25"/>
      <c r="E25"/>
      <c r="F25" t="s">
        <v>290</v>
      </c>
      <c r="G25"/>
      <c r="H25"/>
      <c r="I25" t="s">
        <v>291</v>
      </c>
      <c r="J25" t="s">
        <v>292</v>
      </c>
      <c r="K25"/>
      <c r="L25"/>
      <c r="M25"/>
      <c r="N25" t="s">
        <v>99</v>
      </c>
      <c r="O25"/>
      <c r="P25"/>
      <c r="Q25"/>
      <c r="R25"/>
      <c r="S25"/>
      <c r="T25" t="s">
        <v>293</v>
      </c>
      <c r="U25" t="s">
        <v>294</v>
      </c>
      <c r="V25"/>
      <c r="W25"/>
      <c r="X25"/>
      <c r="Y25"/>
      <c r="Z25"/>
      <c r="AA25"/>
      <c r="AB25"/>
      <c r="AC25"/>
      <c r="AD25"/>
      <c r="AE25"/>
      <c r="AF25"/>
      <c r="AG25"/>
      <c r="AH25">
        <v>2</v>
      </c>
      <c r="AI25">
        <v>2</v>
      </c>
      <c r="AJ25"/>
      <c r="AK25"/>
      <c r="AL25"/>
      <c r="AM25"/>
      <c r="AN25"/>
      <c r="AO25" t="s">
        <v>295</v>
      </c>
      <c r="AP25"/>
      <c r="AQ25"/>
      <c r="AR25"/>
      <c r="AS25"/>
      <c r="AT25" t="s">
        <v>296</v>
      </c>
      <c r="AU25">
        <v>2023</v>
      </c>
      <c r="AV25">
        <v>39</v>
      </c>
      <c r="AW25"/>
      <c r="AX25"/>
      <c r="AY25"/>
      <c r="AZ25"/>
      <c r="BA25"/>
      <c r="BB25">
        <v>162</v>
      </c>
      <c r="BC25">
        <v>174</v>
      </c>
      <c r="BD25"/>
      <c r="BE25" t="s">
        <v>297</v>
      </c>
      <c r="BF25" t="str">
        <f>HYPERLINK("http://dx.doi.org/10.1016/j.spc.2023.05.017","http://dx.doi.org/10.1016/j.spc.2023.05.017")</f>
        <v>http://dx.doi.org/10.1016/j.spc.2023.05.017</v>
      </c>
      <c r="BG25"/>
      <c r="BH25" t="s">
        <v>298</v>
      </c>
      <c r="BI25"/>
      <c r="BJ25" t="s">
        <v>299</v>
      </c>
      <c r="BK25"/>
      <c r="BL25"/>
      <c r="BM25"/>
      <c r="BN25"/>
      <c r="BO25"/>
      <c r="BP25"/>
      <c r="BQ25"/>
      <c r="BR25"/>
      <c r="BS25"/>
      <c r="BT25" t="str">
        <f>HYPERLINK("https%3A%2F%2Fwww.webofscience.com%2Fwos%2Fwoscc%2Ffull-record%2F","View Full Record in Web of Science")</f>
        <v>View Full Record in Web of Science</v>
      </c>
    </row>
    <row r="26" spans="1:72" customHeight="1" ht="12.75">
      <c r="A26" t="s">
        <v>72</v>
      </c>
      <c r="B26" t="s">
        <v>300</v>
      </c>
      <c r="C26"/>
      <c r="D26"/>
      <c r="E26"/>
      <c r="F26" t="s">
        <v>301</v>
      </c>
      <c r="G26"/>
      <c r="H26"/>
      <c r="I26" t="s">
        <v>302</v>
      </c>
      <c r="J26" t="s">
        <v>111</v>
      </c>
      <c r="K26"/>
      <c r="L26"/>
      <c r="M26"/>
      <c r="N26" t="s">
        <v>112</v>
      </c>
      <c r="O26"/>
      <c r="P26"/>
      <c r="Q26"/>
      <c r="R26"/>
      <c r="S26"/>
      <c r="T26" t="s">
        <v>303</v>
      </c>
      <c r="U26" t="s">
        <v>304</v>
      </c>
      <c r="V26"/>
      <c r="W26"/>
      <c r="X26"/>
      <c r="Y26"/>
      <c r="Z26"/>
      <c r="AA26"/>
      <c r="AB26"/>
      <c r="AC26"/>
      <c r="AD26"/>
      <c r="AE26"/>
      <c r="AF26"/>
      <c r="AG26"/>
      <c r="AH26">
        <v>13</v>
      </c>
      <c r="AI26">
        <v>15</v>
      </c>
      <c r="AJ26"/>
      <c r="AK26"/>
      <c r="AL26"/>
      <c r="AM26"/>
      <c r="AN26"/>
      <c r="AO26" t="s">
        <v>115</v>
      </c>
      <c r="AP26" t="s">
        <v>116</v>
      </c>
      <c r="AQ26"/>
      <c r="AR26"/>
      <c r="AS26"/>
      <c r="AT26" t="s">
        <v>128</v>
      </c>
      <c r="AU26">
        <v>2018</v>
      </c>
      <c r="AV26">
        <v>139</v>
      </c>
      <c r="AW26"/>
      <c r="AX26"/>
      <c r="AY26"/>
      <c r="AZ26"/>
      <c r="BA26"/>
      <c r="BB26">
        <v>377</v>
      </c>
      <c r="BC26">
        <v>386</v>
      </c>
      <c r="BD26"/>
      <c r="BE26" t="s">
        <v>305</v>
      </c>
      <c r="BF26" t="str">
        <f>HYPERLINK("http://dx.doi.org/10.1016/j.resconrec.2018.09.010","http://dx.doi.org/10.1016/j.resconrec.2018.09.010")</f>
        <v>http://dx.doi.org/10.1016/j.resconrec.2018.09.010</v>
      </c>
      <c r="BG26"/>
      <c r="BH26"/>
      <c r="BI26"/>
      <c r="BJ26" t="s">
        <v>119</v>
      </c>
      <c r="BK26"/>
      <c r="BL26"/>
      <c r="BM26"/>
      <c r="BN26"/>
      <c r="BO26"/>
      <c r="BP26"/>
      <c r="BQ26"/>
      <c r="BR26"/>
      <c r="BS26"/>
      <c r="BT26" t="str">
        <f>HYPERLINK("https%3A%2F%2Fwww.webofscience.com%2Fwos%2Fwoscc%2Ffull-record%2F","View Full Record in Web of Science")</f>
        <v>View Full Record in Web of Science</v>
      </c>
    </row>
    <row r="27" spans="1:72" customHeight="1" ht="12.75">
      <c r="A27" t="s">
        <v>72</v>
      </c>
      <c r="B27" t="s">
        <v>306</v>
      </c>
      <c r="C27"/>
      <c r="D27"/>
      <c r="E27"/>
      <c r="F27" t="s">
        <v>307</v>
      </c>
      <c r="G27"/>
      <c r="H27"/>
      <c r="I27" t="s">
        <v>308</v>
      </c>
      <c r="J27" t="s">
        <v>87</v>
      </c>
      <c r="K27"/>
      <c r="L27"/>
      <c r="M27"/>
      <c r="N27" t="s">
        <v>112</v>
      </c>
      <c r="O27"/>
      <c r="P27"/>
      <c r="Q27"/>
      <c r="R27"/>
      <c r="S27"/>
      <c r="T27" t="s">
        <v>309</v>
      </c>
      <c r="U27" t="s">
        <v>310</v>
      </c>
      <c r="V27"/>
      <c r="W27"/>
      <c r="X27"/>
      <c r="Y27"/>
      <c r="Z27"/>
      <c r="AA27"/>
      <c r="AB27"/>
      <c r="AC27"/>
      <c r="AD27"/>
      <c r="AE27"/>
      <c r="AF27"/>
      <c r="AG27"/>
      <c r="AH27">
        <v>80</v>
      </c>
      <c r="AI27">
        <v>87</v>
      </c>
      <c r="AJ27"/>
      <c r="AK27"/>
      <c r="AL27"/>
      <c r="AM27"/>
      <c r="AN27"/>
      <c r="AO27" t="s">
        <v>90</v>
      </c>
      <c r="AP27" t="s">
        <v>91</v>
      </c>
      <c r="AQ27"/>
      <c r="AR27"/>
      <c r="AS27"/>
      <c r="AT27" t="s">
        <v>128</v>
      </c>
      <c r="AU27">
        <v>2014</v>
      </c>
      <c r="AV27">
        <v>47</v>
      </c>
      <c r="AW27"/>
      <c r="AX27"/>
      <c r="AY27"/>
      <c r="AZ27" t="s">
        <v>222</v>
      </c>
      <c r="BA27"/>
      <c r="BB27">
        <v>7</v>
      </c>
      <c r="BC27">
        <v>15</v>
      </c>
      <c r="BD27"/>
      <c r="BE27" t="s">
        <v>311</v>
      </c>
      <c r="BF27" t="str">
        <f>HYPERLINK("http://dx.doi.org/10.1016/j.ecolind.2014.07.039","http://dx.doi.org/10.1016/j.ecolind.2014.07.039")</f>
        <v>http://dx.doi.org/10.1016/j.ecolind.2014.07.039</v>
      </c>
      <c r="BG27"/>
      <c r="BH27"/>
      <c r="BI27"/>
      <c r="BJ27" t="s">
        <v>94</v>
      </c>
      <c r="BK27"/>
      <c r="BL27"/>
      <c r="BM27"/>
      <c r="BN27"/>
      <c r="BO27"/>
      <c r="BP27"/>
      <c r="BQ27"/>
      <c r="BR27"/>
      <c r="BS27"/>
      <c r="BT27" t="str">
        <f>HYPERLINK("https%3A%2F%2Fwww.webofscience.com%2Fwos%2Fwoscc%2Ffull-record%2F","View Full Record in Web of Science")</f>
        <v>View Full Record in Web of Science</v>
      </c>
    </row>
    <row r="28" spans="1:72" customHeight="1" ht="12.75">
      <c r="A28" t="s">
        <v>72</v>
      </c>
      <c r="B28" t="s">
        <v>312</v>
      </c>
      <c r="C28"/>
      <c r="D28"/>
      <c r="E28"/>
      <c r="F28" t="s">
        <v>313</v>
      </c>
      <c r="G28"/>
      <c r="H28"/>
      <c r="I28" t="s">
        <v>314</v>
      </c>
      <c r="J28" t="s">
        <v>315</v>
      </c>
      <c r="K28"/>
      <c r="L28"/>
      <c r="M28"/>
      <c r="N28" t="s">
        <v>112</v>
      </c>
      <c r="O28"/>
      <c r="P28"/>
      <c r="Q28"/>
      <c r="R28"/>
      <c r="S28"/>
      <c r="T28" t="s">
        <v>316</v>
      </c>
      <c r="U28" t="s">
        <v>317</v>
      </c>
      <c r="V28"/>
      <c r="W28"/>
      <c r="X28"/>
      <c r="Y28"/>
      <c r="Z28"/>
      <c r="AA28"/>
      <c r="AB28"/>
      <c r="AC28"/>
      <c r="AD28"/>
      <c r="AE28"/>
      <c r="AF28"/>
      <c r="AG28"/>
      <c r="AH28">
        <v>26</v>
      </c>
      <c r="AI28">
        <v>27</v>
      </c>
      <c r="AJ28"/>
      <c r="AK28"/>
      <c r="AL28"/>
      <c r="AM28"/>
      <c r="AN28"/>
      <c r="AO28" t="s">
        <v>318</v>
      </c>
      <c r="AP28" t="s">
        <v>319</v>
      </c>
      <c r="AQ28"/>
      <c r="AR28"/>
      <c r="AS28"/>
      <c r="AT28" t="s">
        <v>128</v>
      </c>
      <c r="AU28">
        <v>2014</v>
      </c>
      <c r="AV28">
        <v>82</v>
      </c>
      <c r="AW28"/>
      <c r="AX28"/>
      <c r="AY28"/>
      <c r="AZ28"/>
      <c r="BA28"/>
      <c r="BB28">
        <v>702</v>
      </c>
      <c r="BC28">
        <v>712</v>
      </c>
      <c r="BD28"/>
      <c r="BE28" t="s">
        <v>320</v>
      </c>
      <c r="BF28" t="str">
        <f>HYPERLINK("http://dx.doi.org/10.1016/j.buildenv.2014.10.020","http://dx.doi.org/10.1016/j.buildenv.2014.10.020")</f>
        <v>http://dx.doi.org/10.1016/j.buildenv.2014.10.020</v>
      </c>
      <c r="BG28"/>
      <c r="BH28"/>
      <c r="BI28"/>
      <c r="BJ28" t="s">
        <v>321</v>
      </c>
      <c r="BK28"/>
      <c r="BL28"/>
      <c r="BM28"/>
      <c r="BN28"/>
      <c r="BO28"/>
      <c r="BP28"/>
      <c r="BQ28"/>
      <c r="BR28"/>
      <c r="BS28"/>
      <c r="BT28" t="str">
        <f>HYPERLINK("https%3A%2F%2Fwww.webofscience.com%2Fwos%2Fwoscc%2Ffull-record%2F","View Full Record in Web of Science")</f>
        <v>View Full Record in Web of Science</v>
      </c>
    </row>
    <row r="29" spans="1:72" customHeight="1" ht="12.75">
      <c r="A29" t="s">
        <v>72</v>
      </c>
      <c r="B29" t="s">
        <v>322</v>
      </c>
      <c r="C29"/>
      <c r="D29"/>
      <c r="E29"/>
      <c r="F29" t="s">
        <v>323</v>
      </c>
      <c r="G29"/>
      <c r="H29"/>
      <c r="I29" t="s">
        <v>324</v>
      </c>
      <c r="J29" t="s">
        <v>133</v>
      </c>
      <c r="K29"/>
      <c r="L29"/>
      <c r="M29"/>
      <c r="N29" t="s">
        <v>325</v>
      </c>
      <c r="O29"/>
      <c r="P29"/>
      <c r="Q29"/>
      <c r="R29"/>
      <c r="S29"/>
      <c r="T29" t="s">
        <v>326</v>
      </c>
      <c r="U29" t="s">
        <v>327</v>
      </c>
      <c r="V29"/>
      <c r="W29"/>
      <c r="X29"/>
      <c r="Y29"/>
      <c r="Z29"/>
      <c r="AA29"/>
      <c r="AB29"/>
      <c r="AC29"/>
      <c r="AD29"/>
      <c r="AE29"/>
      <c r="AF29"/>
      <c r="AG29"/>
      <c r="AH29">
        <v>0.0</v>
      </c>
      <c r="AI29">
        <v>0.0</v>
      </c>
      <c r="AJ29"/>
      <c r="AK29"/>
      <c r="AL29"/>
      <c r="AM29"/>
      <c r="AN29"/>
      <c r="AO29" t="s">
        <v>136</v>
      </c>
      <c r="AP29" t="s">
        <v>137</v>
      </c>
      <c r="AQ29"/>
      <c r="AR29"/>
      <c r="AS29"/>
      <c r="AT29" t="s">
        <v>328</v>
      </c>
      <c r="AU29">
        <v>2023</v>
      </c>
      <c r="AV29">
        <v>27</v>
      </c>
      <c r="AW29">
        <v>5</v>
      </c>
      <c r="AX29"/>
      <c r="AY29"/>
      <c r="AZ29"/>
      <c r="BA29"/>
      <c r="BB29">
        <v>1389</v>
      </c>
      <c r="BC29">
        <v>1405</v>
      </c>
      <c r="BD29"/>
      <c r="BE29" t="s">
        <v>329</v>
      </c>
      <c r="BF29" t="str">
        <f>HYPERLINK("http://dx.doi.org/10.1111/jiec.13435","http://dx.doi.org/10.1111/jiec.13435")</f>
        <v>http://dx.doi.org/10.1111/jiec.13435</v>
      </c>
      <c r="BG29"/>
      <c r="BH29" t="s">
        <v>330</v>
      </c>
      <c r="BI29"/>
      <c r="BJ29" t="s">
        <v>139</v>
      </c>
      <c r="BK29"/>
      <c r="BL29"/>
      <c r="BM29"/>
      <c r="BN29"/>
      <c r="BO29"/>
      <c r="BP29"/>
      <c r="BQ29"/>
      <c r="BR29"/>
      <c r="BS29"/>
      <c r="BT29" t="str">
        <f>HYPERLINK("https%3A%2F%2Fwww.webofscience.com%2Fwos%2Fwoscc%2Ffull-record%2F","View Full Record in Web of Science")</f>
        <v>View Full Record in Web of Science</v>
      </c>
    </row>
    <row r="30" spans="1:72" customHeight="1" ht="12.75">
      <c r="A30" t="s">
        <v>72</v>
      </c>
      <c r="B30" t="s">
        <v>331</v>
      </c>
      <c r="C30"/>
      <c r="D30"/>
      <c r="E30"/>
      <c r="F30" t="s">
        <v>332</v>
      </c>
      <c r="G30"/>
      <c r="H30"/>
      <c r="I30" t="s">
        <v>333</v>
      </c>
      <c r="J30" t="s">
        <v>133</v>
      </c>
      <c r="K30"/>
      <c r="L30"/>
      <c r="M30"/>
      <c r="N30" t="s">
        <v>112</v>
      </c>
      <c r="O30"/>
      <c r="P30"/>
      <c r="Q30"/>
      <c r="R30"/>
      <c r="S30"/>
      <c r="T30" t="s">
        <v>334</v>
      </c>
      <c r="U30" t="s">
        <v>335</v>
      </c>
      <c r="V30"/>
      <c r="W30"/>
      <c r="X30"/>
      <c r="Y30"/>
      <c r="Z30"/>
      <c r="AA30"/>
      <c r="AB30"/>
      <c r="AC30"/>
      <c r="AD30"/>
      <c r="AE30"/>
      <c r="AF30"/>
      <c r="AG30"/>
      <c r="AH30">
        <v>39</v>
      </c>
      <c r="AI30">
        <v>41</v>
      </c>
      <c r="AJ30"/>
      <c r="AK30"/>
      <c r="AL30"/>
      <c r="AM30"/>
      <c r="AN30"/>
      <c r="AO30" t="s">
        <v>136</v>
      </c>
      <c r="AP30" t="s">
        <v>137</v>
      </c>
      <c r="AQ30"/>
      <c r="AR30"/>
      <c r="AS30"/>
      <c r="AT30" t="s">
        <v>198</v>
      </c>
      <c r="AU30">
        <v>2013</v>
      </c>
      <c r="AV30">
        <v>17</v>
      </c>
      <c r="AW30">
        <v>5</v>
      </c>
      <c r="AX30"/>
      <c r="AY30"/>
      <c r="AZ30"/>
      <c r="BA30"/>
      <c r="BB30">
        <v>656</v>
      </c>
      <c r="BC30">
        <v>667</v>
      </c>
      <c r="BD30"/>
      <c r="BE30" t="s">
        <v>336</v>
      </c>
      <c r="BF30" t="str">
        <f>HYPERLINK("http://dx.doi.org/10.1111/jiec.12038","http://dx.doi.org/10.1111/jiec.12038")</f>
        <v>http://dx.doi.org/10.1111/jiec.12038</v>
      </c>
      <c r="BG30"/>
      <c r="BH30"/>
      <c r="BI30"/>
      <c r="BJ30" t="s">
        <v>139</v>
      </c>
      <c r="BK30"/>
      <c r="BL30"/>
      <c r="BM30"/>
      <c r="BN30"/>
      <c r="BO30"/>
      <c r="BP30"/>
      <c r="BQ30"/>
      <c r="BR30"/>
      <c r="BS30"/>
      <c r="BT30" t="str">
        <f>HYPERLINK("https%3A%2F%2Fwww.webofscience.com%2Fwos%2Fwoscc%2Ffull-record%2F","View Full Record in Web of Science")</f>
        <v>View Full Record in Web of Science</v>
      </c>
    </row>
    <row r="31" spans="1:72" customHeight="1" ht="12.75">
      <c r="A31" t="s">
        <v>72</v>
      </c>
      <c r="B31" t="s">
        <v>337</v>
      </c>
      <c r="C31"/>
      <c r="D31"/>
      <c r="E31"/>
      <c r="F31" t="s">
        <v>338</v>
      </c>
      <c r="G31"/>
      <c r="H31"/>
      <c r="I31" t="s">
        <v>339</v>
      </c>
      <c r="J31" t="s">
        <v>340</v>
      </c>
      <c r="K31"/>
      <c r="L31"/>
      <c r="M31"/>
      <c r="N31" t="s">
        <v>112</v>
      </c>
      <c r="O31"/>
      <c r="P31"/>
      <c r="Q31"/>
      <c r="R31"/>
      <c r="S31"/>
      <c r="T31" t="s">
        <v>341</v>
      </c>
      <c r="U31" t="s">
        <v>342</v>
      </c>
      <c r="V31"/>
      <c r="W31"/>
      <c r="X31"/>
      <c r="Y31"/>
      <c r="Z31"/>
      <c r="AA31"/>
      <c r="AB31"/>
      <c r="AC31"/>
      <c r="AD31"/>
      <c r="AE31"/>
      <c r="AF31"/>
      <c r="AG31"/>
      <c r="AH31">
        <v>2</v>
      </c>
      <c r="AI31">
        <v>2</v>
      </c>
      <c r="AJ31"/>
      <c r="AK31"/>
      <c r="AL31"/>
      <c r="AM31"/>
      <c r="AN31"/>
      <c r="AO31" t="s">
        <v>343</v>
      </c>
      <c r="AP31"/>
      <c r="AQ31"/>
      <c r="AR31"/>
      <c r="AS31"/>
      <c r="AT31"/>
      <c r="AU31">
        <v>2021</v>
      </c>
      <c r="AV31">
        <v>21</v>
      </c>
      <c r="AW31"/>
      <c r="AX31"/>
      <c r="AY31"/>
      <c r="AZ31"/>
      <c r="BA31"/>
      <c r="BB31">
        <v>154</v>
      </c>
      <c r="BC31">
        <v>164</v>
      </c>
      <c r="BD31"/>
      <c r="BE31" t="s">
        <v>344</v>
      </c>
      <c r="BF31" t="str">
        <f>HYPERLINK("http://dx.doi.org/10.36253/techne-9857","http://dx.doi.org/10.36253/techne-9857")</f>
        <v>http://dx.doi.org/10.36253/techne-9857</v>
      </c>
      <c r="BG31"/>
      <c r="BH31"/>
      <c r="BI31"/>
      <c r="BJ31" t="s">
        <v>233</v>
      </c>
      <c r="BK31"/>
      <c r="BL31"/>
      <c r="BM31"/>
      <c r="BN31"/>
      <c r="BO31"/>
      <c r="BP31"/>
      <c r="BQ31"/>
      <c r="BR31"/>
      <c r="BS31"/>
      <c r="BT31" t="str">
        <f>HYPERLINK("https%3A%2F%2Fwww.webofscience.com%2Fwos%2Fwoscc%2Ffull-record%2F","View Full Record in Web of Science")</f>
        <v>View Full Record in Web of Science</v>
      </c>
    </row>
    <row r="32" spans="1:72" customHeight="1" ht="12.75">
      <c r="A32" t="s">
        <v>72</v>
      </c>
      <c r="B32" t="s">
        <v>345</v>
      </c>
      <c r="C32"/>
      <c r="D32"/>
      <c r="E32"/>
      <c r="F32" t="s">
        <v>346</v>
      </c>
      <c r="G32"/>
      <c r="H32"/>
      <c r="I32" t="s">
        <v>347</v>
      </c>
      <c r="J32" t="s">
        <v>348</v>
      </c>
      <c r="K32"/>
      <c r="L32"/>
      <c r="M32"/>
      <c r="N32" t="s">
        <v>349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0.0</v>
      </c>
      <c r="AI32">
        <v>0.0</v>
      </c>
      <c r="AJ32"/>
      <c r="AK32"/>
      <c r="AL32"/>
      <c r="AM32"/>
      <c r="AN32"/>
      <c r="AO32" t="s">
        <v>350</v>
      </c>
      <c r="AP32" t="s">
        <v>351</v>
      </c>
      <c r="AQ32"/>
      <c r="AR32"/>
      <c r="AS32"/>
      <c r="AT32" t="s">
        <v>352</v>
      </c>
      <c r="AU32">
        <v>2015</v>
      </c>
      <c r="AV32">
        <v>74</v>
      </c>
      <c r="AW32">
        <v>3</v>
      </c>
      <c r="AX32"/>
      <c r="AY32"/>
      <c r="AZ32"/>
      <c r="BA32"/>
      <c r="BB32">
        <v>378</v>
      </c>
      <c r="BC32">
        <v>379</v>
      </c>
      <c r="BD32"/>
      <c r="BE32"/>
      <c r="BF32"/>
      <c r="BG32"/>
      <c r="BH32"/>
      <c r="BI32"/>
      <c r="BJ32" t="s">
        <v>233</v>
      </c>
      <c r="BK32"/>
      <c r="BL32"/>
      <c r="BM32"/>
      <c r="BN32"/>
      <c r="BO32"/>
      <c r="BP32"/>
      <c r="BQ32"/>
      <c r="BR32"/>
      <c r="BS32"/>
      <c r="BT32" t="str">
        <f>HYPERLINK("https%3A%2F%2Fwww.webofscience.com%2Fwos%2Fwoscc%2Ffull-record%2F","View Full Record in Web of Science")</f>
        <v>View Full Record in Web of Science</v>
      </c>
    </row>
    <row r="33" spans="1:72" customHeight="1" ht="12.75">
      <c r="A33" t="s">
        <v>72</v>
      </c>
      <c r="B33" t="s">
        <v>353</v>
      </c>
      <c r="C33"/>
      <c r="D33"/>
      <c r="E33"/>
      <c r="F33" t="s">
        <v>354</v>
      </c>
      <c r="G33"/>
      <c r="H33"/>
      <c r="I33" t="s">
        <v>355</v>
      </c>
      <c r="J33" t="s">
        <v>356</v>
      </c>
      <c r="K33"/>
      <c r="L33"/>
      <c r="M33"/>
      <c r="N33" t="s">
        <v>349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0.0</v>
      </c>
      <c r="AI33">
        <v>0.0</v>
      </c>
      <c r="AJ33"/>
      <c r="AK33"/>
      <c r="AL33"/>
      <c r="AM33"/>
      <c r="AN33"/>
      <c r="AO33" t="s">
        <v>357</v>
      </c>
      <c r="AP33" t="s">
        <v>358</v>
      </c>
      <c r="AQ33"/>
      <c r="AR33"/>
      <c r="AS33"/>
      <c r="AT33"/>
      <c r="AU33">
        <v>2015</v>
      </c>
      <c r="AV33">
        <v>42</v>
      </c>
      <c r="AW33">
        <v>1</v>
      </c>
      <c r="AX33"/>
      <c r="AY33"/>
      <c r="AZ33"/>
      <c r="BA33"/>
      <c r="BB33">
        <v>185</v>
      </c>
      <c r="BC33">
        <v>186</v>
      </c>
      <c r="BD33"/>
      <c r="BE33"/>
      <c r="BF33"/>
      <c r="BG33"/>
      <c r="BH33"/>
      <c r="BI33"/>
      <c r="BJ33" t="s">
        <v>359</v>
      </c>
      <c r="BK33"/>
      <c r="BL33"/>
      <c r="BM33"/>
      <c r="BN33"/>
      <c r="BO33"/>
      <c r="BP33"/>
      <c r="BQ33"/>
      <c r="BR33"/>
      <c r="BS33"/>
      <c r="BT33" t="str">
        <f>HYPERLINK("https%3A%2F%2Fwww.webofscience.com%2Fwos%2Fwoscc%2Ffull-record%2F","View Full Record in Web of Science")</f>
        <v>View Full Record in Web of Science</v>
      </c>
    </row>
    <row r="34" spans="1:72" customHeight="1" ht="12.75">
      <c r="A34" t="s">
        <v>72</v>
      </c>
      <c r="B34" t="s">
        <v>360</v>
      </c>
      <c r="C34"/>
      <c r="D34"/>
      <c r="E34"/>
      <c r="F34" t="s">
        <v>361</v>
      </c>
      <c r="G34"/>
      <c r="H34"/>
      <c r="I34" t="s">
        <v>347</v>
      </c>
      <c r="J34" t="s">
        <v>133</v>
      </c>
      <c r="K34"/>
      <c r="L34"/>
      <c r="M34"/>
      <c r="N34" t="s">
        <v>349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>
        <v>0.0</v>
      </c>
      <c r="AI34">
        <v>0.0</v>
      </c>
      <c r="AJ34"/>
      <c r="AK34"/>
      <c r="AL34"/>
      <c r="AM34"/>
      <c r="AN34"/>
      <c r="AO34" t="s">
        <v>136</v>
      </c>
      <c r="AP34" t="s">
        <v>137</v>
      </c>
      <c r="AQ34"/>
      <c r="AR34"/>
      <c r="AS34"/>
      <c r="AT34" t="s">
        <v>362</v>
      </c>
      <c r="AU34">
        <v>2015</v>
      </c>
      <c r="AV34">
        <v>19</v>
      </c>
      <c r="AW34">
        <v>3</v>
      </c>
      <c r="AX34"/>
      <c r="AY34"/>
      <c r="AZ34"/>
      <c r="BA34"/>
      <c r="BB34">
        <v>516</v>
      </c>
      <c r="BC34">
        <v>517</v>
      </c>
      <c r="BD34"/>
      <c r="BE34" t="s">
        <v>363</v>
      </c>
      <c r="BF34" t="str">
        <f>HYPERLINK("http://dx.doi.org/10.1111/jiec.12259","http://dx.doi.org/10.1111/jiec.12259")</f>
        <v>http://dx.doi.org/10.1111/jiec.12259</v>
      </c>
      <c r="BG34"/>
      <c r="BH34"/>
      <c r="BI34"/>
      <c r="BJ34" t="s">
        <v>139</v>
      </c>
      <c r="BK34"/>
      <c r="BL34"/>
      <c r="BM34"/>
      <c r="BN34"/>
      <c r="BO34"/>
      <c r="BP34"/>
      <c r="BQ34"/>
      <c r="BR34"/>
      <c r="BS34"/>
      <c r="BT34" t="str">
        <f>HYPERLINK("https%3A%2F%2Fwww.webofscience.com%2Fwos%2Fwoscc%2Ffull-record%2F","View Full Record in Web of Science")</f>
        <v>View Full Record in Web of Science</v>
      </c>
    </row>
    <row r="35" spans="1:72" customHeight="1" ht="12.75">
      <c r="A35" t="s">
        <v>72</v>
      </c>
      <c r="B35" t="s">
        <v>364</v>
      </c>
      <c r="C35"/>
      <c r="D35"/>
      <c r="E35"/>
      <c r="F35" t="s">
        <v>365</v>
      </c>
      <c r="G35"/>
      <c r="H35"/>
      <c r="I35" t="s">
        <v>347</v>
      </c>
      <c r="J35" t="s">
        <v>366</v>
      </c>
      <c r="K35"/>
      <c r="L35"/>
      <c r="M35"/>
      <c r="N35" t="s">
        <v>349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</v>
      </c>
      <c r="AI35">
        <v>1</v>
      </c>
      <c r="AJ35"/>
      <c r="AK35"/>
      <c r="AL35"/>
      <c r="AM35"/>
      <c r="AN35"/>
      <c r="AO35" t="s">
        <v>367</v>
      </c>
      <c r="AP35" t="s">
        <v>368</v>
      </c>
      <c r="AQ35"/>
      <c r="AR35"/>
      <c r="AS35"/>
      <c r="AT35" t="s">
        <v>369</v>
      </c>
      <c r="AU35">
        <v>2014</v>
      </c>
      <c r="AV35">
        <v>48</v>
      </c>
      <c r="AW35">
        <v>11</v>
      </c>
      <c r="AX35"/>
      <c r="AY35"/>
      <c r="AZ35" t="s">
        <v>222</v>
      </c>
      <c r="BA35"/>
      <c r="BB35">
        <v>1918</v>
      </c>
      <c r="BC35">
        <v>1919</v>
      </c>
      <c r="BD35"/>
      <c r="BE35" t="s">
        <v>370</v>
      </c>
      <c r="BF35" t="str">
        <f>HYPERLINK("http://dx.doi.org/10.1080/00343404.2014.950885","http://dx.doi.org/10.1080/00343404.2014.950885")</f>
        <v>http://dx.doi.org/10.1080/00343404.2014.950885</v>
      </c>
      <c r="BG35"/>
      <c r="BH35"/>
      <c r="BI35"/>
      <c r="BJ35" t="s">
        <v>371</v>
      </c>
      <c r="BK35"/>
      <c r="BL35"/>
      <c r="BM35"/>
      <c r="BN35"/>
      <c r="BO35"/>
      <c r="BP35"/>
      <c r="BQ35"/>
      <c r="BR35"/>
      <c r="BS35"/>
      <c r="BT35" t="str">
        <f>HYPERLINK("https%3A%2F%2Fwww.webofscience.com%2Fwos%2Fwoscc%2Ffull-record%2F","View Full Record in Web of Science")</f>
        <v>View Full Record in Web of Science</v>
      </c>
    </row>
    <row r="36" spans="1:72" customHeight="1" ht="12.75">
      <c r="A36" t="s">
        <v>72</v>
      </c>
      <c r="B36" t="s">
        <v>372</v>
      </c>
      <c r="C36"/>
      <c r="D36"/>
      <c r="E36"/>
      <c r="F36" t="s">
        <v>373</v>
      </c>
      <c r="G36"/>
      <c r="H36"/>
      <c r="I36" t="s">
        <v>347</v>
      </c>
      <c r="J36" t="s">
        <v>374</v>
      </c>
      <c r="K36"/>
      <c r="L36"/>
      <c r="M36"/>
      <c r="N36" t="s">
        <v>349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>
        <v>0.0</v>
      </c>
      <c r="AI36">
        <v>0.0</v>
      </c>
      <c r="AJ36"/>
      <c r="AK36"/>
      <c r="AL36"/>
      <c r="AM36"/>
      <c r="AN36"/>
      <c r="AO36" t="s">
        <v>375</v>
      </c>
      <c r="AP36" t="s">
        <v>376</v>
      </c>
      <c r="AQ36"/>
      <c r="AR36"/>
      <c r="AS36"/>
      <c r="AT36" t="s">
        <v>352</v>
      </c>
      <c r="AU36">
        <v>2015</v>
      </c>
      <c r="AV36">
        <v>35</v>
      </c>
      <c r="AW36">
        <v>3</v>
      </c>
      <c r="AX36"/>
      <c r="AY36"/>
      <c r="AZ36"/>
      <c r="BA36"/>
      <c r="BB36">
        <v>389</v>
      </c>
      <c r="BC36">
        <v>391</v>
      </c>
      <c r="BD36"/>
      <c r="BE36" t="s">
        <v>377</v>
      </c>
      <c r="BF36" t="str">
        <f>HYPERLINK("http://dx.doi.org/10.1177/0739456X15588462","http://dx.doi.org/10.1177/0739456X15588462")</f>
        <v>http://dx.doi.org/10.1177/0739456X15588462</v>
      </c>
      <c r="BG36"/>
      <c r="BH36"/>
      <c r="BI36"/>
      <c r="BJ36" t="s">
        <v>156</v>
      </c>
      <c r="BK36"/>
      <c r="BL36"/>
      <c r="BM36"/>
      <c r="BN36"/>
      <c r="BO36"/>
      <c r="BP36"/>
      <c r="BQ36"/>
      <c r="BR36"/>
      <c r="BS36"/>
      <c r="BT36" t="str">
        <f>HYPERLINK("https%3A%2F%2Fwww.webofscience.com%2Fwos%2Fwoscc%2Ffull-record%2F","View Full Record in Web of Science")</f>
        <v>View Full Record in Web of Science</v>
      </c>
    </row>
    <row r="37" spans="1:72" customHeight="1" ht="12.75">
      <c r="A37" t="s">
        <v>72</v>
      </c>
      <c r="B37" t="s">
        <v>378</v>
      </c>
      <c r="C37"/>
      <c r="D37"/>
      <c r="E37"/>
      <c r="F37" t="s">
        <v>379</v>
      </c>
      <c r="G37"/>
      <c r="H37"/>
      <c r="I37" t="s">
        <v>380</v>
      </c>
      <c r="J37" t="s">
        <v>133</v>
      </c>
      <c r="K37"/>
      <c r="L37"/>
      <c r="M37"/>
      <c r="N37" t="s">
        <v>167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>
        <v>83</v>
      </c>
      <c r="AI37">
        <v>94</v>
      </c>
      <c r="AJ37"/>
      <c r="AK37"/>
      <c r="AL37"/>
      <c r="AM37"/>
      <c r="AN37"/>
      <c r="AO37" t="s">
        <v>136</v>
      </c>
      <c r="AP37"/>
      <c r="AQ37"/>
      <c r="AR37"/>
      <c r="AS37"/>
      <c r="AT37" t="s">
        <v>381</v>
      </c>
      <c r="AU37">
        <v>2007</v>
      </c>
      <c r="AV37">
        <v>11</v>
      </c>
      <c r="AW37">
        <v>2</v>
      </c>
      <c r="AX37"/>
      <c r="AY37"/>
      <c r="AZ37"/>
      <c r="BA37"/>
      <c r="BB37">
        <v>11</v>
      </c>
      <c r="BC37">
        <v>13</v>
      </c>
      <c r="BD37"/>
      <c r="BE37" t="s">
        <v>382</v>
      </c>
      <c r="BF37" t="str">
        <f>HYPERLINK("http://dx.doi.org/10.1162/jie.2007.1293","http://dx.doi.org/10.1162/jie.2007.1293")</f>
        <v>http://dx.doi.org/10.1162/jie.2007.1293</v>
      </c>
      <c r="BG37"/>
      <c r="BH37"/>
      <c r="BI37"/>
      <c r="BJ37" t="s">
        <v>139</v>
      </c>
      <c r="BK37"/>
      <c r="BL37"/>
      <c r="BM37"/>
      <c r="BN37"/>
      <c r="BO37"/>
      <c r="BP37"/>
      <c r="BQ37"/>
      <c r="BR37"/>
      <c r="BS37"/>
      <c r="BT37" t="str">
        <f>HYPERLINK("https%3A%2F%2Fwww.webofscience.com%2Fwos%2Fwoscc%2Ffull-record%2F","View Full Record in Web of Science")</f>
        <v>View Full Record in Web of Science</v>
      </c>
    </row>
    <row r="38" spans="1:72" customHeight="1" ht="12.75">
      <c r="A38" t="s">
        <v>72</v>
      </c>
      <c r="B38" t="s">
        <v>383</v>
      </c>
      <c r="C38"/>
      <c r="D38"/>
      <c r="E38"/>
      <c r="F38" t="s">
        <v>384</v>
      </c>
      <c r="G38"/>
      <c r="H38"/>
      <c r="I38" t="s">
        <v>347</v>
      </c>
      <c r="J38" t="s">
        <v>237</v>
      </c>
      <c r="K38"/>
      <c r="L38"/>
      <c r="M38"/>
      <c r="N38" t="s">
        <v>349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>
        <v>0.0</v>
      </c>
      <c r="AI38">
        <v>0.0</v>
      </c>
      <c r="AJ38"/>
      <c r="AK38"/>
      <c r="AL38"/>
      <c r="AM38"/>
      <c r="AN38"/>
      <c r="AO38" t="s">
        <v>240</v>
      </c>
      <c r="AP38" t="s">
        <v>241</v>
      </c>
      <c r="AQ38"/>
      <c r="AR38"/>
      <c r="AS38"/>
      <c r="AT38" t="s">
        <v>385</v>
      </c>
      <c r="AU38">
        <v>2016</v>
      </c>
      <c r="AV38">
        <v>23</v>
      </c>
      <c r="AW38">
        <v>3</v>
      </c>
      <c r="AX38"/>
      <c r="AY38"/>
      <c r="AZ38"/>
      <c r="BA38"/>
      <c r="BB38">
        <v>113</v>
      </c>
      <c r="BC38">
        <v>117</v>
      </c>
      <c r="BD38"/>
      <c r="BE38"/>
      <c r="BF38"/>
      <c r="BG38"/>
      <c r="BH38"/>
      <c r="BI38"/>
      <c r="BJ38" t="s">
        <v>243</v>
      </c>
      <c r="BK38"/>
      <c r="BL38"/>
      <c r="BM38"/>
      <c r="BN38"/>
      <c r="BO38"/>
      <c r="BP38"/>
      <c r="BQ38"/>
      <c r="BR38"/>
      <c r="BS38"/>
      <c r="BT38" t="str">
        <f>HYPERLINK("https%3A%2F%2Fwww.webofscience.com%2Fwos%2Fwoscc%2Ffull-record%2F","View Full Record in Web of Science")</f>
        <v>View Full Record in Web of Science</v>
      </c>
    </row>
    <row r="39" spans="1:72" customHeight="1" ht="12.75">
      <c r="A39" t="s">
        <v>72</v>
      </c>
      <c r="B39" t="s">
        <v>386</v>
      </c>
      <c r="C39"/>
      <c r="D39"/>
      <c r="E39"/>
      <c r="F39" t="s">
        <v>387</v>
      </c>
      <c r="G39"/>
      <c r="H39"/>
      <c r="I39" t="s">
        <v>347</v>
      </c>
      <c r="J39" t="s">
        <v>203</v>
      </c>
      <c r="K39"/>
      <c r="L39"/>
      <c r="M39"/>
      <c r="N39" t="s">
        <v>349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>
        <v>2</v>
      </c>
      <c r="AI39">
        <v>2</v>
      </c>
      <c r="AJ39"/>
      <c r="AK39"/>
      <c r="AL39"/>
      <c r="AM39"/>
      <c r="AN39"/>
      <c r="AO39" t="s">
        <v>206</v>
      </c>
      <c r="AP39" t="s">
        <v>207</v>
      </c>
      <c r="AQ39"/>
      <c r="AR39"/>
      <c r="AS39"/>
      <c r="AT39" t="s">
        <v>208</v>
      </c>
      <c r="AU39">
        <v>2015</v>
      </c>
      <c r="AV39">
        <v>33</v>
      </c>
      <c r="AW39">
        <v>1</v>
      </c>
      <c r="AX39"/>
      <c r="AY39"/>
      <c r="AZ39"/>
      <c r="BA39"/>
      <c r="BB39">
        <v>123</v>
      </c>
      <c r="BC39">
        <v>125</v>
      </c>
      <c r="BD39"/>
      <c r="BE39" t="s">
        <v>388</v>
      </c>
      <c r="BF39" t="str">
        <f>HYPERLINK("http://dx.doi.org/10.1080/08111146.2014.967443","http://dx.doi.org/10.1080/08111146.2014.967443")</f>
        <v>http://dx.doi.org/10.1080/08111146.2014.967443</v>
      </c>
      <c r="BG39"/>
      <c r="BH39"/>
      <c r="BI39"/>
      <c r="BJ39" t="s">
        <v>210</v>
      </c>
      <c r="BK39"/>
      <c r="BL39"/>
      <c r="BM39"/>
      <c r="BN39"/>
      <c r="BO39"/>
      <c r="BP39"/>
      <c r="BQ39"/>
      <c r="BR39"/>
      <c r="BS39"/>
      <c r="BT39" t="str">
        <f>HYPERLINK("https%3A%2F%2Fwww.webofscience.com%2Fwos%2Fwoscc%2Ffull-record%2F","View Full Record in Web of Science")</f>
        <v>View Full Record in Web of Science</v>
      </c>
    </row>
    <row r="40" spans="1:72" customHeight="1" ht="12.75">
      <c r="A40" t="s">
        <v>72</v>
      </c>
      <c r="B40" t="s">
        <v>389</v>
      </c>
      <c r="C40"/>
      <c r="D40"/>
      <c r="E40"/>
      <c r="F40" t="s">
        <v>390</v>
      </c>
      <c r="G40"/>
      <c r="H40"/>
      <c r="I40" t="s">
        <v>391</v>
      </c>
      <c r="J40" t="s">
        <v>87</v>
      </c>
      <c r="K40"/>
      <c r="L40"/>
      <c r="M40"/>
      <c r="N40" t="s">
        <v>112</v>
      </c>
      <c r="O40"/>
      <c r="P40"/>
      <c r="Q40"/>
      <c r="R40"/>
      <c r="S40"/>
      <c r="T40" t="s">
        <v>392</v>
      </c>
      <c r="U40" t="s">
        <v>393</v>
      </c>
      <c r="V40"/>
      <c r="W40"/>
      <c r="X40"/>
      <c r="Y40"/>
      <c r="Z40"/>
      <c r="AA40"/>
      <c r="AB40"/>
      <c r="AC40"/>
      <c r="AD40"/>
      <c r="AE40"/>
      <c r="AF40"/>
      <c r="AG40"/>
      <c r="AH40">
        <v>25</v>
      </c>
      <c r="AI40">
        <v>26</v>
      </c>
      <c r="AJ40"/>
      <c r="AK40"/>
      <c r="AL40"/>
      <c r="AM40"/>
      <c r="AN40"/>
      <c r="AO40" t="s">
        <v>90</v>
      </c>
      <c r="AP40" t="s">
        <v>91</v>
      </c>
      <c r="AQ40"/>
      <c r="AR40"/>
      <c r="AS40"/>
      <c r="AT40" t="s">
        <v>394</v>
      </c>
      <c r="AU40">
        <v>2018</v>
      </c>
      <c r="AV40">
        <v>85</v>
      </c>
      <c r="AW40"/>
      <c r="AX40"/>
      <c r="AY40"/>
      <c r="AZ40"/>
      <c r="BA40"/>
      <c r="BB40">
        <v>276</v>
      </c>
      <c r="BC40">
        <v>284</v>
      </c>
      <c r="BD40"/>
      <c r="BE40" t="s">
        <v>395</v>
      </c>
      <c r="BF40" t="str">
        <f>HYPERLINK("http://dx.doi.org/10.1016/j.ecolind.2017.10.043","http://dx.doi.org/10.1016/j.ecolind.2017.10.043")</f>
        <v>http://dx.doi.org/10.1016/j.ecolind.2017.10.043</v>
      </c>
      <c r="BG40"/>
      <c r="BH40"/>
      <c r="BI40"/>
      <c r="BJ40" t="s">
        <v>94</v>
      </c>
      <c r="BK40"/>
      <c r="BL40"/>
      <c r="BM40"/>
      <c r="BN40"/>
      <c r="BO40"/>
      <c r="BP40"/>
      <c r="BQ40"/>
      <c r="BR40"/>
      <c r="BS40"/>
      <c r="BT40" t="str">
        <f>HYPERLINK("https%3A%2F%2Fwww.webofscience.com%2Fwos%2Fwoscc%2Ffull-record%2F","View Full Record in Web of Science")</f>
        <v>View Full Record in Web of Science</v>
      </c>
    </row>
    <row r="41" spans="1:72" customHeight="1" ht="12.75">
      <c r="A41" t="s">
        <v>72</v>
      </c>
      <c r="B41" t="s">
        <v>396</v>
      </c>
      <c r="C41"/>
      <c r="D41"/>
      <c r="E41"/>
      <c r="F41" t="s">
        <v>397</v>
      </c>
      <c r="G41"/>
      <c r="H41"/>
      <c r="I41" t="s">
        <v>398</v>
      </c>
      <c r="J41" t="s">
        <v>399</v>
      </c>
      <c r="K41"/>
      <c r="L41"/>
      <c r="M41"/>
      <c r="N41" t="s">
        <v>112</v>
      </c>
      <c r="O41"/>
      <c r="P41"/>
      <c r="Q41"/>
      <c r="R41"/>
      <c r="S41"/>
      <c r="T41" t="s">
        <v>400</v>
      </c>
      <c r="U41" t="s">
        <v>401</v>
      </c>
      <c r="V41"/>
      <c r="W41"/>
      <c r="X41"/>
      <c r="Y41"/>
      <c r="Z41"/>
      <c r="AA41"/>
      <c r="AB41"/>
      <c r="AC41"/>
      <c r="AD41"/>
      <c r="AE41"/>
      <c r="AF41"/>
      <c r="AG41"/>
      <c r="AH41">
        <v>66</v>
      </c>
      <c r="AI41">
        <v>68</v>
      </c>
      <c r="AJ41"/>
      <c r="AK41"/>
      <c r="AL41"/>
      <c r="AM41"/>
      <c r="AN41"/>
      <c r="AO41" t="s">
        <v>402</v>
      </c>
      <c r="AP41" t="s">
        <v>403</v>
      </c>
      <c r="AQ41"/>
      <c r="AR41"/>
      <c r="AS41"/>
      <c r="AT41" t="s">
        <v>404</v>
      </c>
      <c r="AU41">
        <v>2012</v>
      </c>
      <c r="AV41">
        <v>32</v>
      </c>
      <c r="AW41">
        <v>1</v>
      </c>
      <c r="AX41"/>
      <c r="AY41"/>
      <c r="AZ41"/>
      <c r="BA41"/>
      <c r="BB41">
        <v>220</v>
      </c>
      <c r="BC41">
        <v>225</v>
      </c>
      <c r="BD41"/>
      <c r="BE41" t="s">
        <v>405</v>
      </c>
      <c r="BF41" t="str">
        <f>HYPERLINK("http://dx.doi.org/10.1016/j.wasman.2011.08.018","http://dx.doi.org/10.1016/j.wasman.2011.08.018")</f>
        <v>http://dx.doi.org/10.1016/j.wasman.2011.08.018</v>
      </c>
      <c r="BG41"/>
      <c r="BH41"/>
      <c r="BI41"/>
      <c r="BJ41" t="s">
        <v>119</v>
      </c>
      <c r="BK41"/>
      <c r="BL41"/>
      <c r="BM41"/>
      <c r="BN41"/>
      <c r="BO41"/>
      <c r="BP41"/>
      <c r="BQ41"/>
      <c r="BR41"/>
      <c r="BS41"/>
      <c r="BT41" t="str">
        <f>HYPERLINK("https%3A%2F%2Fwww.webofscience.com%2Fwos%2Fwoscc%2Ffull-record%2F","View Full Record in Web of Science")</f>
        <v>View Full Record in Web of Science</v>
      </c>
    </row>
    <row r="42" spans="1:72" customHeight="1" ht="12.75">
      <c r="A42" t="s">
        <v>72</v>
      </c>
      <c r="B42" t="s">
        <v>406</v>
      </c>
      <c r="C42"/>
      <c r="D42"/>
      <c r="E42"/>
      <c r="F42" t="s">
        <v>407</v>
      </c>
      <c r="G42"/>
      <c r="H42"/>
      <c r="I42" t="s">
        <v>408</v>
      </c>
      <c r="J42" t="s">
        <v>133</v>
      </c>
      <c r="K42"/>
      <c r="L42"/>
      <c r="M42"/>
      <c r="N42" t="s">
        <v>167</v>
      </c>
      <c r="O42"/>
      <c r="P42"/>
      <c r="Q42"/>
      <c r="R42"/>
      <c r="S42"/>
      <c r="T42"/>
      <c r="U42" t="s">
        <v>409</v>
      </c>
      <c r="V42"/>
      <c r="W42"/>
      <c r="X42"/>
      <c r="Y42"/>
      <c r="Z42"/>
      <c r="AA42"/>
      <c r="AB42"/>
      <c r="AC42"/>
      <c r="AD42"/>
      <c r="AE42"/>
      <c r="AF42"/>
      <c r="AG42"/>
      <c r="AH42">
        <v>85</v>
      </c>
      <c r="AI42">
        <v>91</v>
      </c>
      <c r="AJ42"/>
      <c r="AK42"/>
      <c r="AL42"/>
      <c r="AM42"/>
      <c r="AN42"/>
      <c r="AO42" t="s">
        <v>136</v>
      </c>
      <c r="AP42"/>
      <c r="AQ42"/>
      <c r="AR42"/>
      <c r="AS42"/>
      <c r="AT42" t="s">
        <v>128</v>
      </c>
      <c r="AU42">
        <v>2012</v>
      </c>
      <c r="AV42">
        <v>16</v>
      </c>
      <c r="AW42">
        <v>6</v>
      </c>
      <c r="AX42"/>
      <c r="AY42"/>
      <c r="AZ42" t="s">
        <v>222</v>
      </c>
      <c r="BA42"/>
      <c r="BB42">
        <v>780</v>
      </c>
      <c r="BC42">
        <v>782</v>
      </c>
      <c r="BD42"/>
      <c r="BE42" t="s">
        <v>410</v>
      </c>
      <c r="BF42" t="str">
        <f>HYPERLINK("http://dx.doi.org/10.1111/j.1530-9290.2012.00548.x","http://dx.doi.org/10.1111/j.1530-9290.2012.00548.x")</f>
        <v>http://dx.doi.org/10.1111/j.1530-9290.2012.00548.x</v>
      </c>
      <c r="BG42"/>
      <c r="BH42"/>
      <c r="BI42"/>
      <c r="BJ42" t="s">
        <v>139</v>
      </c>
      <c r="BK42"/>
      <c r="BL42"/>
      <c r="BM42"/>
      <c r="BN42"/>
      <c r="BO42"/>
      <c r="BP42"/>
      <c r="BQ42"/>
      <c r="BR42"/>
      <c r="BS42"/>
      <c r="BT42" t="str">
        <f>HYPERLINK("https%3A%2F%2Fwww.webofscience.com%2Fwos%2Fwoscc%2Ffull-record%2F","View Full Record in Web of Science")</f>
        <v>View Full Record in Web of Science</v>
      </c>
    </row>
    <row r="43" spans="1:72" customHeight="1" ht="12.75">
      <c r="A43" t="s">
        <v>72</v>
      </c>
      <c r="B43" t="s">
        <v>411</v>
      </c>
      <c r="C43"/>
      <c r="D43"/>
      <c r="E43"/>
      <c r="F43" t="s">
        <v>412</v>
      </c>
      <c r="G43"/>
      <c r="H43"/>
      <c r="I43" t="s">
        <v>413</v>
      </c>
      <c r="J43" t="s">
        <v>414</v>
      </c>
      <c r="K43"/>
      <c r="L43"/>
      <c r="M43"/>
      <c r="N43" t="s">
        <v>325</v>
      </c>
      <c r="O43"/>
      <c r="P43"/>
      <c r="Q43"/>
      <c r="R43"/>
      <c r="S43"/>
      <c r="T43" t="s">
        <v>415</v>
      </c>
      <c r="U43" t="s">
        <v>416</v>
      </c>
      <c r="V43"/>
      <c r="W43"/>
      <c r="X43"/>
      <c r="Y43"/>
      <c r="Z43"/>
      <c r="AA43"/>
      <c r="AB43"/>
      <c r="AC43"/>
      <c r="AD43"/>
      <c r="AE43"/>
      <c r="AF43"/>
      <c r="AG43"/>
      <c r="AH43">
        <v>4</v>
      </c>
      <c r="AI43">
        <v>4</v>
      </c>
      <c r="AJ43"/>
      <c r="AK43"/>
      <c r="AL43"/>
      <c r="AM43"/>
      <c r="AN43"/>
      <c r="AO43" t="s">
        <v>417</v>
      </c>
      <c r="AP43" t="s">
        <v>418</v>
      </c>
      <c r="AQ43"/>
      <c r="AR43"/>
      <c r="AS43"/>
      <c r="AT43" t="s">
        <v>419</v>
      </c>
      <c r="AU43">
        <v>2021</v>
      </c>
      <c r="AV43">
        <v>29</v>
      </c>
      <c r="AW43">
        <v>3</v>
      </c>
      <c r="AX43"/>
      <c r="AY43"/>
      <c r="AZ43"/>
      <c r="BA43"/>
      <c r="BB43">
        <v>411</v>
      </c>
      <c r="BC43">
        <v>424</v>
      </c>
      <c r="BD43"/>
      <c r="BE43" t="s">
        <v>420</v>
      </c>
      <c r="BF43" t="str">
        <f>HYPERLINK("http://dx.doi.org/10.1080/09654313.2020.1740173","http://dx.doi.org/10.1080/09654313.2020.1740173")</f>
        <v>http://dx.doi.org/10.1080/09654313.2020.1740173</v>
      </c>
      <c r="BG43"/>
      <c r="BH43" t="s">
        <v>421</v>
      </c>
      <c r="BI43"/>
      <c r="BJ43" t="s">
        <v>210</v>
      </c>
      <c r="BK43"/>
      <c r="BL43"/>
      <c r="BM43"/>
      <c r="BN43"/>
      <c r="BO43"/>
      <c r="BP43"/>
      <c r="BQ43"/>
      <c r="BR43"/>
      <c r="BS43"/>
      <c r="BT43" t="str">
        <f>HYPERLINK("https%3A%2F%2Fwww.webofscience.com%2Fwos%2Fwoscc%2Ffull-record%2F","View Full Record in Web of Science")</f>
        <v>View Full Record in Web of Science</v>
      </c>
    </row>
    <row r="44" spans="1:72" customHeight="1" ht="12.75">
      <c r="A44" t="s">
        <v>72</v>
      </c>
      <c r="B44" t="s">
        <v>422</v>
      </c>
      <c r="C44"/>
      <c r="D44"/>
      <c r="E44"/>
      <c r="F44" t="s">
        <v>423</v>
      </c>
      <c r="G44"/>
      <c r="H44"/>
      <c r="I44" t="s">
        <v>424</v>
      </c>
      <c r="J44" t="s">
        <v>111</v>
      </c>
      <c r="K44"/>
      <c r="L44"/>
      <c r="M44"/>
      <c r="N44" t="s">
        <v>112</v>
      </c>
      <c r="O44"/>
      <c r="P44"/>
      <c r="Q44"/>
      <c r="R44"/>
      <c r="S44"/>
      <c r="T44" t="s">
        <v>425</v>
      </c>
      <c r="U44" t="s">
        <v>426</v>
      </c>
      <c r="V44"/>
      <c r="W44"/>
      <c r="X44"/>
      <c r="Y44"/>
      <c r="Z44"/>
      <c r="AA44"/>
      <c r="AB44"/>
      <c r="AC44"/>
      <c r="AD44"/>
      <c r="AE44"/>
      <c r="AF44"/>
      <c r="AG44"/>
      <c r="AH44">
        <v>10</v>
      </c>
      <c r="AI44">
        <v>13</v>
      </c>
      <c r="AJ44"/>
      <c r="AK44"/>
      <c r="AL44"/>
      <c r="AM44"/>
      <c r="AN44"/>
      <c r="AO44" t="s">
        <v>115</v>
      </c>
      <c r="AP44" t="s">
        <v>116</v>
      </c>
      <c r="AQ44"/>
      <c r="AR44"/>
      <c r="AS44"/>
      <c r="AT44" t="s">
        <v>404</v>
      </c>
      <c r="AU44">
        <v>2018</v>
      </c>
      <c r="AV44">
        <v>128</v>
      </c>
      <c r="AW44"/>
      <c r="AX44"/>
      <c r="AY44"/>
      <c r="AZ44"/>
      <c r="BA44"/>
      <c r="BB44">
        <v>479</v>
      </c>
      <c r="BC44">
        <v>488</v>
      </c>
      <c r="BD44"/>
      <c r="BE44" t="s">
        <v>427</v>
      </c>
      <c r="BF44" t="str">
        <f>HYPERLINK("http://dx.doi.org/10.1016/j.resconrec.2016.09.009","http://dx.doi.org/10.1016/j.resconrec.2016.09.009")</f>
        <v>http://dx.doi.org/10.1016/j.resconrec.2016.09.009</v>
      </c>
      <c r="BG44"/>
      <c r="BH44"/>
      <c r="BI44"/>
      <c r="BJ44" t="s">
        <v>119</v>
      </c>
      <c r="BK44"/>
      <c r="BL44"/>
      <c r="BM44"/>
      <c r="BN44"/>
      <c r="BO44"/>
      <c r="BP44"/>
      <c r="BQ44"/>
      <c r="BR44"/>
      <c r="BS44"/>
      <c r="BT44" t="str">
        <f>HYPERLINK("https%3A%2F%2Fwww.webofscience.com%2Fwos%2Fwoscc%2Ffull-record%2F","View Full Record in Web of Science")</f>
        <v>View Full Record in Web of Science</v>
      </c>
    </row>
    <row r="45" spans="1:72" customHeight="1" ht="12.75">
      <c r="A45" t="s">
        <v>72</v>
      </c>
      <c r="B45" t="s">
        <v>428</v>
      </c>
      <c r="C45"/>
      <c r="D45"/>
      <c r="E45"/>
      <c r="F45" t="s">
        <v>429</v>
      </c>
      <c r="G45"/>
      <c r="H45"/>
      <c r="I45" t="s">
        <v>430</v>
      </c>
      <c r="J45" t="s">
        <v>431</v>
      </c>
      <c r="K45"/>
      <c r="L45"/>
      <c r="M45"/>
      <c r="N45" t="s">
        <v>112</v>
      </c>
      <c r="O45"/>
      <c r="P45"/>
      <c r="Q45"/>
      <c r="R45"/>
      <c r="S45"/>
      <c r="T45" t="s">
        <v>432</v>
      </c>
      <c r="U45" t="s">
        <v>433</v>
      </c>
      <c r="V45"/>
      <c r="W45"/>
      <c r="X45"/>
      <c r="Y45"/>
      <c r="Z45"/>
      <c r="AA45"/>
      <c r="AB45"/>
      <c r="AC45"/>
      <c r="AD45"/>
      <c r="AE45"/>
      <c r="AF45"/>
      <c r="AG45"/>
      <c r="AH45">
        <v>79</v>
      </c>
      <c r="AI45">
        <v>85</v>
      </c>
      <c r="AJ45"/>
      <c r="AK45"/>
      <c r="AL45"/>
      <c r="AM45"/>
      <c r="AN45"/>
      <c r="AO45" t="s">
        <v>434</v>
      </c>
      <c r="AP45" t="s">
        <v>435</v>
      </c>
      <c r="AQ45"/>
      <c r="AR45"/>
      <c r="AS45"/>
      <c r="AT45" t="s">
        <v>404</v>
      </c>
      <c r="AU45">
        <v>2013</v>
      </c>
      <c r="AV45">
        <v>38</v>
      </c>
      <c r="AW45"/>
      <c r="AX45"/>
      <c r="AY45"/>
      <c r="AZ45"/>
      <c r="BA45"/>
      <c r="BB45">
        <v>109</v>
      </c>
      <c r="BC45">
        <v>119</v>
      </c>
      <c r="BD45"/>
      <c r="BE45" t="s">
        <v>436</v>
      </c>
      <c r="BF45" t="str">
        <f>HYPERLINK("http://dx.doi.org/10.1016/j.eiar.2012.06.007","http://dx.doi.org/10.1016/j.eiar.2012.06.007")</f>
        <v>http://dx.doi.org/10.1016/j.eiar.2012.06.007</v>
      </c>
      <c r="BG45"/>
      <c r="BH45"/>
      <c r="BI45"/>
      <c r="BJ45" t="s">
        <v>359</v>
      </c>
      <c r="BK45"/>
      <c r="BL45"/>
      <c r="BM45"/>
      <c r="BN45"/>
      <c r="BO45"/>
      <c r="BP45"/>
      <c r="BQ45"/>
      <c r="BR45"/>
      <c r="BS45"/>
      <c r="BT45" t="str">
        <f>HYPERLINK("https%3A%2F%2Fwww.webofscience.com%2Fwos%2Fwoscc%2Ffull-record%2F","View Full Record in Web of Science")</f>
        <v>View Full Record in Web of Science</v>
      </c>
    </row>
    <row r="46" spans="1:72" customHeight="1" ht="12.75">
      <c r="A46" t="s">
        <v>72</v>
      </c>
      <c r="B46" t="s">
        <v>437</v>
      </c>
      <c r="C46"/>
      <c r="D46"/>
      <c r="E46"/>
      <c r="F46" t="s">
        <v>438</v>
      </c>
      <c r="G46"/>
      <c r="H46"/>
      <c r="I46" t="s">
        <v>439</v>
      </c>
      <c r="J46" t="s">
        <v>133</v>
      </c>
      <c r="K46"/>
      <c r="L46"/>
      <c r="M46"/>
      <c r="N46" t="s">
        <v>325</v>
      </c>
      <c r="O46"/>
      <c r="P46"/>
      <c r="Q46"/>
      <c r="R46"/>
      <c r="S46"/>
      <c r="T46" t="s">
        <v>440</v>
      </c>
      <c r="U46" t="s">
        <v>441</v>
      </c>
      <c r="V46"/>
      <c r="W46"/>
      <c r="X46"/>
      <c r="Y46"/>
      <c r="Z46"/>
      <c r="AA46"/>
      <c r="AB46"/>
      <c r="AC46"/>
      <c r="AD46"/>
      <c r="AE46"/>
      <c r="AF46"/>
      <c r="AG46"/>
      <c r="AH46">
        <v>1</v>
      </c>
      <c r="AI46">
        <v>1</v>
      </c>
      <c r="AJ46"/>
      <c r="AK46"/>
      <c r="AL46"/>
      <c r="AM46"/>
      <c r="AN46"/>
      <c r="AO46" t="s">
        <v>136</v>
      </c>
      <c r="AP46" t="s">
        <v>137</v>
      </c>
      <c r="AQ46"/>
      <c r="AR46"/>
      <c r="AS46"/>
      <c r="AT46" t="s">
        <v>442</v>
      </c>
      <c r="AU46">
        <v>2023</v>
      </c>
      <c r="AV46">
        <v>27</v>
      </c>
      <c r="AW46">
        <v>1</v>
      </c>
      <c r="AX46"/>
      <c r="AY46"/>
      <c r="AZ46"/>
      <c r="BA46"/>
      <c r="BB46">
        <v>196</v>
      </c>
      <c r="BC46">
        <v>209</v>
      </c>
      <c r="BD46"/>
      <c r="BE46" t="s">
        <v>443</v>
      </c>
      <c r="BF46" t="str">
        <f>HYPERLINK("http://dx.doi.org/10.1111/jiec.13361","http://dx.doi.org/10.1111/jiec.13361")</f>
        <v>http://dx.doi.org/10.1111/jiec.13361</v>
      </c>
      <c r="BG46"/>
      <c r="BH46" t="s">
        <v>444</v>
      </c>
      <c r="BI46"/>
      <c r="BJ46" t="s">
        <v>139</v>
      </c>
      <c r="BK46"/>
      <c r="BL46"/>
      <c r="BM46"/>
      <c r="BN46"/>
      <c r="BO46"/>
      <c r="BP46"/>
      <c r="BQ46"/>
      <c r="BR46"/>
      <c r="BS46"/>
      <c r="BT46" t="str">
        <f>HYPERLINK("https%3A%2F%2Fwww.webofscience.com%2Fwos%2Fwoscc%2Ffull-record%2F","View Full Record in Web of Science")</f>
        <v>View Full Record in Web of Science</v>
      </c>
    </row>
    <row r="47" spans="1:72" customHeight="1" ht="12.75">
      <c r="A47" t="s">
        <v>72</v>
      </c>
      <c r="B47" t="s">
        <v>445</v>
      </c>
      <c r="C47"/>
      <c r="D47"/>
      <c r="E47"/>
      <c r="F47" t="s">
        <v>446</v>
      </c>
      <c r="G47"/>
      <c r="H47"/>
      <c r="I47" t="s">
        <v>447</v>
      </c>
      <c r="J47" t="s">
        <v>448</v>
      </c>
      <c r="K47"/>
      <c r="L47"/>
      <c r="M47"/>
      <c r="N47" t="s">
        <v>112</v>
      </c>
      <c r="O47"/>
      <c r="P47"/>
      <c r="Q47"/>
      <c r="R47"/>
      <c r="S47"/>
      <c r="T47" t="s">
        <v>449</v>
      </c>
      <c r="U47" t="s">
        <v>450</v>
      </c>
      <c r="V47"/>
      <c r="W47"/>
      <c r="X47"/>
      <c r="Y47"/>
      <c r="Z47"/>
      <c r="AA47"/>
      <c r="AB47"/>
      <c r="AC47"/>
      <c r="AD47"/>
      <c r="AE47"/>
      <c r="AF47"/>
      <c r="AG47"/>
      <c r="AH47">
        <v>1</v>
      </c>
      <c r="AI47">
        <v>1</v>
      </c>
      <c r="AJ47"/>
      <c r="AK47"/>
      <c r="AL47"/>
      <c r="AM47"/>
      <c r="AN47"/>
      <c r="AO47" t="s">
        <v>451</v>
      </c>
      <c r="AP47"/>
      <c r="AQ47"/>
      <c r="AR47"/>
      <c r="AS47"/>
      <c r="AT47" t="s">
        <v>128</v>
      </c>
      <c r="AU47">
        <v>2017</v>
      </c>
      <c r="AV47">
        <v>12</v>
      </c>
      <c r="AW47">
        <v>12</v>
      </c>
      <c r="AX47"/>
      <c r="AY47"/>
      <c r="AZ47"/>
      <c r="BA47"/>
      <c r="BB47"/>
      <c r="BC47"/>
      <c r="BD47">
        <v>125006</v>
      </c>
      <c r="BE47" t="s">
        <v>452</v>
      </c>
      <c r="BF47" t="str">
        <f>HYPERLINK("http://dx.doi.org/10.1088/1748-9326/aa7c21","http://dx.doi.org/10.1088/1748-9326/aa7c21")</f>
        <v>http://dx.doi.org/10.1088/1748-9326/aa7c21</v>
      </c>
      <c r="BG47"/>
      <c r="BH47"/>
      <c r="BI47"/>
      <c r="BJ47" t="s">
        <v>453</v>
      </c>
      <c r="BK47"/>
      <c r="BL47"/>
      <c r="BM47"/>
      <c r="BN47"/>
      <c r="BO47"/>
      <c r="BP47"/>
      <c r="BQ47"/>
      <c r="BR47"/>
      <c r="BS47"/>
      <c r="BT47" t="str">
        <f>HYPERLINK("https%3A%2F%2Fwww.webofscience.com%2Fwos%2Fwoscc%2Ffull-record%2F","View Full Record in Web of Science")</f>
        <v>View Full Record in Web of Science</v>
      </c>
    </row>
    <row r="48" spans="1:72" customHeight="1" ht="12.75">
      <c r="A48" t="s">
        <v>72</v>
      </c>
      <c r="B48" t="s">
        <v>454</v>
      </c>
      <c r="C48"/>
      <c r="D48"/>
      <c r="E48"/>
      <c r="F48" t="s">
        <v>455</v>
      </c>
      <c r="G48"/>
      <c r="H48"/>
      <c r="I48" t="s">
        <v>456</v>
      </c>
      <c r="J48" t="s">
        <v>457</v>
      </c>
      <c r="K48"/>
      <c r="L48"/>
      <c r="M48"/>
      <c r="N48" t="s">
        <v>167</v>
      </c>
      <c r="O48"/>
      <c r="P48"/>
      <c r="Q48"/>
      <c r="R48"/>
      <c r="S48"/>
      <c r="T48"/>
      <c r="U48" t="s">
        <v>409</v>
      </c>
      <c r="V48"/>
      <c r="W48"/>
      <c r="X48"/>
      <c r="Y48"/>
      <c r="Z48"/>
      <c r="AA48"/>
      <c r="AB48"/>
      <c r="AC48"/>
      <c r="AD48"/>
      <c r="AE48"/>
      <c r="AF48"/>
      <c r="AG48"/>
      <c r="AH48">
        <v>2</v>
      </c>
      <c r="AI48">
        <v>3</v>
      </c>
      <c r="AJ48"/>
      <c r="AK48"/>
      <c r="AL48"/>
      <c r="AM48"/>
      <c r="AN48"/>
      <c r="AO48"/>
      <c r="AP48" t="s">
        <v>458</v>
      </c>
      <c r="AQ48"/>
      <c r="AR48"/>
      <c r="AS48"/>
      <c r="AT48" t="s">
        <v>404</v>
      </c>
      <c r="AU48">
        <v>2020</v>
      </c>
      <c r="AV48">
        <v>12</v>
      </c>
      <c r="AW48">
        <v>1</v>
      </c>
      <c r="AX48"/>
      <c r="AY48"/>
      <c r="AZ48"/>
      <c r="BA48"/>
      <c r="BB48"/>
      <c r="BC48"/>
      <c r="BD48">
        <v>353</v>
      </c>
      <c r="BE48" t="s">
        <v>459</v>
      </c>
      <c r="BF48" t="str">
        <f>HYPERLINK("http://dx.doi.org/10.3390/su12010353","http://dx.doi.org/10.3390/su12010353")</f>
        <v>http://dx.doi.org/10.3390/su12010353</v>
      </c>
      <c r="BG48"/>
      <c r="BH48"/>
      <c r="BI48"/>
      <c r="BJ48" t="s">
        <v>460</v>
      </c>
      <c r="BK48"/>
      <c r="BL48"/>
      <c r="BM48"/>
      <c r="BN48"/>
      <c r="BO48"/>
      <c r="BP48"/>
      <c r="BQ48"/>
      <c r="BR48"/>
      <c r="BS48"/>
      <c r="BT48" t="str">
        <f>HYPERLINK("https%3A%2F%2Fwww.webofscience.com%2Fwos%2Fwoscc%2Ffull-record%2F","View Full Record in Web of Science")</f>
        <v>View Full Record in Web of Science</v>
      </c>
    </row>
    <row r="49" spans="1:72" customHeight="1" ht="12.75">
      <c r="A49" t="s">
        <v>72</v>
      </c>
      <c r="B49" t="s">
        <v>461</v>
      </c>
      <c r="C49"/>
      <c r="D49"/>
      <c r="E49"/>
      <c r="F49" t="s">
        <v>462</v>
      </c>
      <c r="G49"/>
      <c r="H49"/>
      <c r="I49" t="s">
        <v>463</v>
      </c>
      <c r="J49" t="s">
        <v>464</v>
      </c>
      <c r="K49"/>
      <c r="L49"/>
      <c r="M49"/>
      <c r="N49" t="s">
        <v>167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>
        <v>0.0</v>
      </c>
      <c r="AI49">
        <v>0.0</v>
      </c>
      <c r="AJ49"/>
      <c r="AK49"/>
      <c r="AL49"/>
      <c r="AM49"/>
      <c r="AN49"/>
      <c r="AO49" t="s">
        <v>465</v>
      </c>
      <c r="AP49" t="s">
        <v>466</v>
      </c>
      <c r="AQ49"/>
      <c r="AR49"/>
      <c r="AS49"/>
      <c r="AT49" t="s">
        <v>128</v>
      </c>
      <c r="AU49">
        <v>2016</v>
      </c>
      <c r="AV49">
        <v>19</v>
      </c>
      <c r="AW49">
        <v>4</v>
      </c>
      <c r="AX49"/>
      <c r="AY49"/>
      <c r="AZ49"/>
      <c r="BA49"/>
      <c r="BB49">
        <v>1419</v>
      </c>
      <c r="BC49">
        <v>1420</v>
      </c>
      <c r="BD49"/>
      <c r="BE49" t="s">
        <v>467</v>
      </c>
      <c r="BF49" t="str">
        <f>HYPERLINK("http://dx.doi.org/10.1007/s11252-016-0615-4","http://dx.doi.org/10.1007/s11252-016-0615-4")</f>
        <v>http://dx.doi.org/10.1007/s11252-016-0615-4</v>
      </c>
      <c r="BG49"/>
      <c r="BH49"/>
      <c r="BI49"/>
      <c r="BJ49" t="s">
        <v>468</v>
      </c>
      <c r="BK49"/>
      <c r="BL49"/>
      <c r="BM49"/>
      <c r="BN49"/>
      <c r="BO49"/>
      <c r="BP49"/>
      <c r="BQ49"/>
      <c r="BR49"/>
      <c r="BS49"/>
      <c r="BT49" t="str">
        <f>HYPERLINK("https%3A%2F%2Fwww.webofscience.com%2Fwos%2Fwoscc%2Ffull-record%2F","View Full Record in Web of Science")</f>
        <v>View Full Record in Web of Science</v>
      </c>
    </row>
    <row r="50" spans="1:72" customHeight="1" ht="12.75">
      <c r="A50" t="s">
        <v>72</v>
      </c>
      <c r="B50" t="s">
        <v>469</v>
      </c>
      <c r="C50"/>
      <c r="D50"/>
      <c r="E50"/>
      <c r="F50" t="s">
        <v>470</v>
      </c>
      <c r="G50"/>
      <c r="H50"/>
      <c r="I50" t="s">
        <v>471</v>
      </c>
      <c r="J50" t="s">
        <v>472</v>
      </c>
      <c r="K50"/>
      <c r="L50"/>
      <c r="M50"/>
      <c r="N50" t="s">
        <v>77</v>
      </c>
      <c r="O50"/>
      <c r="P50"/>
      <c r="Q50"/>
      <c r="R50"/>
      <c r="S50"/>
      <c r="T50" t="s">
        <v>473</v>
      </c>
      <c r="U50" t="s">
        <v>474</v>
      </c>
      <c r="V50"/>
      <c r="W50"/>
      <c r="X50"/>
      <c r="Y50"/>
      <c r="Z50"/>
      <c r="AA50"/>
      <c r="AB50"/>
      <c r="AC50"/>
      <c r="AD50"/>
      <c r="AE50"/>
      <c r="AF50"/>
      <c r="AG50"/>
      <c r="AH50">
        <v>12</v>
      </c>
      <c r="AI50">
        <v>12</v>
      </c>
      <c r="AJ50"/>
      <c r="AK50"/>
      <c r="AL50"/>
      <c r="AM50"/>
      <c r="AN50"/>
      <c r="AO50" t="s">
        <v>475</v>
      </c>
      <c r="AP50" t="s">
        <v>476</v>
      </c>
      <c r="AQ50"/>
      <c r="AR50"/>
      <c r="AS50"/>
      <c r="AT50" t="s">
        <v>404</v>
      </c>
      <c r="AU50">
        <v>2022</v>
      </c>
      <c r="AV50">
        <v>112</v>
      </c>
      <c r="AW50"/>
      <c r="AX50"/>
      <c r="AY50"/>
      <c r="AZ50"/>
      <c r="BA50"/>
      <c r="BB50"/>
      <c r="BC50"/>
      <c r="BD50">
        <v>105819</v>
      </c>
      <c r="BE50" t="s">
        <v>477</v>
      </c>
      <c r="BF50" t="str">
        <f>HYPERLINK("http://dx.doi.org/10.1016/j.landusepol.2021.105819","http://dx.doi.org/10.1016/j.landusepol.2021.105819")</f>
        <v>http://dx.doi.org/10.1016/j.landusepol.2021.105819</v>
      </c>
      <c r="BG50"/>
      <c r="BH50"/>
      <c r="BI50"/>
      <c r="BJ50" t="s">
        <v>359</v>
      </c>
      <c r="BK50"/>
      <c r="BL50"/>
      <c r="BM50"/>
      <c r="BN50"/>
      <c r="BO50"/>
      <c r="BP50"/>
      <c r="BQ50"/>
      <c r="BR50"/>
      <c r="BS50"/>
      <c r="BT50" t="str">
        <f>HYPERLINK("https%3A%2F%2Fwww.webofscience.com%2Fwos%2Fwoscc%2Ffull-record%2F","View Full Record in Web of Science")</f>
        <v>View Full Record in Web of Science</v>
      </c>
    </row>
    <row r="51" spans="1:72" customHeight="1" ht="12.75">
      <c r="A51" t="s">
        <v>72</v>
      </c>
      <c r="B51" t="s">
        <v>478</v>
      </c>
      <c r="C51"/>
      <c r="D51"/>
      <c r="E51"/>
      <c r="F51" t="s">
        <v>479</v>
      </c>
      <c r="G51"/>
      <c r="H51"/>
      <c r="I51" t="s">
        <v>480</v>
      </c>
      <c r="J51" t="s">
        <v>111</v>
      </c>
      <c r="K51"/>
      <c r="L51"/>
      <c r="M51"/>
      <c r="N51" t="s">
        <v>112</v>
      </c>
      <c r="O51"/>
      <c r="P51"/>
      <c r="Q51"/>
      <c r="R51"/>
      <c r="S51"/>
      <c r="T51" t="s">
        <v>481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>
        <v>67</v>
      </c>
      <c r="AI51">
        <v>70</v>
      </c>
      <c r="AJ51"/>
      <c r="AK51"/>
      <c r="AL51"/>
      <c r="AM51"/>
      <c r="AN51"/>
      <c r="AO51" t="s">
        <v>115</v>
      </c>
      <c r="AP51" t="s">
        <v>116</v>
      </c>
      <c r="AQ51"/>
      <c r="AR51"/>
      <c r="AS51"/>
      <c r="AT51" t="s">
        <v>117</v>
      </c>
      <c r="AU51">
        <v>2018</v>
      </c>
      <c r="AV51">
        <v>132</v>
      </c>
      <c r="AW51"/>
      <c r="AX51"/>
      <c r="AY51"/>
      <c r="AZ51"/>
      <c r="BA51"/>
      <c r="BB51">
        <v>218</v>
      </c>
      <c r="BC51">
        <v>229</v>
      </c>
      <c r="BD51"/>
      <c r="BE51" t="s">
        <v>482</v>
      </c>
      <c r="BF51" t="str">
        <f>HYPERLINK("http://dx.doi.org/10.1016/j.resconrec.2017.01.010","http://dx.doi.org/10.1016/j.resconrec.2017.01.010")</f>
        <v>http://dx.doi.org/10.1016/j.resconrec.2017.01.010</v>
      </c>
      <c r="BG51"/>
      <c r="BH51"/>
      <c r="BI51"/>
      <c r="BJ51" t="s">
        <v>119</v>
      </c>
      <c r="BK51"/>
      <c r="BL51"/>
      <c r="BM51"/>
      <c r="BN51"/>
      <c r="BO51"/>
      <c r="BP51"/>
      <c r="BQ51"/>
      <c r="BR51"/>
      <c r="BS51"/>
      <c r="BT51" t="str">
        <f>HYPERLINK("https%3A%2F%2Fwww.webofscience.com%2Fwos%2Fwoscc%2Ffull-record%2F","View Full Record in Web of Science")</f>
        <v>View Full Record in Web of Science</v>
      </c>
    </row>
    <row r="52" spans="1:72" customHeight="1" ht="12.75">
      <c r="A52" t="s">
        <v>72</v>
      </c>
      <c r="B52" t="s">
        <v>483</v>
      </c>
      <c r="C52"/>
      <c r="D52"/>
      <c r="E52"/>
      <c r="F52" t="s">
        <v>484</v>
      </c>
      <c r="G52"/>
      <c r="H52"/>
      <c r="I52" t="s">
        <v>485</v>
      </c>
      <c r="J52" t="s">
        <v>486</v>
      </c>
      <c r="K52"/>
      <c r="L52"/>
      <c r="M52"/>
      <c r="N52" t="s">
        <v>112</v>
      </c>
      <c r="O52"/>
      <c r="P52"/>
      <c r="Q52"/>
      <c r="R52"/>
      <c r="S52"/>
      <c r="T52" t="s">
        <v>487</v>
      </c>
      <c r="U52" t="s">
        <v>488</v>
      </c>
      <c r="V52"/>
      <c r="W52"/>
      <c r="X52"/>
      <c r="Y52"/>
      <c r="Z52"/>
      <c r="AA52"/>
      <c r="AB52"/>
      <c r="AC52"/>
      <c r="AD52"/>
      <c r="AE52"/>
      <c r="AF52"/>
      <c r="AG52"/>
      <c r="AH52">
        <v>25</v>
      </c>
      <c r="AI52">
        <v>25</v>
      </c>
      <c r="AJ52"/>
      <c r="AK52"/>
      <c r="AL52"/>
      <c r="AM52"/>
      <c r="AN52"/>
      <c r="AO52" t="s">
        <v>489</v>
      </c>
      <c r="AP52"/>
      <c r="AQ52"/>
      <c r="AR52"/>
      <c r="AS52"/>
      <c r="AT52" t="s">
        <v>490</v>
      </c>
      <c r="AU52">
        <v>2019</v>
      </c>
      <c r="AV52">
        <v>16</v>
      </c>
      <c r="AW52">
        <v>1</v>
      </c>
      <c r="AX52"/>
      <c r="AY52"/>
      <c r="AZ52"/>
      <c r="BA52"/>
      <c r="BB52"/>
      <c r="BC52"/>
      <c r="BD52">
        <v>90</v>
      </c>
      <c r="BE52" t="s">
        <v>491</v>
      </c>
      <c r="BF52" t="str">
        <f>HYPERLINK("http://dx.doi.org/10.3390/ijerph16010090","http://dx.doi.org/10.3390/ijerph16010090")</f>
        <v>http://dx.doi.org/10.3390/ijerph16010090</v>
      </c>
      <c r="BG52"/>
      <c r="BH52"/>
      <c r="BI52"/>
      <c r="BJ52" t="s">
        <v>492</v>
      </c>
      <c r="BK52"/>
      <c r="BL52"/>
      <c r="BM52"/>
      <c r="BN52"/>
      <c r="BO52"/>
      <c r="BP52"/>
      <c r="BQ52"/>
      <c r="BR52"/>
      <c r="BS52"/>
      <c r="BT52" t="str">
        <f>HYPERLINK("https%3A%2F%2Fwww.webofscience.com%2Fwos%2Fwoscc%2Ffull-record%2F","View Full Record in Web of Science")</f>
        <v>View Full Record in Web of Science</v>
      </c>
    </row>
    <row r="53" spans="1:72" customHeight="1" ht="12.75">
      <c r="A53" t="s">
        <v>72</v>
      </c>
      <c r="B53" t="s">
        <v>493</v>
      </c>
      <c r="C53"/>
      <c r="D53"/>
      <c r="E53"/>
      <c r="F53" t="s">
        <v>493</v>
      </c>
      <c r="G53"/>
      <c r="H53"/>
      <c r="I53" t="s">
        <v>494</v>
      </c>
      <c r="J53" t="s">
        <v>495</v>
      </c>
      <c r="K53"/>
      <c r="L53"/>
      <c r="M53"/>
      <c r="N53" t="s">
        <v>112</v>
      </c>
      <c r="O53"/>
      <c r="P53"/>
      <c r="Q53"/>
      <c r="R53"/>
      <c r="S53"/>
      <c r="T53" t="s">
        <v>496</v>
      </c>
      <c r="U53" t="s">
        <v>497</v>
      </c>
      <c r="V53"/>
      <c r="W53"/>
      <c r="X53"/>
      <c r="Y53"/>
      <c r="Z53"/>
      <c r="AA53"/>
      <c r="AB53"/>
      <c r="AC53"/>
      <c r="AD53"/>
      <c r="AE53"/>
      <c r="AF53"/>
      <c r="AG53"/>
      <c r="AH53">
        <v>151</v>
      </c>
      <c r="AI53">
        <v>181</v>
      </c>
      <c r="AJ53"/>
      <c r="AK53"/>
      <c r="AL53"/>
      <c r="AM53"/>
      <c r="AN53"/>
      <c r="AO53" t="s">
        <v>498</v>
      </c>
      <c r="AP53"/>
      <c r="AQ53"/>
      <c r="AR53"/>
      <c r="AS53"/>
      <c r="AT53" t="s">
        <v>145</v>
      </c>
      <c r="AU53">
        <v>2003</v>
      </c>
      <c r="AV53">
        <v>30</v>
      </c>
      <c r="AW53">
        <v>2</v>
      </c>
      <c r="AX53"/>
      <c r="AY53"/>
      <c r="AZ53"/>
      <c r="BA53"/>
      <c r="BB53">
        <v>468</v>
      </c>
      <c r="BC53">
        <v>483</v>
      </c>
      <c r="BD53"/>
      <c r="BE53" t="s">
        <v>499</v>
      </c>
      <c r="BF53" t="str">
        <f>HYPERLINK("http://dx.doi.org/10.1139/L02-105","http://dx.doi.org/10.1139/L02-105")</f>
        <v>http://dx.doi.org/10.1139/L02-105</v>
      </c>
      <c r="BG53"/>
      <c r="BH53"/>
      <c r="BI53"/>
      <c r="BJ53" t="s">
        <v>500</v>
      </c>
      <c r="BK53"/>
      <c r="BL53"/>
      <c r="BM53"/>
      <c r="BN53"/>
      <c r="BO53"/>
      <c r="BP53"/>
      <c r="BQ53"/>
      <c r="BR53"/>
      <c r="BS53"/>
      <c r="BT53" t="str">
        <f>HYPERLINK("https%3A%2F%2Fwww.webofscience.com%2Fwos%2Fwoscc%2Ffull-record%2F","View Full Record in Web of Science")</f>
        <v>View Full Record in Web of Science</v>
      </c>
    </row>
    <row r="54" spans="1:72" customHeight="1" ht="12.75">
      <c r="A54" t="s">
        <v>72</v>
      </c>
      <c r="B54" t="s">
        <v>501</v>
      </c>
      <c r="C54"/>
      <c r="D54"/>
      <c r="E54"/>
      <c r="F54" t="s">
        <v>502</v>
      </c>
      <c r="G54"/>
      <c r="H54"/>
      <c r="I54" t="s">
        <v>503</v>
      </c>
      <c r="J54" t="s">
        <v>111</v>
      </c>
      <c r="K54"/>
      <c r="L54"/>
      <c r="M54"/>
      <c r="N54" t="s">
        <v>112</v>
      </c>
      <c r="O54"/>
      <c r="P54"/>
      <c r="Q54"/>
      <c r="R54"/>
      <c r="S54"/>
      <c r="T54" t="s">
        <v>504</v>
      </c>
      <c r="U54" t="s">
        <v>505</v>
      </c>
      <c r="V54"/>
      <c r="W54"/>
      <c r="X54"/>
      <c r="Y54"/>
      <c r="Z54"/>
      <c r="AA54"/>
      <c r="AB54"/>
      <c r="AC54"/>
      <c r="AD54"/>
      <c r="AE54"/>
      <c r="AF54"/>
      <c r="AG54"/>
      <c r="AH54">
        <v>65</v>
      </c>
      <c r="AI54">
        <v>67</v>
      </c>
      <c r="AJ54"/>
      <c r="AK54"/>
      <c r="AL54"/>
      <c r="AM54"/>
      <c r="AN54"/>
      <c r="AO54" t="s">
        <v>115</v>
      </c>
      <c r="AP54" t="s">
        <v>116</v>
      </c>
      <c r="AQ54"/>
      <c r="AR54"/>
      <c r="AS54"/>
      <c r="AT54" t="s">
        <v>117</v>
      </c>
      <c r="AU54">
        <v>2018</v>
      </c>
      <c r="AV54">
        <v>132</v>
      </c>
      <c r="AW54"/>
      <c r="AX54"/>
      <c r="AY54"/>
      <c r="AZ54"/>
      <c r="BA54"/>
      <c r="BB54">
        <v>258</v>
      </c>
      <c r="BC54">
        <v>266</v>
      </c>
      <c r="BD54"/>
      <c r="BE54" t="s">
        <v>506</v>
      </c>
      <c r="BF54" t="str">
        <f>HYPERLINK("http://dx.doi.org/10.1016/j.resconrec.2017.08.004","http://dx.doi.org/10.1016/j.resconrec.2017.08.004")</f>
        <v>http://dx.doi.org/10.1016/j.resconrec.2017.08.004</v>
      </c>
      <c r="BG54"/>
      <c r="BH54"/>
      <c r="BI54"/>
      <c r="BJ54" t="s">
        <v>119</v>
      </c>
      <c r="BK54"/>
      <c r="BL54"/>
      <c r="BM54"/>
      <c r="BN54"/>
      <c r="BO54"/>
      <c r="BP54"/>
      <c r="BQ54"/>
      <c r="BR54"/>
      <c r="BS54"/>
      <c r="BT54" t="str">
        <f>HYPERLINK("https%3A%2F%2Fwww.webofscience.com%2Fwos%2Fwoscc%2Ffull-record%2F","View Full Record in Web of Science")</f>
        <v>View Full Record in Web of Science</v>
      </c>
    </row>
    <row r="55" spans="1:72" customHeight="1" ht="12.75">
      <c r="A55" t="s">
        <v>72</v>
      </c>
      <c r="B55" t="s">
        <v>507</v>
      </c>
      <c r="C55"/>
      <c r="D55"/>
      <c r="E55"/>
      <c r="F55" t="s">
        <v>508</v>
      </c>
      <c r="G55"/>
      <c r="H55"/>
      <c r="I55" t="s">
        <v>509</v>
      </c>
      <c r="J55" t="s">
        <v>510</v>
      </c>
      <c r="K55"/>
      <c r="L55"/>
      <c r="M55"/>
      <c r="N55" t="s">
        <v>167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>
        <v>1</v>
      </c>
      <c r="AI55">
        <v>3</v>
      </c>
      <c r="AJ55"/>
      <c r="AK55"/>
      <c r="AL55"/>
      <c r="AM55"/>
      <c r="AN55"/>
      <c r="AO55" t="s">
        <v>511</v>
      </c>
      <c r="AP55" t="s">
        <v>512</v>
      </c>
      <c r="AQ55"/>
      <c r="AR55"/>
      <c r="AS55"/>
      <c r="AT55" t="s">
        <v>513</v>
      </c>
      <c r="AU55">
        <v>2019</v>
      </c>
      <c r="AV55">
        <v>392</v>
      </c>
      <c r="AW55"/>
      <c r="AX55"/>
      <c r="AY55"/>
      <c r="AZ55"/>
      <c r="BA55"/>
      <c r="BB55">
        <v>6</v>
      </c>
      <c r="BC55">
        <v>7</v>
      </c>
      <c r="BD55"/>
      <c r="BE55" t="s">
        <v>514</v>
      </c>
      <c r="BF55" t="str">
        <f>HYPERLINK("http://dx.doi.org/10.1016/j.ecolmodel.2018.09.016","http://dx.doi.org/10.1016/j.ecolmodel.2018.09.016")</f>
        <v>http://dx.doi.org/10.1016/j.ecolmodel.2018.09.016</v>
      </c>
      <c r="BG55"/>
      <c r="BH55"/>
      <c r="BI55"/>
      <c r="BJ55" t="s">
        <v>181</v>
      </c>
      <c r="BK55"/>
      <c r="BL55"/>
      <c r="BM55"/>
      <c r="BN55"/>
      <c r="BO55"/>
      <c r="BP55"/>
      <c r="BQ55"/>
      <c r="BR55"/>
      <c r="BS55"/>
      <c r="BT55" t="str">
        <f>HYPERLINK("https%3A%2F%2Fwww.webofscience.com%2Fwos%2Fwoscc%2Ffull-record%2F","View Full Record in Web of Science")</f>
        <v>View Full Record in Web of Science</v>
      </c>
    </row>
    <row r="56" spans="1:72" customHeight="1" ht="12.75">
      <c r="A56" t="s">
        <v>72</v>
      </c>
      <c r="B56" t="s">
        <v>515</v>
      </c>
      <c r="C56"/>
      <c r="D56"/>
      <c r="E56"/>
      <c r="F56" t="s">
        <v>516</v>
      </c>
      <c r="G56"/>
      <c r="H56"/>
      <c r="I56" t="s">
        <v>517</v>
      </c>
      <c r="J56" t="s">
        <v>518</v>
      </c>
      <c r="K56"/>
      <c r="L56"/>
      <c r="M56"/>
      <c r="N56" t="s">
        <v>112</v>
      </c>
      <c r="O56"/>
      <c r="P56"/>
      <c r="Q56"/>
      <c r="R56"/>
      <c r="S56"/>
      <c r="T56"/>
      <c r="U56" t="s">
        <v>519</v>
      </c>
      <c r="V56"/>
      <c r="W56"/>
      <c r="X56"/>
      <c r="Y56"/>
      <c r="Z56"/>
      <c r="AA56"/>
      <c r="AB56"/>
      <c r="AC56"/>
      <c r="AD56"/>
      <c r="AE56"/>
      <c r="AF56"/>
      <c r="AG56"/>
      <c r="AH56">
        <v>0.0</v>
      </c>
      <c r="AI56">
        <v>0.0</v>
      </c>
      <c r="AJ56"/>
      <c r="AK56"/>
      <c r="AL56"/>
      <c r="AM56"/>
      <c r="AN56"/>
      <c r="AO56" t="s">
        <v>520</v>
      </c>
      <c r="AP56" t="s">
        <v>521</v>
      </c>
      <c r="AQ56"/>
      <c r="AR56"/>
      <c r="AS56"/>
      <c r="AT56" t="s">
        <v>522</v>
      </c>
      <c r="AU56">
        <v>2021</v>
      </c>
      <c r="AV56">
        <v>2021</v>
      </c>
      <c r="AW56"/>
      <c r="AX56"/>
      <c r="AY56"/>
      <c r="AZ56"/>
      <c r="BA56"/>
      <c r="BB56"/>
      <c r="BC56"/>
      <c r="BD56">
        <v>5545307.0</v>
      </c>
      <c r="BE56" t="s">
        <v>523</v>
      </c>
      <c r="BF56" t="str">
        <f>HYPERLINK("http://dx.doi.org/10.1155/2021/5545307","http://dx.doi.org/10.1155/2021/5545307")</f>
        <v>http://dx.doi.org/10.1155/2021/5545307</v>
      </c>
      <c r="BG56"/>
      <c r="BH56"/>
      <c r="BI56"/>
      <c r="BJ56" t="s">
        <v>524</v>
      </c>
      <c r="BK56"/>
      <c r="BL56"/>
      <c r="BM56"/>
      <c r="BN56"/>
      <c r="BO56"/>
      <c r="BP56"/>
      <c r="BQ56"/>
      <c r="BR56"/>
      <c r="BS56"/>
      <c r="BT56" t="str">
        <f>HYPERLINK("https%3A%2F%2Fwww.webofscience.com%2Fwos%2Fwoscc%2Ffull-record%2F","View Full Record in Web of Science")</f>
        <v>View Full Record in Web of Science</v>
      </c>
    </row>
    <row r="57" spans="1:72" customHeight="1" ht="12.75">
      <c r="A57" t="s">
        <v>72</v>
      </c>
      <c r="B57" t="s">
        <v>525</v>
      </c>
      <c r="C57"/>
      <c r="D57"/>
      <c r="E57"/>
      <c r="F57" t="s">
        <v>526</v>
      </c>
      <c r="G57"/>
      <c r="H57"/>
      <c r="I57" t="s">
        <v>527</v>
      </c>
      <c r="J57" t="s">
        <v>528</v>
      </c>
      <c r="K57"/>
      <c r="L57"/>
      <c r="M57"/>
      <c r="N57" t="s">
        <v>167</v>
      </c>
      <c r="O57"/>
      <c r="P57"/>
      <c r="Q57"/>
      <c r="R57"/>
      <c r="S57"/>
      <c r="T57"/>
      <c r="U57" t="s">
        <v>529</v>
      </c>
      <c r="V57"/>
      <c r="W57"/>
      <c r="X57"/>
      <c r="Y57"/>
      <c r="Z57"/>
      <c r="AA57"/>
      <c r="AB57"/>
      <c r="AC57"/>
      <c r="AD57"/>
      <c r="AE57"/>
      <c r="AF57"/>
      <c r="AG57"/>
      <c r="AH57">
        <v>26</v>
      </c>
      <c r="AI57">
        <v>27</v>
      </c>
      <c r="AJ57"/>
      <c r="AK57"/>
      <c r="AL57"/>
      <c r="AM57"/>
      <c r="AN57"/>
      <c r="AO57" t="s">
        <v>530</v>
      </c>
      <c r="AP57" t="s">
        <v>531</v>
      </c>
      <c r="AQ57"/>
      <c r="AR57"/>
      <c r="AS57"/>
      <c r="AT57" t="s">
        <v>190</v>
      </c>
      <c r="AU57">
        <v>2015</v>
      </c>
      <c r="AV57">
        <v>26</v>
      </c>
      <c r="AW57"/>
      <c r="AX57">
        <v>1</v>
      </c>
      <c r="AY57"/>
      <c r="AZ57" t="s">
        <v>222</v>
      </c>
      <c r="BA57"/>
      <c r="BB57">
        <v>1</v>
      </c>
      <c r="BC57">
        <v>2</v>
      </c>
      <c r="BD57"/>
      <c r="BE57" t="s">
        <v>532</v>
      </c>
      <c r="BF57" t="str">
        <f>HYPERLINK("http://dx.doi.org/10.1016/j.ecoinf.2014.09.010","http://dx.doi.org/10.1016/j.ecoinf.2014.09.010")</f>
        <v>http://dx.doi.org/10.1016/j.ecoinf.2014.09.010</v>
      </c>
      <c r="BG57"/>
      <c r="BH57"/>
      <c r="BI57"/>
      <c r="BJ57" t="s">
        <v>181</v>
      </c>
      <c r="BK57"/>
      <c r="BL57"/>
      <c r="BM57"/>
      <c r="BN57"/>
      <c r="BO57"/>
      <c r="BP57"/>
      <c r="BQ57"/>
      <c r="BR57"/>
      <c r="BS57"/>
      <c r="BT57" t="str">
        <f>HYPERLINK("https%3A%2F%2Fwww.webofscience.com%2Fwos%2Fwoscc%2Ffull-record%2F","View Full Record in Web of Science")</f>
        <v>View Full Record in Web of Science</v>
      </c>
    </row>
    <row r="58" spans="1:72" customHeight="1" ht="12.75">
      <c r="A58" t="s">
        <v>72</v>
      </c>
      <c r="B58" t="s">
        <v>533</v>
      </c>
      <c r="C58"/>
      <c r="D58"/>
      <c r="E58"/>
      <c r="F58" t="s">
        <v>534</v>
      </c>
      <c r="G58"/>
      <c r="H58"/>
      <c r="I58" t="s">
        <v>535</v>
      </c>
      <c r="J58" t="s">
        <v>510</v>
      </c>
      <c r="K58"/>
      <c r="L58"/>
      <c r="M58"/>
      <c r="N58" t="s">
        <v>167</v>
      </c>
      <c r="O58"/>
      <c r="P58"/>
      <c r="Q58"/>
      <c r="R58"/>
      <c r="S58"/>
      <c r="T58"/>
      <c r="U58" t="s">
        <v>536</v>
      </c>
      <c r="V58"/>
      <c r="W58"/>
      <c r="X58"/>
      <c r="Y58"/>
      <c r="Z58"/>
      <c r="AA58"/>
      <c r="AB58"/>
      <c r="AC58"/>
      <c r="AD58"/>
      <c r="AE58"/>
      <c r="AF58"/>
      <c r="AG58"/>
      <c r="AH58">
        <v>12</v>
      </c>
      <c r="AI58">
        <v>14</v>
      </c>
      <c r="AJ58"/>
      <c r="AK58"/>
      <c r="AL58"/>
      <c r="AM58"/>
      <c r="AN58"/>
      <c r="AO58" t="s">
        <v>511</v>
      </c>
      <c r="AP58" t="s">
        <v>512</v>
      </c>
      <c r="AQ58"/>
      <c r="AR58"/>
      <c r="AS58"/>
      <c r="AT58" t="s">
        <v>537</v>
      </c>
      <c r="AU58">
        <v>2015</v>
      </c>
      <c r="AV58">
        <v>318</v>
      </c>
      <c r="AW58"/>
      <c r="AX58"/>
      <c r="AY58"/>
      <c r="AZ58" t="s">
        <v>222</v>
      </c>
      <c r="BA58"/>
      <c r="BB58">
        <v>1</v>
      </c>
      <c r="BC58">
        <v>4</v>
      </c>
      <c r="BD58"/>
      <c r="BE58" t="s">
        <v>538</v>
      </c>
      <c r="BF58" t="str">
        <f>HYPERLINK("http://dx.doi.org/10.1016/j.ecolmodel.2015.10.009","http://dx.doi.org/10.1016/j.ecolmodel.2015.10.009")</f>
        <v>http://dx.doi.org/10.1016/j.ecolmodel.2015.10.009</v>
      </c>
      <c r="BG58"/>
      <c r="BH58"/>
      <c r="BI58"/>
      <c r="BJ58" t="s">
        <v>181</v>
      </c>
      <c r="BK58"/>
      <c r="BL58"/>
      <c r="BM58"/>
      <c r="BN58"/>
      <c r="BO58"/>
      <c r="BP58"/>
      <c r="BQ58"/>
      <c r="BR58"/>
      <c r="BS58"/>
      <c r="BT58" t="str">
        <f>HYPERLINK("https%3A%2F%2Fwww.webofscience.com%2Fwos%2Fwoscc%2Ffull-record%2F","View Full Record in Web of Science")</f>
        <v>View Full Record in Web of Science</v>
      </c>
    </row>
    <row r="59" spans="1:72" customHeight="1" ht="12.75">
      <c r="A59" t="s">
        <v>72</v>
      </c>
      <c r="B59" t="s">
        <v>539</v>
      </c>
      <c r="C59"/>
      <c r="D59"/>
      <c r="E59"/>
      <c r="F59" t="s">
        <v>540</v>
      </c>
      <c r="G59"/>
      <c r="H59"/>
      <c r="I59" t="s">
        <v>541</v>
      </c>
      <c r="J59" t="s">
        <v>457</v>
      </c>
      <c r="K59"/>
      <c r="L59"/>
      <c r="M59"/>
      <c r="N59" t="s">
        <v>112</v>
      </c>
      <c r="O59"/>
      <c r="P59"/>
      <c r="Q59"/>
      <c r="R59"/>
      <c r="S59"/>
      <c r="T59" t="s">
        <v>542</v>
      </c>
      <c r="U59" t="s">
        <v>543</v>
      </c>
      <c r="V59"/>
      <c r="W59"/>
      <c r="X59"/>
      <c r="Y59"/>
      <c r="Z59"/>
      <c r="AA59"/>
      <c r="AB59"/>
      <c r="AC59"/>
      <c r="AD59"/>
      <c r="AE59"/>
      <c r="AF59"/>
      <c r="AG59"/>
      <c r="AH59">
        <v>1</v>
      </c>
      <c r="AI59">
        <v>1</v>
      </c>
      <c r="AJ59"/>
      <c r="AK59"/>
      <c r="AL59"/>
      <c r="AM59"/>
      <c r="AN59"/>
      <c r="AO59"/>
      <c r="AP59" t="s">
        <v>458</v>
      </c>
      <c r="AQ59"/>
      <c r="AR59"/>
      <c r="AS59"/>
      <c r="AT59" t="s">
        <v>92</v>
      </c>
      <c r="AU59">
        <v>2022</v>
      </c>
      <c r="AV59">
        <v>14</v>
      </c>
      <c r="AW59">
        <v>21</v>
      </c>
      <c r="AX59"/>
      <c r="AY59"/>
      <c r="AZ59"/>
      <c r="BA59"/>
      <c r="BB59"/>
      <c r="BC59"/>
      <c r="BD59">
        <v>13964</v>
      </c>
      <c r="BE59" t="s">
        <v>544</v>
      </c>
      <c r="BF59" t="str">
        <f>HYPERLINK("http://dx.doi.org/10.3390/su142113964","http://dx.doi.org/10.3390/su142113964")</f>
        <v>http://dx.doi.org/10.3390/su142113964</v>
      </c>
      <c r="BG59"/>
      <c r="BH59"/>
      <c r="BI59"/>
      <c r="BJ59" t="s">
        <v>460</v>
      </c>
      <c r="BK59"/>
      <c r="BL59"/>
      <c r="BM59"/>
      <c r="BN59"/>
      <c r="BO59"/>
      <c r="BP59"/>
      <c r="BQ59"/>
      <c r="BR59"/>
      <c r="BS59"/>
      <c r="BT59" t="str">
        <f>HYPERLINK("https%3A%2F%2Fwww.webofscience.com%2Fwos%2Fwoscc%2Ffull-record%2F","View Full Record in Web of Science")</f>
        <v>View Full Record in Web of Science</v>
      </c>
    </row>
    <row r="60" spans="1:72" customHeight="1" ht="12.75">
      <c r="A60" t="s">
        <v>72</v>
      </c>
      <c r="B60" t="s">
        <v>545</v>
      </c>
      <c r="C60"/>
      <c r="D60"/>
      <c r="E60"/>
      <c r="F60" t="s">
        <v>546</v>
      </c>
      <c r="G60"/>
      <c r="H60"/>
      <c r="I60" t="s">
        <v>547</v>
      </c>
      <c r="J60" t="s">
        <v>548</v>
      </c>
      <c r="K60"/>
      <c r="L60"/>
      <c r="M60"/>
      <c r="N60" t="s">
        <v>112</v>
      </c>
      <c r="O60"/>
      <c r="P60"/>
      <c r="Q60"/>
      <c r="R60"/>
      <c r="S60"/>
      <c r="T60"/>
      <c r="U60" t="s">
        <v>549</v>
      </c>
      <c r="V60"/>
      <c r="W60"/>
      <c r="X60"/>
      <c r="Y60"/>
      <c r="Z60"/>
      <c r="AA60"/>
      <c r="AB60"/>
      <c r="AC60"/>
      <c r="AD60"/>
      <c r="AE60"/>
      <c r="AF60"/>
      <c r="AG60"/>
      <c r="AH60">
        <v>107</v>
      </c>
      <c r="AI60">
        <v>135</v>
      </c>
      <c r="AJ60"/>
      <c r="AK60"/>
      <c r="AL60"/>
      <c r="AM60"/>
      <c r="AN60"/>
      <c r="AO60" t="s">
        <v>550</v>
      </c>
      <c r="AP60" t="s">
        <v>551</v>
      </c>
      <c r="AQ60"/>
      <c r="AR60"/>
      <c r="AS60"/>
      <c r="AT60" t="s">
        <v>552</v>
      </c>
      <c r="AU60">
        <v>2012</v>
      </c>
      <c r="AV60">
        <v>53</v>
      </c>
      <c r="AW60">
        <v>4</v>
      </c>
      <c r="AX60"/>
      <c r="AY60"/>
      <c r="AZ60"/>
      <c r="BA60"/>
      <c r="BB60">
        <v>506</v>
      </c>
      <c r="BC60">
        <v>523</v>
      </c>
      <c r="BD60"/>
      <c r="BE60" t="s">
        <v>553</v>
      </c>
      <c r="BF60" t="str">
        <f>HYPERLINK("http://dx.doi.org/10.1111/j.1533-8525.2012.01247.x","http://dx.doi.org/10.1111/j.1533-8525.2012.01247.x")</f>
        <v>http://dx.doi.org/10.1111/j.1533-8525.2012.01247.x</v>
      </c>
      <c r="BG60"/>
      <c r="BH60"/>
      <c r="BI60"/>
      <c r="BJ60" t="s">
        <v>554</v>
      </c>
      <c r="BK60"/>
      <c r="BL60"/>
      <c r="BM60"/>
      <c r="BN60"/>
      <c r="BO60"/>
      <c r="BP60"/>
      <c r="BQ60"/>
      <c r="BR60"/>
      <c r="BS60"/>
      <c r="BT60" t="str">
        <f>HYPERLINK("https%3A%2F%2Fwww.webofscience.com%2Fwos%2Fwoscc%2Ffull-record%2F","View Full Record in Web of Science")</f>
        <v>View Full Record in Web of Science</v>
      </c>
    </row>
    <row r="61" spans="1:72" customHeight="1" ht="12.75">
      <c r="A61" t="s">
        <v>72</v>
      </c>
      <c r="B61" t="s">
        <v>555</v>
      </c>
      <c r="C61"/>
      <c r="D61"/>
      <c r="E61"/>
      <c r="F61" t="s">
        <v>555</v>
      </c>
      <c r="G61"/>
      <c r="H61"/>
      <c r="I61" t="s">
        <v>556</v>
      </c>
      <c r="J61" t="s">
        <v>237</v>
      </c>
      <c r="K61"/>
      <c r="L61"/>
      <c r="M61"/>
      <c r="N61" t="s">
        <v>112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164</v>
      </c>
      <c r="AI61">
        <v>188</v>
      </c>
      <c r="AJ61"/>
      <c r="AK61"/>
      <c r="AL61"/>
      <c r="AM61"/>
      <c r="AN61"/>
      <c r="AO61" t="s">
        <v>240</v>
      </c>
      <c r="AP61" t="s">
        <v>241</v>
      </c>
      <c r="AQ61"/>
      <c r="AR61"/>
      <c r="AS61"/>
      <c r="AT61" t="s">
        <v>154</v>
      </c>
      <c r="AU61">
        <v>2000</v>
      </c>
      <c r="AV61">
        <v>7</v>
      </c>
      <c r="AW61">
        <v>2</v>
      </c>
      <c r="AX61"/>
      <c r="AY61"/>
      <c r="AZ61"/>
      <c r="BA61"/>
      <c r="BB61">
        <v>85</v>
      </c>
      <c r="BC61">
        <v>104</v>
      </c>
      <c r="BD61"/>
      <c r="BE61" t="s">
        <v>557</v>
      </c>
      <c r="BF61" t="str">
        <f>HYPERLINK("http://dx.doi.org/10.1080/713684114","http://dx.doi.org/10.1080/713684114")</f>
        <v>http://dx.doi.org/10.1080/713684114</v>
      </c>
      <c r="BG61"/>
      <c r="BH61"/>
      <c r="BI61"/>
      <c r="BJ61" t="s">
        <v>243</v>
      </c>
      <c r="BK61"/>
      <c r="BL61"/>
      <c r="BM61"/>
      <c r="BN61"/>
      <c r="BO61"/>
      <c r="BP61"/>
      <c r="BQ61"/>
      <c r="BR61"/>
      <c r="BS61"/>
      <c r="BT61" t="str">
        <f>HYPERLINK("https%3A%2F%2Fwww.webofscience.com%2Fwos%2Fwoscc%2Ffull-record%2F","View Full Record in Web of Science")</f>
        <v>View Full Record in Web of Science</v>
      </c>
    </row>
    <row r="62" spans="1:72" customHeight="1" ht="12.75">
      <c r="A62" t="s">
        <v>72</v>
      </c>
      <c r="B62" t="s">
        <v>558</v>
      </c>
      <c r="C62"/>
      <c r="D62"/>
      <c r="E62"/>
      <c r="F62" t="s">
        <v>559</v>
      </c>
      <c r="G62"/>
      <c r="H62"/>
      <c r="I62" t="s">
        <v>560</v>
      </c>
      <c r="J62" t="s">
        <v>561</v>
      </c>
      <c r="K62"/>
      <c r="L62"/>
      <c r="M62"/>
      <c r="N62" t="s">
        <v>325</v>
      </c>
      <c r="O62"/>
      <c r="P62"/>
      <c r="Q62"/>
      <c r="R62"/>
      <c r="S62"/>
      <c r="T62" t="s">
        <v>562</v>
      </c>
      <c r="U62" t="s">
        <v>563</v>
      </c>
      <c r="V62"/>
      <c r="W62"/>
      <c r="X62"/>
      <c r="Y62"/>
      <c r="Z62"/>
      <c r="AA62"/>
      <c r="AB62"/>
      <c r="AC62"/>
      <c r="AD62"/>
      <c r="AE62"/>
      <c r="AF62"/>
      <c r="AG62"/>
      <c r="AH62">
        <v>3</v>
      </c>
      <c r="AI62">
        <v>3</v>
      </c>
      <c r="AJ62"/>
      <c r="AK62"/>
      <c r="AL62"/>
      <c r="AM62"/>
      <c r="AN62"/>
      <c r="AO62" t="s">
        <v>564</v>
      </c>
      <c r="AP62" t="s">
        <v>565</v>
      </c>
      <c r="AQ62"/>
      <c r="AR62"/>
      <c r="AS62"/>
      <c r="AT62" t="s">
        <v>566</v>
      </c>
      <c r="AU62">
        <v>2022</v>
      </c>
      <c r="AV62"/>
      <c r="AW62"/>
      <c r="AX62"/>
      <c r="AY62"/>
      <c r="AZ62"/>
      <c r="BA62"/>
      <c r="BB62"/>
      <c r="BC62"/>
      <c r="BD62">
        <v>9.6144221107346E+14</v>
      </c>
      <c r="BE62" t="s">
        <v>567</v>
      </c>
      <c r="BF62" t="str">
        <f>HYPERLINK("http://dx.doi.org/10.1177/00961442211073461","http://dx.doi.org/10.1177/00961442211073461")</f>
        <v>http://dx.doi.org/10.1177/00961442211073461</v>
      </c>
      <c r="BG62"/>
      <c r="BH62" t="s">
        <v>106</v>
      </c>
      <c r="BI62"/>
      <c r="BJ62" t="s">
        <v>568</v>
      </c>
      <c r="BK62"/>
      <c r="BL62"/>
      <c r="BM62"/>
      <c r="BN62"/>
      <c r="BO62"/>
      <c r="BP62"/>
      <c r="BQ62"/>
      <c r="BR62"/>
      <c r="BS62"/>
      <c r="BT62" t="str">
        <f>HYPERLINK("https%3A%2F%2Fwww.webofscience.com%2Fwos%2Fwoscc%2Ffull-record%2F","View Full Record in Web of Science")</f>
        <v>View Full Record in Web of Science</v>
      </c>
    </row>
    <row r="63" spans="1:72" customHeight="1" ht="12.75">
      <c r="A63" t="s">
        <v>72</v>
      </c>
      <c r="B63" t="s">
        <v>569</v>
      </c>
      <c r="C63"/>
      <c r="D63"/>
      <c r="E63"/>
      <c r="F63" t="s">
        <v>570</v>
      </c>
      <c r="G63"/>
      <c r="H63"/>
      <c r="I63" t="s">
        <v>571</v>
      </c>
      <c r="J63" t="s">
        <v>572</v>
      </c>
      <c r="K63"/>
      <c r="L63"/>
      <c r="M63"/>
      <c r="N63" t="s">
        <v>167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>
        <v>2</v>
      </c>
      <c r="AI63">
        <v>2</v>
      </c>
      <c r="AJ63"/>
      <c r="AK63"/>
      <c r="AL63"/>
      <c r="AM63"/>
      <c r="AN63"/>
      <c r="AO63" t="s">
        <v>573</v>
      </c>
      <c r="AP63" t="s">
        <v>574</v>
      </c>
      <c r="AQ63"/>
      <c r="AR63"/>
      <c r="AS63"/>
      <c r="AT63" t="s">
        <v>154</v>
      </c>
      <c r="AU63">
        <v>2018</v>
      </c>
      <c r="AV63">
        <v>36</v>
      </c>
      <c r="AW63">
        <v>8</v>
      </c>
      <c r="AX63"/>
      <c r="AY63"/>
      <c r="AZ63"/>
      <c r="BA63"/>
      <c r="BB63">
        <v>661</v>
      </c>
      <c r="BC63">
        <v>662</v>
      </c>
      <c r="BD63"/>
      <c r="BE63" t="s">
        <v>575</v>
      </c>
      <c r="BF63" t="str">
        <f>HYPERLINK("http://dx.doi.org/10.1177/0734242X18793339","http://dx.doi.org/10.1177/0734242X18793339")</f>
        <v>http://dx.doi.org/10.1177/0734242X18793339</v>
      </c>
      <c r="BG63"/>
      <c r="BH63"/>
      <c r="BI63"/>
      <c r="BJ63" t="s">
        <v>119</v>
      </c>
      <c r="BK63"/>
      <c r="BL63"/>
      <c r="BM63"/>
      <c r="BN63"/>
      <c r="BO63"/>
      <c r="BP63"/>
      <c r="BQ63"/>
      <c r="BR63"/>
      <c r="BS63"/>
      <c r="BT63" t="str">
        <f>HYPERLINK("https%3A%2F%2Fwww.webofscience.com%2Fwos%2Fwoscc%2Ffull-record%2F","View Full Record in Web of Science")</f>
        <v>View Full Record in Web of Science</v>
      </c>
    </row>
    <row r="64" spans="1:72" customHeight="1" ht="12.75">
      <c r="A64" t="s">
        <v>72</v>
      </c>
      <c r="B64" t="s">
        <v>576</v>
      </c>
      <c r="C64"/>
      <c r="D64"/>
      <c r="E64"/>
      <c r="F64" t="s">
        <v>577</v>
      </c>
      <c r="G64"/>
      <c r="H64"/>
      <c r="I64" t="s">
        <v>578</v>
      </c>
      <c r="J64" t="s">
        <v>87</v>
      </c>
      <c r="K64"/>
      <c r="L64"/>
      <c r="M64"/>
      <c r="N64" t="s">
        <v>325</v>
      </c>
      <c r="O64"/>
      <c r="P64"/>
      <c r="Q64"/>
      <c r="R64"/>
      <c r="S64"/>
      <c r="T64" t="s">
        <v>579</v>
      </c>
      <c r="U64" t="s">
        <v>580</v>
      </c>
      <c r="V64"/>
      <c r="W64"/>
      <c r="X64"/>
      <c r="Y64"/>
      <c r="Z64"/>
      <c r="AA64"/>
      <c r="AB64"/>
      <c r="AC64"/>
      <c r="AD64"/>
      <c r="AE64"/>
      <c r="AF64"/>
      <c r="AG64"/>
      <c r="AH64">
        <v>6</v>
      </c>
      <c r="AI64">
        <v>6</v>
      </c>
      <c r="AJ64"/>
      <c r="AK64"/>
      <c r="AL64"/>
      <c r="AM64"/>
      <c r="AN64"/>
      <c r="AO64" t="s">
        <v>90</v>
      </c>
      <c r="AP64" t="s">
        <v>91</v>
      </c>
      <c r="AQ64"/>
      <c r="AR64"/>
      <c r="AS64"/>
      <c r="AT64" t="s">
        <v>581</v>
      </c>
      <c r="AU64">
        <v>2021</v>
      </c>
      <c r="AV64">
        <v>123</v>
      </c>
      <c r="AW64"/>
      <c r="AX64"/>
      <c r="AY64"/>
      <c r="AZ64"/>
      <c r="BA64"/>
      <c r="BB64"/>
      <c r="BC64"/>
      <c r="BD64">
        <v>107345</v>
      </c>
      <c r="BE64" t="s">
        <v>582</v>
      </c>
      <c r="BF64" t="str">
        <f>HYPERLINK("http://dx.doi.org/10.1016/j.ecolind.2021.107345","http://dx.doi.org/10.1016/j.ecolind.2021.107345")</f>
        <v>http://dx.doi.org/10.1016/j.ecolind.2021.107345</v>
      </c>
      <c r="BG64"/>
      <c r="BH64" t="s">
        <v>583</v>
      </c>
      <c r="BI64"/>
      <c r="BJ64" t="s">
        <v>94</v>
      </c>
      <c r="BK64"/>
      <c r="BL64"/>
      <c r="BM64"/>
      <c r="BN64"/>
      <c r="BO64"/>
      <c r="BP64"/>
      <c r="BQ64"/>
      <c r="BR64"/>
      <c r="BS64"/>
      <c r="BT64" t="str">
        <f>HYPERLINK("https%3A%2F%2Fwww.webofscience.com%2Fwos%2Fwoscc%2Ffull-record%2F","View Full Record in Web of Science")</f>
        <v>View Full Record in Web of Science</v>
      </c>
    </row>
    <row r="65" spans="1:72" customHeight="1" ht="12.75">
      <c r="A65" t="s">
        <v>72</v>
      </c>
      <c r="B65" t="s">
        <v>584</v>
      </c>
      <c r="C65"/>
      <c r="D65"/>
      <c r="E65"/>
      <c r="F65" t="s">
        <v>585</v>
      </c>
      <c r="G65"/>
      <c r="H65"/>
      <c r="I65" t="s">
        <v>586</v>
      </c>
      <c r="J65" t="s">
        <v>587</v>
      </c>
      <c r="K65"/>
      <c r="L65"/>
      <c r="M65"/>
      <c r="N65" t="s">
        <v>112</v>
      </c>
      <c r="O65"/>
      <c r="P65"/>
      <c r="Q65"/>
      <c r="R65"/>
      <c r="S65"/>
      <c r="T65" t="s">
        <v>588</v>
      </c>
      <c r="U65" t="s">
        <v>589</v>
      </c>
      <c r="V65"/>
      <c r="W65"/>
      <c r="X65"/>
      <c r="Y65"/>
      <c r="Z65"/>
      <c r="AA65"/>
      <c r="AB65"/>
      <c r="AC65"/>
      <c r="AD65"/>
      <c r="AE65"/>
      <c r="AF65"/>
      <c r="AG65"/>
      <c r="AH65">
        <v>48</v>
      </c>
      <c r="AI65">
        <v>54</v>
      </c>
      <c r="AJ65"/>
      <c r="AK65"/>
      <c r="AL65"/>
      <c r="AM65"/>
      <c r="AN65"/>
      <c r="AO65" t="s">
        <v>590</v>
      </c>
      <c r="AP65" t="s">
        <v>591</v>
      </c>
      <c r="AQ65"/>
      <c r="AR65"/>
      <c r="AS65"/>
      <c r="AT65" t="s">
        <v>592</v>
      </c>
      <c r="AU65">
        <v>2021</v>
      </c>
      <c r="AV65">
        <v>281</v>
      </c>
      <c r="AW65"/>
      <c r="AX65"/>
      <c r="AY65"/>
      <c r="AZ65"/>
      <c r="BA65"/>
      <c r="BB65"/>
      <c r="BC65"/>
      <c r="BD65">
        <v>125224</v>
      </c>
      <c r="BE65" t="s">
        <v>593</v>
      </c>
      <c r="BF65" t="str">
        <f>HYPERLINK("http://dx.doi.org/10.1016/j.jclepro.2020.125224","http://dx.doi.org/10.1016/j.jclepro.2020.125224")</f>
        <v>http://dx.doi.org/10.1016/j.jclepro.2020.125224</v>
      </c>
      <c r="BG65"/>
      <c r="BH65"/>
      <c r="BI65"/>
      <c r="BJ65" t="s">
        <v>139</v>
      </c>
      <c r="BK65"/>
      <c r="BL65"/>
      <c r="BM65"/>
      <c r="BN65"/>
      <c r="BO65"/>
      <c r="BP65"/>
      <c r="BQ65"/>
      <c r="BR65"/>
      <c r="BS65"/>
      <c r="BT65" t="str">
        <f>HYPERLINK("https%3A%2F%2Fwww.webofscience.com%2Fwos%2Fwoscc%2Ffull-record%2F","View Full Record in Web of Science")</f>
        <v>View Full Record in Web of Science</v>
      </c>
    </row>
    <row r="66" spans="1:72" customHeight="1" ht="12.75">
      <c r="A66" t="s">
        <v>72</v>
      </c>
      <c r="B66" t="s">
        <v>594</v>
      </c>
      <c r="C66"/>
      <c r="D66"/>
      <c r="E66"/>
      <c r="F66" t="s">
        <v>595</v>
      </c>
      <c r="G66"/>
      <c r="H66"/>
      <c r="I66" t="s">
        <v>596</v>
      </c>
      <c r="J66" t="s">
        <v>133</v>
      </c>
      <c r="K66"/>
      <c r="L66"/>
      <c r="M66"/>
      <c r="N66" t="s">
        <v>215</v>
      </c>
      <c r="O66"/>
      <c r="P66"/>
      <c r="Q66"/>
      <c r="R66"/>
      <c r="S66"/>
      <c r="T66" t="s">
        <v>597</v>
      </c>
      <c r="U66" t="s">
        <v>598</v>
      </c>
      <c r="V66"/>
      <c r="W66"/>
      <c r="X66"/>
      <c r="Y66"/>
      <c r="Z66"/>
      <c r="AA66"/>
      <c r="AB66"/>
      <c r="AC66"/>
      <c r="AD66"/>
      <c r="AE66"/>
      <c r="AF66"/>
      <c r="AG66"/>
      <c r="AH66">
        <v>761</v>
      </c>
      <c r="AI66">
        <v>869</v>
      </c>
      <c r="AJ66"/>
      <c r="AK66"/>
      <c r="AL66"/>
      <c r="AM66"/>
      <c r="AN66"/>
      <c r="AO66" t="s">
        <v>136</v>
      </c>
      <c r="AP66" t="s">
        <v>137</v>
      </c>
      <c r="AQ66"/>
      <c r="AR66"/>
      <c r="AS66"/>
      <c r="AT66" t="s">
        <v>381</v>
      </c>
      <c r="AU66">
        <v>2007</v>
      </c>
      <c r="AV66">
        <v>11</v>
      </c>
      <c r="AW66">
        <v>2</v>
      </c>
      <c r="AX66"/>
      <c r="AY66"/>
      <c r="AZ66"/>
      <c r="BA66"/>
      <c r="BB66">
        <v>43</v>
      </c>
      <c r="BC66">
        <v>59</v>
      </c>
      <c r="BD66"/>
      <c r="BE66" t="s">
        <v>599</v>
      </c>
      <c r="BF66" t="str">
        <f>HYPERLINK("http://dx.doi.org/10.1162/jie.2007.1107","http://dx.doi.org/10.1162/jie.2007.1107")</f>
        <v>http://dx.doi.org/10.1162/jie.2007.1107</v>
      </c>
      <c r="BG66"/>
      <c r="BH66"/>
      <c r="BI66"/>
      <c r="BJ66" t="s">
        <v>139</v>
      </c>
      <c r="BK66"/>
      <c r="BL66"/>
      <c r="BM66"/>
      <c r="BN66"/>
      <c r="BO66"/>
      <c r="BP66"/>
      <c r="BQ66"/>
      <c r="BR66"/>
      <c r="BS66"/>
      <c r="BT66" t="str">
        <f>HYPERLINK("https%3A%2F%2Fwww.webofscience.com%2Fwos%2Fwoscc%2Ffull-record%2F","View Full Record in Web of Science")</f>
        <v>View Full Record in Web of Science</v>
      </c>
    </row>
    <row r="67" spans="1:72" customHeight="1" ht="12.75">
      <c r="A67" t="s">
        <v>72</v>
      </c>
      <c r="B67" t="s">
        <v>525</v>
      </c>
      <c r="C67"/>
      <c r="D67"/>
      <c r="E67"/>
      <c r="F67" t="s">
        <v>526</v>
      </c>
      <c r="G67"/>
      <c r="H67"/>
      <c r="I67" t="s">
        <v>600</v>
      </c>
      <c r="J67" t="s">
        <v>87</v>
      </c>
      <c r="K67"/>
      <c r="L67"/>
      <c r="M67"/>
      <c r="N67" t="s">
        <v>167</v>
      </c>
      <c r="O67"/>
      <c r="P67"/>
      <c r="Q67"/>
      <c r="R67"/>
      <c r="S67"/>
      <c r="T67"/>
      <c r="U67" t="s">
        <v>601</v>
      </c>
      <c r="V67"/>
      <c r="W67"/>
      <c r="X67"/>
      <c r="Y67"/>
      <c r="Z67"/>
      <c r="AA67"/>
      <c r="AB67"/>
      <c r="AC67"/>
      <c r="AD67"/>
      <c r="AE67"/>
      <c r="AF67"/>
      <c r="AG67"/>
      <c r="AH67">
        <v>13</v>
      </c>
      <c r="AI67">
        <v>15</v>
      </c>
      <c r="AJ67"/>
      <c r="AK67"/>
      <c r="AL67"/>
      <c r="AM67"/>
      <c r="AN67"/>
      <c r="AO67" t="s">
        <v>90</v>
      </c>
      <c r="AP67" t="s">
        <v>91</v>
      </c>
      <c r="AQ67"/>
      <c r="AR67"/>
      <c r="AS67"/>
      <c r="AT67" t="s">
        <v>128</v>
      </c>
      <c r="AU67">
        <v>2014</v>
      </c>
      <c r="AV67">
        <v>47</v>
      </c>
      <c r="AW67"/>
      <c r="AX67"/>
      <c r="AY67"/>
      <c r="AZ67" t="s">
        <v>222</v>
      </c>
      <c r="BA67"/>
      <c r="BB67">
        <v>5</v>
      </c>
      <c r="BC67">
        <v>6</v>
      </c>
      <c r="BD67"/>
      <c r="BE67" t="s">
        <v>602</v>
      </c>
      <c r="BF67" t="str">
        <f>HYPERLINK("http://dx.doi.org/10.1016/j.ecolind.2014.09.021","http://dx.doi.org/10.1016/j.ecolind.2014.09.021")</f>
        <v>http://dx.doi.org/10.1016/j.ecolind.2014.09.021</v>
      </c>
      <c r="BG67"/>
      <c r="BH67"/>
      <c r="BI67"/>
      <c r="BJ67" t="s">
        <v>94</v>
      </c>
      <c r="BK67"/>
      <c r="BL67"/>
      <c r="BM67"/>
      <c r="BN67"/>
      <c r="BO67"/>
      <c r="BP67"/>
      <c r="BQ67"/>
      <c r="BR67"/>
      <c r="BS67"/>
      <c r="BT67" t="str">
        <f>HYPERLINK("https%3A%2F%2Fwww.webofscience.com%2Fwos%2Fwoscc%2Ffull-record%2F","View Full Record in Web of Science")</f>
        <v>View Full Record in Web of Science</v>
      </c>
    </row>
    <row r="68" spans="1:72" customHeight="1" ht="12.75">
      <c r="A68" t="s">
        <v>72</v>
      </c>
      <c r="B68" t="s">
        <v>603</v>
      </c>
      <c r="C68"/>
      <c r="D68"/>
      <c r="E68"/>
      <c r="F68" t="s">
        <v>604</v>
      </c>
      <c r="G68"/>
      <c r="H68"/>
      <c r="I68" t="s">
        <v>605</v>
      </c>
      <c r="J68" t="s">
        <v>87</v>
      </c>
      <c r="K68"/>
      <c r="L68"/>
      <c r="M68"/>
      <c r="N68" t="s">
        <v>112</v>
      </c>
      <c r="O68"/>
      <c r="P68"/>
      <c r="Q68"/>
      <c r="R68"/>
      <c r="S68"/>
      <c r="T68" t="s">
        <v>606</v>
      </c>
      <c r="U68" t="s">
        <v>607</v>
      </c>
      <c r="V68"/>
      <c r="W68"/>
      <c r="X68"/>
      <c r="Y68"/>
      <c r="Z68"/>
      <c r="AA68"/>
      <c r="AB68"/>
      <c r="AC68"/>
      <c r="AD68"/>
      <c r="AE68"/>
      <c r="AF68"/>
      <c r="AG68"/>
      <c r="AH68">
        <v>7</v>
      </c>
      <c r="AI68">
        <v>7</v>
      </c>
      <c r="AJ68"/>
      <c r="AK68"/>
      <c r="AL68"/>
      <c r="AM68"/>
      <c r="AN68"/>
      <c r="AO68" t="s">
        <v>90</v>
      </c>
      <c r="AP68" t="s">
        <v>91</v>
      </c>
      <c r="AQ68"/>
      <c r="AR68"/>
      <c r="AS68"/>
      <c r="AT68" t="s">
        <v>362</v>
      </c>
      <c r="AU68">
        <v>2019</v>
      </c>
      <c r="AV68">
        <v>101</v>
      </c>
      <c r="AW68"/>
      <c r="AX68"/>
      <c r="AY68"/>
      <c r="AZ68"/>
      <c r="BA68"/>
      <c r="BB68">
        <v>1077</v>
      </c>
      <c r="BC68">
        <v>1085</v>
      </c>
      <c r="BD68"/>
      <c r="BE68" t="s">
        <v>608</v>
      </c>
      <c r="BF68" t="str">
        <f>HYPERLINK("http://dx.doi.org/10.1016/j.ecolind.2018.11.022","http://dx.doi.org/10.1016/j.ecolind.2018.11.022")</f>
        <v>http://dx.doi.org/10.1016/j.ecolind.2018.11.022</v>
      </c>
      <c r="BG68"/>
      <c r="BH68"/>
      <c r="BI68"/>
      <c r="BJ68" t="s">
        <v>94</v>
      </c>
      <c r="BK68"/>
      <c r="BL68"/>
      <c r="BM68"/>
      <c r="BN68"/>
      <c r="BO68"/>
      <c r="BP68"/>
      <c r="BQ68"/>
      <c r="BR68"/>
      <c r="BS68"/>
      <c r="BT68" t="str">
        <f>HYPERLINK("https%3A%2F%2Fwww.webofscience.com%2Fwos%2Fwoscc%2Ffull-record%2F","View Full Record in Web of Science")</f>
        <v>View Full Record in Web of Science</v>
      </c>
    </row>
    <row r="69" spans="1:72" customHeight="1" ht="12.75">
      <c r="A69" t="s">
        <v>72</v>
      </c>
      <c r="B69" t="s">
        <v>609</v>
      </c>
      <c r="C69"/>
      <c r="D69"/>
      <c r="E69"/>
      <c r="F69" t="s">
        <v>610</v>
      </c>
      <c r="G69"/>
      <c r="H69"/>
      <c r="I69" t="s">
        <v>611</v>
      </c>
      <c r="J69" t="s">
        <v>612</v>
      </c>
      <c r="K69"/>
      <c r="L69"/>
      <c r="M69"/>
      <c r="N69" t="s">
        <v>52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0.0</v>
      </c>
      <c r="AI69">
        <v>0.0</v>
      </c>
      <c r="AJ69"/>
      <c r="AK69"/>
      <c r="AL69"/>
      <c r="AM69"/>
      <c r="AN69"/>
      <c r="AO69" t="s">
        <v>613</v>
      </c>
      <c r="AP69"/>
      <c r="AQ69"/>
      <c r="AR69"/>
      <c r="AS69"/>
      <c r="AT69" t="s">
        <v>614</v>
      </c>
      <c r="AU69">
        <v>2018</v>
      </c>
      <c r="AV69">
        <v>256</v>
      </c>
      <c r="AW69"/>
      <c r="AX69"/>
      <c r="AY69"/>
      <c r="AZ69"/>
      <c r="BA69">
        <v>783</v>
      </c>
      <c r="BB69"/>
      <c r="BC69"/>
      <c r="BD69"/>
      <c r="BE69"/>
      <c r="BF69"/>
      <c r="BG69"/>
      <c r="BH69"/>
      <c r="BI69"/>
      <c r="BJ69" t="s">
        <v>615</v>
      </c>
      <c r="BK69"/>
      <c r="BL69"/>
      <c r="BM69"/>
      <c r="BN69"/>
      <c r="BO69"/>
      <c r="BP69"/>
      <c r="BQ69"/>
      <c r="BR69"/>
      <c r="BS69"/>
      <c r="BT69" t="str">
        <f>HYPERLINK("https%3A%2F%2Fwww.webofscience.com%2Fwos%2Fwoscc%2Ffull-record%2F","View Full Record in Web of Science")</f>
        <v>View Full Record in Web of Science</v>
      </c>
    </row>
    <row r="70" spans="1:72" customHeight="1" ht="12.75">
      <c r="A70" t="s">
        <v>72</v>
      </c>
      <c r="B70" t="s">
        <v>616</v>
      </c>
      <c r="C70"/>
      <c r="D70"/>
      <c r="E70"/>
      <c r="F70" t="s">
        <v>617</v>
      </c>
      <c r="G70"/>
      <c r="H70"/>
      <c r="I70" t="s">
        <v>618</v>
      </c>
      <c r="J70" t="s">
        <v>619</v>
      </c>
      <c r="K70"/>
      <c r="L70"/>
      <c r="M70"/>
      <c r="N70" t="s">
        <v>112</v>
      </c>
      <c r="O70"/>
      <c r="P70"/>
      <c r="Q70"/>
      <c r="R70"/>
      <c r="S70"/>
      <c r="T70" t="s">
        <v>620</v>
      </c>
      <c r="U70" t="s">
        <v>621</v>
      </c>
      <c r="V70"/>
      <c r="W70"/>
      <c r="X70"/>
      <c r="Y70"/>
      <c r="Z70"/>
      <c r="AA70"/>
      <c r="AB70"/>
      <c r="AC70"/>
      <c r="AD70"/>
      <c r="AE70"/>
      <c r="AF70"/>
      <c r="AG70"/>
      <c r="AH70">
        <v>7</v>
      </c>
      <c r="AI70">
        <v>7</v>
      </c>
      <c r="AJ70"/>
      <c r="AK70"/>
      <c r="AL70"/>
      <c r="AM70"/>
      <c r="AN70"/>
      <c r="AO70" t="s">
        <v>622</v>
      </c>
      <c r="AP70" t="s">
        <v>623</v>
      </c>
      <c r="AQ70"/>
      <c r="AR70"/>
      <c r="AS70"/>
      <c r="AT70" t="s">
        <v>624</v>
      </c>
      <c r="AU70">
        <v>2020</v>
      </c>
      <c r="AV70">
        <v>195</v>
      </c>
      <c r="AW70"/>
      <c r="AX70"/>
      <c r="AY70"/>
      <c r="AZ70"/>
      <c r="BA70"/>
      <c r="BB70"/>
      <c r="BC70"/>
      <c r="BD70">
        <v>117048</v>
      </c>
      <c r="BE70" t="s">
        <v>625</v>
      </c>
      <c r="BF70" t="str">
        <f>HYPERLINK("http://dx.doi.org/10.1016/j.energy.2020.117048","http://dx.doi.org/10.1016/j.energy.2020.117048")</f>
        <v>http://dx.doi.org/10.1016/j.energy.2020.117048</v>
      </c>
      <c r="BG70"/>
      <c r="BH70"/>
      <c r="BI70"/>
      <c r="BJ70" t="s">
        <v>626</v>
      </c>
      <c r="BK70"/>
      <c r="BL70"/>
      <c r="BM70"/>
      <c r="BN70"/>
      <c r="BO70"/>
      <c r="BP70"/>
      <c r="BQ70"/>
      <c r="BR70"/>
      <c r="BS70"/>
      <c r="BT70" t="str">
        <f>HYPERLINK("https%3A%2F%2Fwww.webofscience.com%2Fwos%2Fwoscc%2Ffull-record%2F","View Full Record in Web of Science")</f>
        <v>View Full Record in Web of Science</v>
      </c>
    </row>
    <row r="71" spans="1:72" customHeight="1" ht="12.75">
      <c r="A71" t="s">
        <v>72</v>
      </c>
      <c r="B71" t="s">
        <v>627</v>
      </c>
      <c r="C71"/>
      <c r="D71"/>
      <c r="E71"/>
      <c r="F71" t="s">
        <v>628</v>
      </c>
      <c r="G71"/>
      <c r="H71"/>
      <c r="I71" t="s">
        <v>629</v>
      </c>
      <c r="J71" t="s">
        <v>630</v>
      </c>
      <c r="K71"/>
      <c r="L71"/>
      <c r="M71"/>
      <c r="N71" t="s">
        <v>349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>
        <v>0.0</v>
      </c>
      <c r="AI71">
        <v>0.0</v>
      </c>
      <c r="AJ71"/>
      <c r="AK71"/>
      <c r="AL71"/>
      <c r="AM71"/>
      <c r="AN71"/>
      <c r="AO71" t="s">
        <v>631</v>
      </c>
      <c r="AP71"/>
      <c r="AQ71"/>
      <c r="AR71"/>
      <c r="AS71"/>
      <c r="AT71" t="s">
        <v>190</v>
      </c>
      <c r="AU71">
        <v>2008</v>
      </c>
      <c r="AV71">
        <v>23</v>
      </c>
      <c r="AW71">
        <v>1</v>
      </c>
      <c r="AX71"/>
      <c r="AY71"/>
      <c r="AZ71"/>
      <c r="BA71"/>
      <c r="BB71">
        <v>77</v>
      </c>
      <c r="BC71">
        <v>78</v>
      </c>
      <c r="BD71"/>
      <c r="BE71" t="s">
        <v>632</v>
      </c>
      <c r="BF71" t="str">
        <f>HYPERLINK("http://dx.doi.org/10.1007/s10901-007-9098-1","http://dx.doi.org/10.1007/s10901-007-9098-1")</f>
        <v>http://dx.doi.org/10.1007/s10901-007-9098-1</v>
      </c>
      <c r="BG71"/>
      <c r="BH71"/>
      <c r="BI71"/>
      <c r="BJ71" t="s">
        <v>633</v>
      </c>
      <c r="BK71"/>
      <c r="BL71"/>
      <c r="BM71"/>
      <c r="BN71"/>
      <c r="BO71"/>
      <c r="BP71"/>
      <c r="BQ71"/>
      <c r="BR71"/>
      <c r="BS71"/>
      <c r="BT71" t="str">
        <f>HYPERLINK("https%3A%2F%2Fwww.webofscience.com%2Fwos%2Fwoscc%2Ffull-record%2F","View Full Record in Web of Science")</f>
        <v>View Full Record in Web of Science</v>
      </c>
    </row>
    <row r="72" spans="1:72" customHeight="1" ht="12.75">
      <c r="A72" t="s">
        <v>72</v>
      </c>
      <c r="B72" t="s">
        <v>634</v>
      </c>
      <c r="C72"/>
      <c r="D72"/>
      <c r="E72"/>
      <c r="F72" t="s">
        <v>635</v>
      </c>
      <c r="G72"/>
      <c r="H72"/>
      <c r="I72" t="s">
        <v>636</v>
      </c>
      <c r="J72" t="s">
        <v>637</v>
      </c>
      <c r="K72"/>
      <c r="L72"/>
      <c r="M72"/>
      <c r="N72" t="s">
        <v>112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>
        <v>0.0</v>
      </c>
      <c r="AI72">
        <v>0.0</v>
      </c>
      <c r="AJ72"/>
      <c r="AK72"/>
      <c r="AL72"/>
      <c r="AM72"/>
      <c r="AN72"/>
      <c r="AO72" t="s">
        <v>638</v>
      </c>
      <c r="AP72"/>
      <c r="AQ72"/>
      <c r="AR72"/>
      <c r="AS72"/>
      <c r="AT72" t="s">
        <v>385</v>
      </c>
      <c r="AU72">
        <v>2007</v>
      </c>
      <c r="AV72">
        <v>133</v>
      </c>
      <c r="AW72"/>
      <c r="AX72"/>
      <c r="AY72"/>
      <c r="AZ72"/>
      <c r="BA72"/>
      <c r="BB72">
        <v>118</v>
      </c>
      <c r="BC72">
        <v>129</v>
      </c>
      <c r="BD72"/>
      <c r="BE72"/>
      <c r="BF72"/>
      <c r="BG72"/>
      <c r="BH72"/>
      <c r="BI72"/>
      <c r="BJ72" t="s">
        <v>233</v>
      </c>
      <c r="BK72"/>
      <c r="BL72"/>
      <c r="BM72"/>
      <c r="BN72"/>
      <c r="BO72"/>
      <c r="BP72"/>
      <c r="BQ72"/>
      <c r="BR72"/>
      <c r="BS72"/>
      <c r="BT72" t="str">
        <f>HYPERLINK("https%3A%2F%2Fwww.webofscience.com%2Fwos%2Fwoscc%2Ffull-record%2F","View Full Record in Web of Science")</f>
        <v>View Full Record in Web of Science</v>
      </c>
    </row>
    <row r="73" spans="1:72" customHeight="1" ht="12.75">
      <c r="A73" t="s">
        <v>72</v>
      </c>
      <c r="B73" t="s">
        <v>639</v>
      </c>
      <c r="C73"/>
      <c r="D73"/>
      <c r="E73"/>
      <c r="F73" t="s">
        <v>640</v>
      </c>
      <c r="G73"/>
      <c r="H73"/>
      <c r="I73" t="s">
        <v>641</v>
      </c>
      <c r="J73" t="s">
        <v>642</v>
      </c>
      <c r="K73"/>
      <c r="L73"/>
      <c r="M73"/>
      <c r="N73" t="s">
        <v>349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3</v>
      </c>
      <c r="AI73">
        <v>4</v>
      </c>
      <c r="AJ73"/>
      <c r="AK73"/>
      <c r="AL73"/>
      <c r="AM73"/>
      <c r="AN73"/>
      <c r="AO73" t="s">
        <v>643</v>
      </c>
      <c r="AP73"/>
      <c r="AQ73"/>
      <c r="AR73"/>
      <c r="AS73"/>
      <c r="AT73" t="s">
        <v>644</v>
      </c>
      <c r="AU73">
        <v>2007</v>
      </c>
      <c r="AV73">
        <v>28</v>
      </c>
      <c r="AW73">
        <v>2</v>
      </c>
      <c r="AX73"/>
      <c r="AY73"/>
      <c r="AZ73"/>
      <c r="BA73"/>
      <c r="BB73">
        <v>206</v>
      </c>
      <c r="BC73">
        <v>208</v>
      </c>
      <c r="BD73"/>
      <c r="BE73" t="s">
        <v>645</v>
      </c>
      <c r="BF73" t="str">
        <f>HYPERLINK("http://dx.doi.org/10.2747/0272-3638.28.2.206","http://dx.doi.org/10.2747/0272-3638.28.2.206")</f>
        <v>http://dx.doi.org/10.2747/0272-3638.28.2.206</v>
      </c>
      <c r="BG73"/>
      <c r="BH73"/>
      <c r="BI73"/>
      <c r="BJ73" t="s">
        <v>646</v>
      </c>
      <c r="BK73"/>
      <c r="BL73"/>
      <c r="BM73"/>
      <c r="BN73"/>
      <c r="BO73"/>
      <c r="BP73"/>
      <c r="BQ73"/>
      <c r="BR73"/>
      <c r="BS73"/>
      <c r="BT73" t="str">
        <f>HYPERLINK("https%3A%2F%2Fwww.webofscience.com%2Fwos%2Fwoscc%2Ffull-record%2F","View Full Record in Web of Science")</f>
        <v>View Full Record in Web of Science</v>
      </c>
    </row>
    <row r="74" spans="1:72" customHeight="1" ht="12.75">
      <c r="A74" t="s">
        <v>72</v>
      </c>
      <c r="B74" t="s">
        <v>647</v>
      </c>
      <c r="C74"/>
      <c r="D74"/>
      <c r="E74"/>
      <c r="F74" t="s">
        <v>648</v>
      </c>
      <c r="G74"/>
      <c r="H74"/>
      <c r="I74" t="s">
        <v>649</v>
      </c>
      <c r="J74" t="s">
        <v>650</v>
      </c>
      <c r="K74"/>
      <c r="L74"/>
      <c r="M74"/>
      <c r="N74" t="s">
        <v>112</v>
      </c>
      <c r="O74"/>
      <c r="P74"/>
      <c r="Q74"/>
      <c r="R74"/>
      <c r="S74"/>
      <c r="T74"/>
      <c r="U74" t="s">
        <v>651</v>
      </c>
      <c r="V74"/>
      <c r="W74"/>
      <c r="X74"/>
      <c r="Y74"/>
      <c r="Z74"/>
      <c r="AA74"/>
      <c r="AB74"/>
      <c r="AC74"/>
      <c r="AD74"/>
      <c r="AE74"/>
      <c r="AF74"/>
      <c r="AG74"/>
      <c r="AH74">
        <v>45</v>
      </c>
      <c r="AI74">
        <v>47</v>
      </c>
      <c r="AJ74"/>
      <c r="AK74"/>
      <c r="AL74"/>
      <c r="AM74"/>
      <c r="AN74"/>
      <c r="AO74" t="s">
        <v>652</v>
      </c>
      <c r="AP74"/>
      <c r="AQ74"/>
      <c r="AR74"/>
      <c r="AS74"/>
      <c r="AT74" t="s">
        <v>198</v>
      </c>
      <c r="AU74">
        <v>2012</v>
      </c>
      <c r="AV74">
        <v>4</v>
      </c>
      <c r="AW74">
        <v>4</v>
      </c>
      <c r="AX74"/>
      <c r="AY74"/>
      <c r="AZ74"/>
      <c r="BA74"/>
      <c r="BB74">
        <v>451</v>
      </c>
      <c r="BC74">
        <v>457</v>
      </c>
      <c r="BD74"/>
      <c r="BE74" t="s">
        <v>653</v>
      </c>
      <c r="BF74" t="str">
        <f>HYPERLINK("http://dx.doi.org/10.1016/j.cosust.2012.08.004","http://dx.doi.org/10.1016/j.cosust.2012.08.004")</f>
        <v>http://dx.doi.org/10.1016/j.cosust.2012.08.004</v>
      </c>
      <c r="BG74"/>
      <c r="BH74"/>
      <c r="BI74"/>
      <c r="BJ74" t="s">
        <v>654</v>
      </c>
      <c r="BK74"/>
      <c r="BL74"/>
      <c r="BM74"/>
      <c r="BN74"/>
      <c r="BO74"/>
      <c r="BP74"/>
      <c r="BQ74"/>
      <c r="BR74"/>
      <c r="BS74"/>
      <c r="BT74" t="str">
        <f>HYPERLINK("https%3A%2F%2Fwww.webofscience.com%2Fwos%2Fwoscc%2Ffull-record%2F","View Full Record in Web of Science")</f>
        <v>View Full Record in Web of Science</v>
      </c>
    </row>
    <row r="75" spans="1:72" customHeight="1" ht="12.75">
      <c r="A75" t="s">
        <v>72</v>
      </c>
      <c r="B75" t="s">
        <v>655</v>
      </c>
      <c r="C75"/>
      <c r="D75"/>
      <c r="E75"/>
      <c r="F75" t="s">
        <v>656</v>
      </c>
      <c r="G75"/>
      <c r="H75"/>
      <c r="I75" t="s">
        <v>657</v>
      </c>
      <c r="J75" t="s">
        <v>214</v>
      </c>
      <c r="K75"/>
      <c r="L75"/>
      <c r="M75"/>
      <c r="N75" t="s">
        <v>77</v>
      </c>
      <c r="O75"/>
      <c r="P75"/>
      <c r="Q75"/>
      <c r="R75"/>
      <c r="S75"/>
      <c r="T75" t="s">
        <v>658</v>
      </c>
      <c r="U75" t="s">
        <v>659</v>
      </c>
      <c r="V75"/>
      <c r="W75"/>
      <c r="X75"/>
      <c r="Y75"/>
      <c r="Z75"/>
      <c r="AA75"/>
      <c r="AB75"/>
      <c r="AC75"/>
      <c r="AD75"/>
      <c r="AE75"/>
      <c r="AF75"/>
      <c r="AG75"/>
      <c r="AH75">
        <v>192</v>
      </c>
      <c r="AI75">
        <v>206</v>
      </c>
      <c r="AJ75"/>
      <c r="AK75"/>
      <c r="AL75"/>
      <c r="AM75"/>
      <c r="AN75"/>
      <c r="AO75" t="s">
        <v>218</v>
      </c>
      <c r="AP75" t="s">
        <v>219</v>
      </c>
      <c r="AQ75"/>
      <c r="AR75"/>
      <c r="AS75"/>
      <c r="AT75" t="s">
        <v>385</v>
      </c>
      <c r="AU75">
        <v>2013</v>
      </c>
      <c r="AV75">
        <v>178</v>
      </c>
      <c r="AW75"/>
      <c r="AX75"/>
      <c r="AY75"/>
      <c r="AZ75"/>
      <c r="BA75"/>
      <c r="BB75">
        <v>463</v>
      </c>
      <c r="BC75">
        <v>473</v>
      </c>
      <c r="BD75"/>
      <c r="BE75" t="s">
        <v>660</v>
      </c>
      <c r="BF75" t="str">
        <f>HYPERLINK("http://dx.doi.org/10.1016/j.envpol.2013.03.052","http://dx.doi.org/10.1016/j.envpol.2013.03.052")</f>
        <v>http://dx.doi.org/10.1016/j.envpol.2013.03.052</v>
      </c>
      <c r="BG75"/>
      <c r="BH75"/>
      <c r="BI75"/>
      <c r="BJ75" t="s">
        <v>224</v>
      </c>
      <c r="BK75"/>
      <c r="BL75"/>
      <c r="BM75"/>
      <c r="BN75"/>
      <c r="BO75"/>
      <c r="BP75"/>
      <c r="BQ75"/>
      <c r="BR75"/>
      <c r="BS75"/>
      <c r="BT75" t="str">
        <f>HYPERLINK("https%3A%2F%2Fwww.webofscience.com%2Fwos%2Fwoscc%2Ffull-record%2F","View Full Record in Web of Science")</f>
        <v>View Full Record in Web of Science</v>
      </c>
    </row>
    <row r="76" spans="1:72" customHeight="1" ht="12.75">
      <c r="A76" t="s">
        <v>72</v>
      </c>
      <c r="B76" t="s">
        <v>661</v>
      </c>
      <c r="C76"/>
      <c r="D76"/>
      <c r="E76"/>
      <c r="F76" t="s">
        <v>662</v>
      </c>
      <c r="G76"/>
      <c r="H76"/>
      <c r="I76" t="s">
        <v>663</v>
      </c>
      <c r="J76" t="s">
        <v>457</v>
      </c>
      <c r="K76"/>
      <c r="L76"/>
      <c r="M76"/>
      <c r="N76" t="s">
        <v>112</v>
      </c>
      <c r="O76"/>
      <c r="P76"/>
      <c r="Q76"/>
      <c r="R76"/>
      <c r="S76"/>
      <c r="T76" t="s">
        <v>664</v>
      </c>
      <c r="U76" t="s">
        <v>665</v>
      </c>
      <c r="V76"/>
      <c r="W76"/>
      <c r="X76"/>
      <c r="Y76"/>
      <c r="Z76"/>
      <c r="AA76"/>
      <c r="AB76"/>
      <c r="AC76"/>
      <c r="AD76"/>
      <c r="AE76"/>
      <c r="AF76"/>
      <c r="AG76"/>
      <c r="AH76">
        <v>10</v>
      </c>
      <c r="AI76">
        <v>10</v>
      </c>
      <c r="AJ76"/>
      <c r="AK76"/>
      <c r="AL76"/>
      <c r="AM76"/>
      <c r="AN76"/>
      <c r="AO76"/>
      <c r="AP76" t="s">
        <v>458</v>
      </c>
      <c r="AQ76"/>
      <c r="AR76"/>
      <c r="AS76"/>
      <c r="AT76" t="s">
        <v>154</v>
      </c>
      <c r="AU76">
        <v>2021</v>
      </c>
      <c r="AV76">
        <v>13</v>
      </c>
      <c r="AW76">
        <v>16</v>
      </c>
      <c r="AX76"/>
      <c r="AY76"/>
      <c r="AZ76"/>
      <c r="BA76"/>
      <c r="BB76"/>
      <c r="BC76"/>
      <c r="BD76">
        <v>9094</v>
      </c>
      <c r="BE76" t="s">
        <v>666</v>
      </c>
      <c r="BF76" t="str">
        <f>HYPERLINK("http://dx.doi.org/10.3390/su13169094","http://dx.doi.org/10.3390/su13169094")</f>
        <v>http://dx.doi.org/10.3390/su13169094</v>
      </c>
      <c r="BG76"/>
      <c r="BH76"/>
      <c r="BI76"/>
      <c r="BJ76" t="s">
        <v>460</v>
      </c>
      <c r="BK76"/>
      <c r="BL76"/>
      <c r="BM76"/>
      <c r="BN76"/>
      <c r="BO76"/>
      <c r="BP76"/>
      <c r="BQ76"/>
      <c r="BR76"/>
      <c r="BS76"/>
      <c r="BT76" t="str">
        <f>HYPERLINK("https%3A%2F%2Fwww.webofscience.com%2Fwos%2Fwoscc%2Ffull-record%2F","View Full Record in Web of Science")</f>
        <v>View Full Record in Web of Science</v>
      </c>
    </row>
    <row r="77" spans="1:72" customHeight="1" ht="12.75">
      <c r="A77" t="s">
        <v>72</v>
      </c>
      <c r="B77" t="s">
        <v>667</v>
      </c>
      <c r="C77"/>
      <c r="D77"/>
      <c r="E77"/>
      <c r="F77" t="s">
        <v>668</v>
      </c>
      <c r="G77"/>
      <c r="H77"/>
      <c r="I77" t="s">
        <v>669</v>
      </c>
      <c r="J77" t="s">
        <v>133</v>
      </c>
      <c r="K77"/>
      <c r="L77"/>
      <c r="M77"/>
      <c r="N77" t="s">
        <v>670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>
        <v>0.0</v>
      </c>
      <c r="AI77">
        <v>0.0</v>
      </c>
      <c r="AJ77"/>
      <c r="AK77"/>
      <c r="AL77"/>
      <c r="AM77"/>
      <c r="AN77"/>
      <c r="AO77" t="s">
        <v>136</v>
      </c>
      <c r="AP77" t="s">
        <v>137</v>
      </c>
      <c r="AQ77"/>
      <c r="AR77"/>
      <c r="AS77"/>
      <c r="AT77" t="s">
        <v>671</v>
      </c>
      <c r="AU77">
        <v>2019</v>
      </c>
      <c r="AV77">
        <v>23</v>
      </c>
      <c r="AW77">
        <v>4</v>
      </c>
      <c r="AX77"/>
      <c r="AY77"/>
      <c r="AZ77"/>
      <c r="BA77"/>
      <c r="BB77">
        <v>998</v>
      </c>
      <c r="BC77">
        <v>1000</v>
      </c>
      <c r="BD77"/>
      <c r="BE77" t="s">
        <v>672</v>
      </c>
      <c r="BF77" t="str">
        <f>HYPERLINK("http://dx.doi.org/10.1111/jiec.12925","http://dx.doi.org/10.1111/jiec.12925")</f>
        <v>http://dx.doi.org/10.1111/jiec.12925</v>
      </c>
      <c r="BG77"/>
      <c r="BH77" t="s">
        <v>673</v>
      </c>
      <c r="BI77"/>
      <c r="BJ77" t="s">
        <v>139</v>
      </c>
      <c r="BK77"/>
      <c r="BL77"/>
      <c r="BM77"/>
      <c r="BN77"/>
      <c r="BO77"/>
      <c r="BP77"/>
      <c r="BQ77"/>
      <c r="BR77"/>
      <c r="BS77"/>
      <c r="BT77" t="str">
        <f>HYPERLINK("https%3A%2F%2Fwww.webofscience.com%2Fwos%2Fwoscc%2Ffull-record%2F","View Full Record in Web of Science")</f>
        <v>View Full Record in Web of Science</v>
      </c>
    </row>
    <row r="78" spans="1:72" customHeight="1" ht="12.75">
      <c r="A78" t="s">
        <v>72</v>
      </c>
      <c r="B78" t="s">
        <v>609</v>
      </c>
      <c r="C78"/>
      <c r="D78"/>
      <c r="E78"/>
      <c r="F78" t="s">
        <v>610</v>
      </c>
      <c r="G78"/>
      <c r="H78"/>
      <c r="I78" t="s">
        <v>674</v>
      </c>
      <c r="J78" t="s">
        <v>612</v>
      </c>
      <c r="K78"/>
      <c r="L78"/>
      <c r="M78"/>
      <c r="N78" t="s">
        <v>52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>
        <v>0.0</v>
      </c>
      <c r="AI78">
        <v>0.0</v>
      </c>
      <c r="AJ78"/>
      <c r="AK78"/>
      <c r="AL78"/>
      <c r="AM78"/>
      <c r="AN78"/>
      <c r="AO78" t="s">
        <v>613</v>
      </c>
      <c r="AP78"/>
      <c r="AQ78"/>
      <c r="AR78"/>
      <c r="AS78"/>
      <c r="AT78" t="s">
        <v>675</v>
      </c>
      <c r="AU78">
        <v>2016</v>
      </c>
      <c r="AV78">
        <v>252</v>
      </c>
      <c r="AW78"/>
      <c r="AX78"/>
      <c r="AY78"/>
      <c r="AZ78"/>
      <c r="BA78">
        <v>2</v>
      </c>
      <c r="BB78"/>
      <c r="BC78"/>
      <c r="BD78"/>
      <c r="BE78"/>
      <c r="BF78"/>
      <c r="BG78"/>
      <c r="BH78"/>
      <c r="BI78"/>
      <c r="BJ78" t="s">
        <v>615</v>
      </c>
      <c r="BK78"/>
      <c r="BL78"/>
      <c r="BM78"/>
      <c r="BN78"/>
      <c r="BO78"/>
      <c r="BP78"/>
      <c r="BQ78"/>
      <c r="BR78"/>
      <c r="BS78"/>
      <c r="BT78" t="str">
        <f>HYPERLINK("https%3A%2F%2Fwww.webofscience.com%2Fwos%2Fwoscc%2Ffull-record%2F","View Full Record in Web of Science")</f>
        <v>View Full Record in Web of Science</v>
      </c>
    </row>
    <row r="79" spans="1:72" customHeight="1" ht="12.75">
      <c r="A79" t="s">
        <v>72</v>
      </c>
      <c r="B79" t="s">
        <v>676</v>
      </c>
      <c r="C79"/>
      <c r="D79"/>
      <c r="E79"/>
      <c r="F79" t="s">
        <v>677</v>
      </c>
      <c r="G79"/>
      <c r="H79"/>
      <c r="I79" t="s">
        <v>678</v>
      </c>
      <c r="J79" t="s">
        <v>612</v>
      </c>
      <c r="K79"/>
      <c r="L79"/>
      <c r="M79"/>
      <c r="N79" t="s">
        <v>52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>
        <v>0.0</v>
      </c>
      <c r="AI79">
        <v>0.0</v>
      </c>
      <c r="AJ79"/>
      <c r="AK79"/>
      <c r="AL79"/>
      <c r="AM79"/>
      <c r="AN79"/>
      <c r="AO79" t="s">
        <v>613</v>
      </c>
      <c r="AP79"/>
      <c r="AQ79"/>
      <c r="AR79"/>
      <c r="AS79"/>
      <c r="AT79" t="s">
        <v>675</v>
      </c>
      <c r="AU79">
        <v>2016</v>
      </c>
      <c r="AV79">
        <v>252</v>
      </c>
      <c r="AW79"/>
      <c r="AX79"/>
      <c r="AY79"/>
      <c r="AZ79"/>
      <c r="BA79">
        <v>119</v>
      </c>
      <c r="BB79"/>
      <c r="BC79"/>
      <c r="BD79"/>
      <c r="BE79"/>
      <c r="BF79"/>
      <c r="BG79"/>
      <c r="BH79"/>
      <c r="BI79"/>
      <c r="BJ79" t="s">
        <v>615</v>
      </c>
      <c r="BK79"/>
      <c r="BL79"/>
      <c r="BM79"/>
      <c r="BN79"/>
      <c r="BO79"/>
      <c r="BP79"/>
      <c r="BQ79"/>
      <c r="BR79"/>
      <c r="BS79"/>
      <c r="BT79" t="str">
        <f>HYPERLINK("https%3A%2F%2Fwww.webofscience.com%2Fwos%2Fwoscc%2Ffull-record%2F","View Full Record in Web of Science")</f>
        <v>View Full Record in Web of Science</v>
      </c>
    </row>
    <row r="80" spans="1:72" customHeight="1" ht="12.75">
      <c r="A80" t="s">
        <v>72</v>
      </c>
      <c r="B80" t="s">
        <v>469</v>
      </c>
      <c r="C80"/>
      <c r="D80"/>
      <c r="E80"/>
      <c r="F80" t="s">
        <v>470</v>
      </c>
      <c r="G80"/>
      <c r="H80"/>
      <c r="I80" t="s">
        <v>679</v>
      </c>
      <c r="J80" t="s">
        <v>457</v>
      </c>
      <c r="K80"/>
      <c r="L80"/>
      <c r="M80"/>
      <c r="N80" t="s">
        <v>112</v>
      </c>
      <c r="O80"/>
      <c r="P80"/>
      <c r="Q80"/>
      <c r="R80"/>
      <c r="S80"/>
      <c r="T80" t="s">
        <v>680</v>
      </c>
      <c r="U80" t="s">
        <v>681</v>
      </c>
      <c r="V80"/>
      <c r="W80"/>
      <c r="X80"/>
      <c r="Y80"/>
      <c r="Z80"/>
      <c r="AA80"/>
      <c r="AB80"/>
      <c r="AC80"/>
      <c r="AD80"/>
      <c r="AE80"/>
      <c r="AF80"/>
      <c r="AG80"/>
      <c r="AH80">
        <v>17</v>
      </c>
      <c r="AI80">
        <v>17</v>
      </c>
      <c r="AJ80"/>
      <c r="AK80"/>
      <c r="AL80"/>
      <c r="AM80"/>
      <c r="AN80"/>
      <c r="AO80"/>
      <c r="AP80" t="s">
        <v>458</v>
      </c>
      <c r="AQ80"/>
      <c r="AR80"/>
      <c r="AS80"/>
      <c r="AT80" t="s">
        <v>362</v>
      </c>
      <c r="AU80">
        <v>2021</v>
      </c>
      <c r="AV80">
        <v>13</v>
      </c>
      <c r="AW80">
        <v>11</v>
      </c>
      <c r="AX80"/>
      <c r="AY80"/>
      <c r="AZ80"/>
      <c r="BA80"/>
      <c r="BB80"/>
      <c r="BC80"/>
      <c r="BD80">
        <v>6043</v>
      </c>
      <c r="BE80" t="s">
        <v>682</v>
      </c>
      <c r="BF80" t="str">
        <f>HYPERLINK("http://dx.doi.org/10.3390/su13116043","http://dx.doi.org/10.3390/su13116043")</f>
        <v>http://dx.doi.org/10.3390/su13116043</v>
      </c>
      <c r="BG80"/>
      <c r="BH80"/>
      <c r="BI80"/>
      <c r="BJ80" t="s">
        <v>460</v>
      </c>
      <c r="BK80"/>
      <c r="BL80"/>
      <c r="BM80"/>
      <c r="BN80"/>
      <c r="BO80"/>
      <c r="BP80"/>
      <c r="BQ80"/>
      <c r="BR80"/>
      <c r="BS80"/>
      <c r="BT80" t="str">
        <f>HYPERLINK("https%3A%2F%2Fwww.webofscience.com%2Fwos%2Fwoscc%2Ffull-record%2F","View Full Record in Web of Science")</f>
        <v>View Full Record in Web of Science</v>
      </c>
    </row>
    <row r="81" spans="1:72" customHeight="1" ht="12.75">
      <c r="A81" t="s">
        <v>72</v>
      </c>
      <c r="B81" t="s">
        <v>683</v>
      </c>
      <c r="C81"/>
      <c r="D81"/>
      <c r="E81"/>
      <c r="F81" t="s">
        <v>684</v>
      </c>
      <c r="G81"/>
      <c r="H81"/>
      <c r="I81" t="s">
        <v>685</v>
      </c>
      <c r="J81" t="s">
        <v>587</v>
      </c>
      <c r="K81"/>
      <c r="L81"/>
      <c r="M81"/>
      <c r="N81" t="s">
        <v>112</v>
      </c>
      <c r="O81"/>
      <c r="P81"/>
      <c r="Q81"/>
      <c r="R81"/>
      <c r="S81"/>
      <c r="T81" t="s">
        <v>686</v>
      </c>
      <c r="U81" t="s">
        <v>687</v>
      </c>
      <c r="V81"/>
      <c r="W81"/>
      <c r="X81"/>
      <c r="Y81"/>
      <c r="Z81"/>
      <c r="AA81"/>
      <c r="AB81"/>
      <c r="AC81"/>
      <c r="AD81"/>
      <c r="AE81"/>
      <c r="AF81"/>
      <c r="AG81"/>
      <c r="AH81">
        <v>75</v>
      </c>
      <c r="AI81">
        <v>81</v>
      </c>
      <c r="AJ81"/>
      <c r="AK81"/>
      <c r="AL81"/>
      <c r="AM81"/>
      <c r="AN81"/>
      <c r="AO81" t="s">
        <v>590</v>
      </c>
      <c r="AP81" t="s">
        <v>591</v>
      </c>
      <c r="AQ81"/>
      <c r="AR81"/>
      <c r="AS81"/>
      <c r="AT81" t="s">
        <v>688</v>
      </c>
      <c r="AU81">
        <v>2017</v>
      </c>
      <c r="AV81">
        <v>163</v>
      </c>
      <c r="AW81"/>
      <c r="AX81"/>
      <c r="AY81" t="s">
        <v>689</v>
      </c>
      <c r="AZ81"/>
      <c r="BA81"/>
      <c r="BB81" t="s">
        <v>690</v>
      </c>
      <c r="BC81" t="s">
        <v>691</v>
      </c>
      <c r="BD81"/>
      <c r="BE81" t="s">
        <v>692</v>
      </c>
      <c r="BF81" t="str">
        <f>HYPERLINK("http://dx.doi.org/10.1016/j.jclepro.2016.09.014","http://dx.doi.org/10.1016/j.jclepro.2016.09.014")</f>
        <v>http://dx.doi.org/10.1016/j.jclepro.2016.09.014</v>
      </c>
      <c r="BG81"/>
      <c r="BH81"/>
      <c r="BI81"/>
      <c r="BJ81" t="s">
        <v>139</v>
      </c>
      <c r="BK81"/>
      <c r="BL81"/>
      <c r="BM81"/>
      <c r="BN81"/>
      <c r="BO81"/>
      <c r="BP81"/>
      <c r="BQ81"/>
      <c r="BR81"/>
      <c r="BS81"/>
      <c r="BT81" t="str">
        <f>HYPERLINK("https%3A%2F%2Fwww.webofscience.com%2Fwos%2Fwoscc%2Ffull-record%2F","View Full Record in Web of Science")</f>
        <v>View Full Record in Web of Science</v>
      </c>
    </row>
    <row r="82" spans="1:72" customHeight="1" ht="12.75">
      <c r="A82" t="s">
        <v>72</v>
      </c>
      <c r="B82" t="s">
        <v>493</v>
      </c>
      <c r="C82"/>
      <c r="D82"/>
      <c r="E82"/>
      <c r="F82" t="s">
        <v>493</v>
      </c>
      <c r="G82"/>
      <c r="H82"/>
      <c r="I82" t="s">
        <v>693</v>
      </c>
      <c r="J82" t="s">
        <v>495</v>
      </c>
      <c r="K82"/>
      <c r="L82"/>
      <c r="M82"/>
      <c r="N82" t="s">
        <v>694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>
        <v>1</v>
      </c>
      <c r="AI82">
        <v>1</v>
      </c>
      <c r="AJ82"/>
      <c r="AK82"/>
      <c r="AL82"/>
      <c r="AM82"/>
      <c r="AN82"/>
      <c r="AO82" t="s">
        <v>498</v>
      </c>
      <c r="AP82"/>
      <c r="AQ82"/>
      <c r="AR82"/>
      <c r="AS82"/>
      <c r="AT82" t="s">
        <v>154</v>
      </c>
      <c r="AU82">
        <v>2003</v>
      </c>
      <c r="AV82">
        <v>30</v>
      </c>
      <c r="AW82">
        <v>4</v>
      </c>
      <c r="AX82"/>
      <c r="AY82"/>
      <c r="AZ82"/>
      <c r="BA82"/>
      <c r="BB82">
        <v>794</v>
      </c>
      <c r="BC82">
        <v>794</v>
      </c>
      <c r="BD82"/>
      <c r="BE82" t="s">
        <v>695</v>
      </c>
      <c r="BF82" t="str">
        <f>HYPERLINK("http://dx.doi.org/10.1139/L03-054","http://dx.doi.org/10.1139/L03-054")</f>
        <v>http://dx.doi.org/10.1139/L03-054</v>
      </c>
      <c r="BG82"/>
      <c r="BH82"/>
      <c r="BI82"/>
      <c r="BJ82" t="s">
        <v>500</v>
      </c>
      <c r="BK82"/>
      <c r="BL82"/>
      <c r="BM82"/>
      <c r="BN82"/>
      <c r="BO82"/>
      <c r="BP82"/>
      <c r="BQ82"/>
      <c r="BR82"/>
      <c r="BS82"/>
      <c r="BT82" t="str">
        <f>HYPERLINK("https%3A%2F%2Fwww.webofscience.com%2Fwos%2Fwoscc%2Ffull-record%2F","View Full Record in Web of Science")</f>
        <v>View Full Record in Web of Science</v>
      </c>
    </row>
    <row r="83" spans="1:72" customHeight="1" ht="12.75">
      <c r="A83" t="s">
        <v>72</v>
      </c>
      <c r="B83" t="s">
        <v>603</v>
      </c>
      <c r="C83"/>
      <c r="D83"/>
      <c r="E83"/>
      <c r="F83" t="s">
        <v>604</v>
      </c>
      <c r="G83"/>
      <c r="H83"/>
      <c r="I83" t="s">
        <v>696</v>
      </c>
      <c r="J83" t="s">
        <v>697</v>
      </c>
      <c r="K83"/>
      <c r="L83"/>
      <c r="M83"/>
      <c r="N83" t="s">
        <v>325</v>
      </c>
      <c r="O83"/>
      <c r="P83"/>
      <c r="Q83"/>
      <c r="R83"/>
      <c r="S83"/>
      <c r="T83" t="s">
        <v>698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>
        <v>13</v>
      </c>
      <c r="AI83">
        <v>14</v>
      </c>
      <c r="AJ83"/>
      <c r="AK83"/>
      <c r="AL83"/>
      <c r="AM83"/>
      <c r="AN83"/>
      <c r="AO83" t="s">
        <v>699</v>
      </c>
      <c r="AP83" t="s">
        <v>700</v>
      </c>
      <c r="AQ83"/>
      <c r="AR83"/>
      <c r="AS83"/>
      <c r="AT83" t="s">
        <v>581</v>
      </c>
      <c r="AU83">
        <v>2021</v>
      </c>
      <c r="AV83">
        <v>67</v>
      </c>
      <c r="AW83"/>
      <c r="AX83"/>
      <c r="AY83"/>
      <c r="AZ83"/>
      <c r="BA83"/>
      <c r="BB83"/>
      <c r="BC83"/>
      <c r="BD83">
        <v>102695</v>
      </c>
      <c r="BE83" t="s">
        <v>701</v>
      </c>
      <c r="BF83" t="str">
        <f>HYPERLINK("http://dx.doi.org/10.1016/j.scs.2020.102695","http://dx.doi.org/10.1016/j.scs.2020.102695")</f>
        <v>http://dx.doi.org/10.1016/j.scs.2020.102695</v>
      </c>
      <c r="BG83"/>
      <c r="BH83" t="s">
        <v>583</v>
      </c>
      <c r="BI83"/>
      <c r="BJ83" t="s">
        <v>702</v>
      </c>
      <c r="BK83"/>
      <c r="BL83"/>
      <c r="BM83"/>
      <c r="BN83"/>
      <c r="BO83"/>
      <c r="BP83"/>
      <c r="BQ83"/>
      <c r="BR83"/>
      <c r="BS83"/>
      <c r="BT83" t="str">
        <f>HYPERLINK("https%3A%2F%2Fwww.webofscience.com%2Fwos%2Fwoscc%2Ffull-record%2F","View Full Record in Web of Science")</f>
        <v>View Full Record in Web of Science</v>
      </c>
    </row>
    <row r="84" spans="1:72" customHeight="1" ht="12.75">
      <c r="A84" t="s">
        <v>72</v>
      </c>
      <c r="B84" t="s">
        <v>703</v>
      </c>
      <c r="C84"/>
      <c r="D84"/>
      <c r="E84"/>
      <c r="F84" t="s">
        <v>704</v>
      </c>
      <c r="G84"/>
      <c r="H84"/>
      <c r="I84" t="s">
        <v>705</v>
      </c>
      <c r="J84" t="s">
        <v>587</v>
      </c>
      <c r="K84"/>
      <c r="L84"/>
      <c r="M84"/>
      <c r="N84" t="s">
        <v>112</v>
      </c>
      <c r="O84"/>
      <c r="P84"/>
      <c r="Q84"/>
      <c r="R84"/>
      <c r="S84"/>
      <c r="T84" t="s">
        <v>706</v>
      </c>
      <c r="U84" t="s">
        <v>707</v>
      </c>
      <c r="V84"/>
      <c r="W84"/>
      <c r="X84"/>
      <c r="Y84"/>
      <c r="Z84"/>
      <c r="AA84"/>
      <c r="AB84"/>
      <c r="AC84"/>
      <c r="AD84"/>
      <c r="AE84"/>
      <c r="AF84"/>
      <c r="AG84"/>
      <c r="AH84">
        <v>52</v>
      </c>
      <c r="AI84">
        <v>55</v>
      </c>
      <c r="AJ84"/>
      <c r="AK84"/>
      <c r="AL84"/>
      <c r="AM84"/>
      <c r="AN84"/>
      <c r="AO84" t="s">
        <v>590</v>
      </c>
      <c r="AP84" t="s">
        <v>591</v>
      </c>
      <c r="AQ84"/>
      <c r="AR84"/>
      <c r="AS84"/>
      <c r="AT84" t="s">
        <v>708</v>
      </c>
      <c r="AU84">
        <v>2016</v>
      </c>
      <c r="AV84">
        <v>114</v>
      </c>
      <c r="AW84"/>
      <c r="AX84"/>
      <c r="AY84"/>
      <c r="AZ84"/>
      <c r="BA84"/>
      <c r="BB84">
        <v>171</v>
      </c>
      <c r="BC84">
        <v>179</v>
      </c>
      <c r="BD84"/>
      <c r="BE84" t="s">
        <v>709</v>
      </c>
      <c r="BF84" t="str">
        <f>HYPERLINK("http://dx.doi.org/10.1016/j.jclepro.2015.05.053","http://dx.doi.org/10.1016/j.jclepro.2015.05.053")</f>
        <v>http://dx.doi.org/10.1016/j.jclepro.2015.05.053</v>
      </c>
      <c r="BG84"/>
      <c r="BH84"/>
      <c r="BI84"/>
      <c r="BJ84" t="s">
        <v>139</v>
      </c>
      <c r="BK84"/>
      <c r="BL84"/>
      <c r="BM84"/>
      <c r="BN84"/>
      <c r="BO84"/>
      <c r="BP84"/>
      <c r="BQ84"/>
      <c r="BR84"/>
      <c r="BS84"/>
      <c r="BT84" t="str">
        <f>HYPERLINK("https%3A%2F%2Fwww.webofscience.com%2Fwos%2Fwoscc%2Ffull-record%2F","View Full Record in Web of Science")</f>
        <v>View Full Record in Web of Science</v>
      </c>
    </row>
    <row r="85" spans="1:72" customHeight="1" ht="12.75">
      <c r="A85" t="s">
        <v>72</v>
      </c>
      <c r="B85" t="s">
        <v>710</v>
      </c>
      <c r="C85"/>
      <c r="D85"/>
      <c r="E85"/>
      <c r="F85" t="s">
        <v>711</v>
      </c>
      <c r="G85"/>
      <c r="H85"/>
      <c r="I85" t="s">
        <v>712</v>
      </c>
      <c r="J85" t="s">
        <v>315</v>
      </c>
      <c r="K85"/>
      <c r="L85"/>
      <c r="M85"/>
      <c r="N85" t="s">
        <v>112</v>
      </c>
      <c r="O85"/>
      <c r="P85"/>
      <c r="Q85"/>
      <c r="R85"/>
      <c r="S85"/>
      <c r="T85" t="s">
        <v>713</v>
      </c>
      <c r="U85" t="s">
        <v>714</v>
      </c>
      <c r="V85"/>
      <c r="W85"/>
      <c r="X85"/>
      <c r="Y85"/>
      <c r="Z85"/>
      <c r="AA85"/>
      <c r="AB85"/>
      <c r="AC85"/>
      <c r="AD85"/>
      <c r="AE85"/>
      <c r="AF85"/>
      <c r="AG85"/>
      <c r="AH85">
        <v>19</v>
      </c>
      <c r="AI85">
        <v>23</v>
      </c>
      <c r="AJ85"/>
      <c r="AK85"/>
      <c r="AL85"/>
      <c r="AM85"/>
      <c r="AN85"/>
      <c r="AO85" t="s">
        <v>318</v>
      </c>
      <c r="AP85" t="s">
        <v>319</v>
      </c>
      <c r="AQ85"/>
      <c r="AR85"/>
      <c r="AS85"/>
      <c r="AT85" t="s">
        <v>190</v>
      </c>
      <c r="AU85">
        <v>2017</v>
      </c>
      <c r="AV85">
        <v>114</v>
      </c>
      <c r="AW85"/>
      <c r="AX85"/>
      <c r="AY85"/>
      <c r="AZ85"/>
      <c r="BA85"/>
      <c r="BB85">
        <v>429</v>
      </c>
      <c r="BC85">
        <v>444</v>
      </c>
      <c r="BD85"/>
      <c r="BE85" t="s">
        <v>715</v>
      </c>
      <c r="BF85" t="str">
        <f>HYPERLINK("http://dx.doi.org/10.1016/j.buildenv.2016.12.035","http://dx.doi.org/10.1016/j.buildenv.2016.12.035")</f>
        <v>http://dx.doi.org/10.1016/j.buildenv.2016.12.035</v>
      </c>
      <c r="BG85"/>
      <c r="BH85"/>
      <c r="BI85"/>
      <c r="BJ85" t="s">
        <v>321</v>
      </c>
      <c r="BK85"/>
      <c r="BL85"/>
      <c r="BM85"/>
      <c r="BN85"/>
      <c r="BO85"/>
      <c r="BP85"/>
      <c r="BQ85"/>
      <c r="BR85"/>
      <c r="BS85"/>
      <c r="BT85" t="str">
        <f>HYPERLINK("https%3A%2F%2Fwww.webofscience.com%2Fwos%2Fwoscc%2Ffull-record%2F","View Full Record in Web of Science")</f>
        <v>View Full Record in Web of Science</v>
      </c>
    </row>
    <row r="86" spans="1:72" customHeight="1" ht="12.75">
      <c r="A86" t="s">
        <v>72</v>
      </c>
      <c r="B86" t="s">
        <v>533</v>
      </c>
      <c r="C86"/>
      <c r="D86"/>
      <c r="E86"/>
      <c r="F86" t="s">
        <v>534</v>
      </c>
      <c r="G86"/>
      <c r="H86"/>
      <c r="I86" t="s">
        <v>716</v>
      </c>
      <c r="J86" t="s">
        <v>528</v>
      </c>
      <c r="K86"/>
      <c r="L86"/>
      <c r="M86"/>
      <c r="N86" t="s">
        <v>167</v>
      </c>
      <c r="O86"/>
      <c r="P86"/>
      <c r="Q86"/>
      <c r="R86"/>
      <c r="S86"/>
      <c r="T86"/>
      <c r="U86" t="s">
        <v>717</v>
      </c>
      <c r="V86"/>
      <c r="W86"/>
      <c r="X86"/>
      <c r="Y86"/>
      <c r="Z86"/>
      <c r="AA86"/>
      <c r="AB86"/>
      <c r="AC86"/>
      <c r="AD86"/>
      <c r="AE86"/>
      <c r="AF86"/>
      <c r="AG86"/>
      <c r="AH86">
        <v>4</v>
      </c>
      <c r="AI86">
        <v>4</v>
      </c>
      <c r="AJ86"/>
      <c r="AK86"/>
      <c r="AL86"/>
      <c r="AM86"/>
      <c r="AN86"/>
      <c r="AO86" t="s">
        <v>530</v>
      </c>
      <c r="AP86" t="s">
        <v>531</v>
      </c>
      <c r="AQ86"/>
      <c r="AR86"/>
      <c r="AS86"/>
      <c r="AT86" t="s">
        <v>190</v>
      </c>
      <c r="AU86">
        <v>2015</v>
      </c>
      <c r="AV86">
        <v>26</v>
      </c>
      <c r="AW86"/>
      <c r="AX86">
        <v>1</v>
      </c>
      <c r="AY86"/>
      <c r="AZ86" t="s">
        <v>222</v>
      </c>
      <c r="BA86"/>
      <c r="BB86">
        <v>3</v>
      </c>
      <c r="BC86">
        <v>5</v>
      </c>
      <c r="BD86"/>
      <c r="BE86" t="s">
        <v>718</v>
      </c>
      <c r="BF86" t="str">
        <f>HYPERLINK("http://dx.doi.org/10.1016/j.ecoinf.2014.09.009","http://dx.doi.org/10.1016/j.ecoinf.2014.09.009")</f>
        <v>http://dx.doi.org/10.1016/j.ecoinf.2014.09.009</v>
      </c>
      <c r="BG86"/>
      <c r="BH86"/>
      <c r="BI86"/>
      <c r="BJ86" t="s">
        <v>181</v>
      </c>
      <c r="BK86"/>
      <c r="BL86"/>
      <c r="BM86"/>
      <c r="BN86"/>
      <c r="BO86"/>
      <c r="BP86"/>
      <c r="BQ86"/>
      <c r="BR86"/>
      <c r="BS86"/>
      <c r="BT86" t="str">
        <f>HYPERLINK("https%3A%2F%2Fwww.webofscience.com%2Fwos%2Fwoscc%2Ffull-record%2F","View Full Record in Web of Science")</f>
        <v>View Full Record in Web of Science</v>
      </c>
    </row>
    <row r="87" spans="1:72" customHeight="1" ht="12.75">
      <c r="A87" t="s">
        <v>72</v>
      </c>
      <c r="B87" t="s">
        <v>719</v>
      </c>
      <c r="C87"/>
      <c r="D87"/>
      <c r="E87"/>
      <c r="F87" t="s">
        <v>720</v>
      </c>
      <c r="G87"/>
      <c r="H87"/>
      <c r="I87" t="s">
        <v>721</v>
      </c>
      <c r="J87" t="s">
        <v>722</v>
      </c>
      <c r="K87"/>
      <c r="L87"/>
      <c r="M87"/>
      <c r="N87" t="s">
        <v>112</v>
      </c>
      <c r="O87"/>
      <c r="P87"/>
      <c r="Q87"/>
      <c r="R87"/>
      <c r="S87"/>
      <c r="T87" t="s">
        <v>723</v>
      </c>
      <c r="U87" t="s">
        <v>724</v>
      </c>
      <c r="V87"/>
      <c r="W87"/>
      <c r="X87"/>
      <c r="Y87"/>
      <c r="Z87"/>
      <c r="AA87"/>
      <c r="AB87"/>
      <c r="AC87"/>
      <c r="AD87"/>
      <c r="AE87"/>
      <c r="AF87"/>
      <c r="AG87"/>
      <c r="AH87">
        <v>48</v>
      </c>
      <c r="AI87">
        <v>54</v>
      </c>
      <c r="AJ87"/>
      <c r="AK87"/>
      <c r="AL87"/>
      <c r="AM87"/>
      <c r="AN87"/>
      <c r="AO87" t="s">
        <v>725</v>
      </c>
      <c r="AP87" t="s">
        <v>726</v>
      </c>
      <c r="AQ87"/>
      <c r="AR87"/>
      <c r="AS87"/>
      <c r="AT87" t="s">
        <v>92</v>
      </c>
      <c r="AU87">
        <v>2016</v>
      </c>
      <c r="AV87">
        <v>45</v>
      </c>
      <c r="AW87">
        <v>7</v>
      </c>
      <c r="AX87"/>
      <c r="AY87"/>
      <c r="AZ87"/>
      <c r="BA87"/>
      <c r="BB87">
        <v>819</v>
      </c>
      <c r="BC87">
        <v>830</v>
      </c>
      <c r="BD87"/>
      <c r="BE87" t="s">
        <v>727</v>
      </c>
      <c r="BF87" t="str">
        <f>HYPERLINK("http://dx.doi.org/10.1007/s13280-016-0785-6","http://dx.doi.org/10.1007/s13280-016-0785-6")</f>
        <v>http://dx.doi.org/10.1007/s13280-016-0785-6</v>
      </c>
      <c r="BG87"/>
      <c r="BH87"/>
      <c r="BI87"/>
      <c r="BJ87" t="s">
        <v>119</v>
      </c>
      <c r="BK87"/>
      <c r="BL87"/>
      <c r="BM87"/>
      <c r="BN87"/>
      <c r="BO87"/>
      <c r="BP87"/>
      <c r="BQ87"/>
      <c r="BR87"/>
      <c r="BS87"/>
      <c r="BT87" t="str">
        <f>HYPERLINK("https%3A%2F%2Fwww.webofscience.com%2Fwos%2Fwoscc%2Ffull-record%2F","View Full Record in Web of Science")</f>
        <v>View Full Record in Web of Science</v>
      </c>
    </row>
    <row r="88" spans="1:72" customHeight="1" ht="12.75">
      <c r="A88" t="s">
        <v>72</v>
      </c>
      <c r="B88" t="s">
        <v>130</v>
      </c>
      <c r="C88"/>
      <c r="D88"/>
      <c r="E88"/>
      <c r="F88" t="s">
        <v>131</v>
      </c>
      <c r="G88"/>
      <c r="H88"/>
      <c r="I88" t="s">
        <v>728</v>
      </c>
      <c r="J88" t="s">
        <v>729</v>
      </c>
      <c r="K88"/>
      <c r="L88"/>
      <c r="M88"/>
      <c r="N88" t="s">
        <v>167</v>
      </c>
      <c r="O88"/>
      <c r="P88"/>
      <c r="Q88"/>
      <c r="R88"/>
      <c r="S88"/>
      <c r="T88"/>
      <c r="U88" t="s">
        <v>730</v>
      </c>
      <c r="V88"/>
      <c r="W88"/>
      <c r="X88"/>
      <c r="Y88"/>
      <c r="Z88"/>
      <c r="AA88"/>
      <c r="AB88"/>
      <c r="AC88"/>
      <c r="AD88"/>
      <c r="AE88"/>
      <c r="AF88"/>
      <c r="AG88"/>
      <c r="AH88">
        <v>42</v>
      </c>
      <c r="AI88">
        <v>47</v>
      </c>
      <c r="AJ88"/>
      <c r="AK88"/>
      <c r="AL88"/>
      <c r="AM88"/>
      <c r="AN88"/>
      <c r="AO88" t="s">
        <v>731</v>
      </c>
      <c r="AP88" t="s">
        <v>732</v>
      </c>
      <c r="AQ88"/>
      <c r="AR88"/>
      <c r="AS88"/>
      <c r="AT88" t="s">
        <v>190</v>
      </c>
      <c r="AU88">
        <v>2017</v>
      </c>
      <c r="AV88">
        <v>143</v>
      </c>
      <c r="AW88">
        <v>3</v>
      </c>
      <c r="AX88"/>
      <c r="AY88"/>
      <c r="AZ88"/>
      <c r="BA88"/>
      <c r="BB88"/>
      <c r="BC88"/>
      <c r="BD88">
        <v>1816005</v>
      </c>
      <c r="BE88" t="s">
        <v>733</v>
      </c>
      <c r="BF88" t="str">
        <f>HYPERLINK("http://dx.doi.org/10.1061/(ASCE)WR.1943-5452.0000739","http://dx.doi.org/10.1061/(ASCE)WR.1943-5452.0000739")</f>
        <v>http://dx.doi.org/10.1061/(ASCE)WR.1943-5452.0000739</v>
      </c>
      <c r="BG88"/>
      <c r="BH88"/>
      <c r="BI88"/>
      <c r="BJ88" t="s">
        <v>734</v>
      </c>
      <c r="BK88"/>
      <c r="BL88"/>
      <c r="BM88"/>
      <c r="BN88"/>
      <c r="BO88"/>
      <c r="BP88"/>
      <c r="BQ88"/>
      <c r="BR88"/>
      <c r="BS88"/>
      <c r="BT88" t="str">
        <f>HYPERLINK("https%3A%2F%2Fwww.webofscience.com%2Fwos%2Fwoscc%2Ffull-record%2F","View Full Record in Web of Science")</f>
        <v>View Full Record in Web of Science</v>
      </c>
    </row>
    <row r="89" spans="1:72" customHeight="1" ht="12.75">
      <c r="A89" t="s">
        <v>72</v>
      </c>
      <c r="B89" t="s">
        <v>735</v>
      </c>
      <c r="C89"/>
      <c r="D89"/>
      <c r="E89"/>
      <c r="F89" t="s">
        <v>736</v>
      </c>
      <c r="G89"/>
      <c r="H89"/>
      <c r="I89" t="s">
        <v>737</v>
      </c>
      <c r="J89" t="s">
        <v>612</v>
      </c>
      <c r="K89"/>
      <c r="L89"/>
      <c r="M89"/>
      <c r="N89" t="s">
        <v>52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0.0</v>
      </c>
      <c r="AI89">
        <v>0.0</v>
      </c>
      <c r="AJ89"/>
      <c r="AK89"/>
      <c r="AL89"/>
      <c r="AM89"/>
      <c r="AN89"/>
      <c r="AO89" t="s">
        <v>613</v>
      </c>
      <c r="AP89"/>
      <c r="AQ89"/>
      <c r="AR89"/>
      <c r="AS89"/>
      <c r="AT89" t="s">
        <v>738</v>
      </c>
      <c r="AU89">
        <v>2017</v>
      </c>
      <c r="AV89">
        <v>253</v>
      </c>
      <c r="AW89"/>
      <c r="AX89"/>
      <c r="AY89"/>
      <c r="AZ89"/>
      <c r="BA89">
        <v>572</v>
      </c>
      <c r="BB89"/>
      <c r="BC89"/>
      <c r="BD89"/>
      <c r="BE89"/>
      <c r="BF89"/>
      <c r="BG89"/>
      <c r="BH89"/>
      <c r="BI89"/>
      <c r="BJ89" t="s">
        <v>615</v>
      </c>
      <c r="BK89"/>
      <c r="BL89"/>
      <c r="BM89"/>
      <c r="BN89"/>
      <c r="BO89"/>
      <c r="BP89"/>
      <c r="BQ89"/>
      <c r="BR89"/>
      <c r="BS89"/>
      <c r="BT89" t="str">
        <f>HYPERLINK("https%3A%2F%2Fwww.webofscience.com%2Fwos%2Fwoscc%2Ffull-record%2F","View Full Record in Web of Science")</f>
        <v>View Full Record in Web of Science</v>
      </c>
    </row>
    <row r="90" spans="1:72" customHeight="1" ht="12.75">
      <c r="A90" t="s">
        <v>72</v>
      </c>
      <c r="B90" t="s">
        <v>739</v>
      </c>
      <c r="C90"/>
      <c r="D90"/>
      <c r="E90"/>
      <c r="F90" t="s">
        <v>740</v>
      </c>
      <c r="G90"/>
      <c r="H90"/>
      <c r="I90" t="s">
        <v>741</v>
      </c>
      <c r="J90" t="s">
        <v>111</v>
      </c>
      <c r="K90"/>
      <c r="L90"/>
      <c r="M90"/>
      <c r="N90" t="s">
        <v>112</v>
      </c>
      <c r="O90"/>
      <c r="P90"/>
      <c r="Q90"/>
      <c r="R90"/>
      <c r="S90"/>
      <c r="T90" t="s">
        <v>742</v>
      </c>
      <c r="U90" t="s">
        <v>743</v>
      </c>
      <c r="V90"/>
      <c r="W90"/>
      <c r="X90"/>
      <c r="Y90"/>
      <c r="Z90"/>
      <c r="AA90"/>
      <c r="AB90"/>
      <c r="AC90"/>
      <c r="AD90"/>
      <c r="AE90"/>
      <c r="AF90"/>
      <c r="AG90"/>
      <c r="AH90">
        <v>30</v>
      </c>
      <c r="AI90">
        <v>35</v>
      </c>
      <c r="AJ90"/>
      <c r="AK90"/>
      <c r="AL90"/>
      <c r="AM90"/>
      <c r="AN90"/>
      <c r="AO90" t="s">
        <v>115</v>
      </c>
      <c r="AP90" t="s">
        <v>116</v>
      </c>
      <c r="AQ90"/>
      <c r="AR90"/>
      <c r="AS90"/>
      <c r="AT90" t="s">
        <v>385</v>
      </c>
      <c r="AU90">
        <v>2016</v>
      </c>
      <c r="AV90">
        <v>110</v>
      </c>
      <c r="AW90"/>
      <c r="AX90"/>
      <c r="AY90"/>
      <c r="AZ90"/>
      <c r="BA90"/>
      <c r="BB90">
        <v>87</v>
      </c>
      <c r="BC90">
        <v>98</v>
      </c>
      <c r="BD90"/>
      <c r="BE90" t="s">
        <v>744</v>
      </c>
      <c r="BF90" t="str">
        <f>HYPERLINK("http://dx.doi.org/10.1016/j.resconrec.2016.03.023","http://dx.doi.org/10.1016/j.resconrec.2016.03.023")</f>
        <v>http://dx.doi.org/10.1016/j.resconrec.2016.03.023</v>
      </c>
      <c r="BG90"/>
      <c r="BH90"/>
      <c r="BI90"/>
      <c r="BJ90" t="s">
        <v>119</v>
      </c>
      <c r="BK90"/>
      <c r="BL90"/>
      <c r="BM90"/>
      <c r="BN90"/>
      <c r="BO90"/>
      <c r="BP90"/>
      <c r="BQ90"/>
      <c r="BR90"/>
      <c r="BS90"/>
      <c r="BT90" t="str">
        <f>HYPERLINK("https%3A%2F%2Fwww.webofscience.com%2Fwos%2Fwoscc%2Ffull-record%2F","View Full Record in Web of Science")</f>
        <v>View Full Record in Web of Science</v>
      </c>
    </row>
    <row r="91" spans="1:72" customHeight="1" ht="12.75">
      <c r="A91" t="s">
        <v>72</v>
      </c>
      <c r="B91" t="s">
        <v>745</v>
      </c>
      <c r="C91"/>
      <c r="D91"/>
      <c r="E91"/>
      <c r="F91" t="s">
        <v>746</v>
      </c>
      <c r="G91"/>
      <c r="H91"/>
      <c r="I91" t="s">
        <v>747</v>
      </c>
      <c r="J91" t="s">
        <v>98</v>
      </c>
      <c r="K91"/>
      <c r="L91"/>
      <c r="M91"/>
      <c r="N91" t="s">
        <v>112</v>
      </c>
      <c r="O91"/>
      <c r="P91"/>
      <c r="Q91"/>
      <c r="R91"/>
      <c r="S91"/>
      <c r="T91" t="s">
        <v>748</v>
      </c>
      <c r="U91" t="s">
        <v>749</v>
      </c>
      <c r="V91"/>
      <c r="W91"/>
      <c r="X91"/>
      <c r="Y91"/>
      <c r="Z91"/>
      <c r="AA91"/>
      <c r="AB91"/>
      <c r="AC91"/>
      <c r="AD91"/>
      <c r="AE91"/>
      <c r="AF91"/>
      <c r="AG91"/>
      <c r="AH91">
        <v>101</v>
      </c>
      <c r="AI91">
        <v>112</v>
      </c>
      <c r="AJ91"/>
      <c r="AK91"/>
      <c r="AL91"/>
      <c r="AM91"/>
      <c r="AN91"/>
      <c r="AO91" t="s">
        <v>102</v>
      </c>
      <c r="AP91" t="s">
        <v>103</v>
      </c>
      <c r="AQ91"/>
      <c r="AR91"/>
      <c r="AS91"/>
      <c r="AT91" t="s">
        <v>145</v>
      </c>
      <c r="AU91">
        <v>2013</v>
      </c>
      <c r="AV91">
        <v>112</v>
      </c>
      <c r="AW91"/>
      <c r="AX91"/>
      <c r="AY91"/>
      <c r="AZ91"/>
      <c r="BA91"/>
      <c r="BB91">
        <v>100</v>
      </c>
      <c r="BC91">
        <v>117</v>
      </c>
      <c r="BD91"/>
      <c r="BE91" t="s">
        <v>750</v>
      </c>
      <c r="BF91" t="str">
        <f>HYPERLINK("http://dx.doi.org/10.1016/j.landurbplan.2012.12.005","http://dx.doi.org/10.1016/j.landurbplan.2012.12.005")</f>
        <v>http://dx.doi.org/10.1016/j.landurbplan.2012.12.005</v>
      </c>
      <c r="BG91"/>
      <c r="BH91"/>
      <c r="BI91"/>
      <c r="BJ91" t="s">
        <v>107</v>
      </c>
      <c r="BK91"/>
      <c r="BL91"/>
      <c r="BM91"/>
      <c r="BN91"/>
      <c r="BO91"/>
      <c r="BP91"/>
      <c r="BQ91"/>
      <c r="BR91"/>
      <c r="BS91"/>
      <c r="BT91" t="str">
        <f>HYPERLINK("https%3A%2F%2Fwww.webofscience.com%2Fwos%2Fwoscc%2Ffull-record%2F","View Full Record in Web of Science")</f>
        <v>View Full Record in Web of Science</v>
      </c>
    </row>
    <row r="92" spans="1:72" customHeight="1" ht="12.75">
      <c r="A92" t="s">
        <v>72</v>
      </c>
      <c r="B92" t="s">
        <v>751</v>
      </c>
      <c r="C92"/>
      <c r="D92"/>
      <c r="E92"/>
      <c r="F92" t="s">
        <v>752</v>
      </c>
      <c r="G92"/>
      <c r="H92"/>
      <c r="I92" t="s">
        <v>753</v>
      </c>
      <c r="J92" t="s">
        <v>166</v>
      </c>
      <c r="K92"/>
      <c r="L92"/>
      <c r="M92"/>
      <c r="N92" t="s">
        <v>167</v>
      </c>
      <c r="O92"/>
      <c r="P92"/>
      <c r="Q92"/>
      <c r="R92"/>
      <c r="S92"/>
      <c r="T92" t="s">
        <v>754</v>
      </c>
      <c r="U92" t="s">
        <v>755</v>
      </c>
      <c r="V92"/>
      <c r="W92"/>
      <c r="X92"/>
      <c r="Y92"/>
      <c r="Z92"/>
      <c r="AA92"/>
      <c r="AB92"/>
      <c r="AC92"/>
      <c r="AD92"/>
      <c r="AE92"/>
      <c r="AF92"/>
      <c r="AG92"/>
      <c r="AH92">
        <v>0.0</v>
      </c>
      <c r="AI92">
        <v>0.0</v>
      </c>
      <c r="AJ92"/>
      <c r="AK92"/>
      <c r="AL92"/>
      <c r="AM92"/>
      <c r="AN92"/>
      <c r="AO92"/>
      <c r="AP92" t="s">
        <v>169</v>
      </c>
      <c r="AQ92"/>
      <c r="AR92"/>
      <c r="AS92"/>
      <c r="AT92" t="s">
        <v>756</v>
      </c>
      <c r="AU92">
        <v>2023</v>
      </c>
      <c r="AV92">
        <v>4</v>
      </c>
      <c r="AW92"/>
      <c r="AX92"/>
      <c r="AY92"/>
      <c r="AZ92"/>
      <c r="BA92"/>
      <c r="BB92"/>
      <c r="BC92"/>
      <c r="BD92">
        <v>1114692</v>
      </c>
      <c r="BE92" t="s">
        <v>757</v>
      </c>
      <c r="BF92" t="str">
        <f>HYPERLINK("http://dx.doi.org/10.3389/frsc.2022.1114692","http://dx.doi.org/10.3389/frsc.2022.1114692")</f>
        <v>http://dx.doi.org/10.3389/frsc.2022.1114692</v>
      </c>
      <c r="BG92"/>
      <c r="BH92"/>
      <c r="BI92"/>
      <c r="BJ92" t="s">
        <v>171</v>
      </c>
      <c r="BK92"/>
      <c r="BL92"/>
      <c r="BM92"/>
      <c r="BN92"/>
      <c r="BO92"/>
      <c r="BP92"/>
      <c r="BQ92"/>
      <c r="BR92"/>
      <c r="BS92"/>
      <c r="BT92" t="str">
        <f>HYPERLINK("https%3A%2F%2Fwww.webofscience.com%2Fwos%2Fwoscc%2Ffull-record%2F","View Full Record in Web of Science")</f>
        <v>View Full Record in Web of Science</v>
      </c>
    </row>
    <row r="93" spans="1:72" customHeight="1" ht="12.75">
      <c r="A93" t="s">
        <v>72</v>
      </c>
      <c r="B93" t="s">
        <v>758</v>
      </c>
      <c r="C93"/>
      <c r="D93"/>
      <c r="E93"/>
      <c r="F93" t="s">
        <v>759</v>
      </c>
      <c r="G93"/>
      <c r="H93"/>
      <c r="I93" t="s">
        <v>760</v>
      </c>
      <c r="J93" t="s">
        <v>111</v>
      </c>
      <c r="K93"/>
      <c r="L93"/>
      <c r="M93"/>
      <c r="N93" t="s">
        <v>694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>
        <v>0.0</v>
      </c>
      <c r="AI93">
        <v>0.0</v>
      </c>
      <c r="AJ93"/>
      <c r="AK93"/>
      <c r="AL93"/>
      <c r="AM93"/>
      <c r="AN93"/>
      <c r="AO93" t="s">
        <v>115</v>
      </c>
      <c r="AP93" t="s">
        <v>116</v>
      </c>
      <c r="AQ93"/>
      <c r="AR93"/>
      <c r="AS93"/>
      <c r="AT93" t="s">
        <v>190</v>
      </c>
      <c r="AU93">
        <v>2022</v>
      </c>
      <c r="AV93">
        <v>178</v>
      </c>
      <c r="AW93"/>
      <c r="AX93"/>
      <c r="AY93"/>
      <c r="AZ93"/>
      <c r="BA93"/>
      <c r="BB93"/>
      <c r="BC93"/>
      <c r="BD93">
        <v>106017</v>
      </c>
      <c r="BE93" t="s">
        <v>761</v>
      </c>
      <c r="BF93" t="str">
        <f>HYPERLINK("http://dx.doi.org/10.1016/j.resconrec.2021.106017","http://dx.doi.org/10.1016/j.resconrec.2021.106017")</f>
        <v>http://dx.doi.org/10.1016/j.resconrec.2021.106017</v>
      </c>
      <c r="BG93"/>
      <c r="BH93"/>
      <c r="BI93"/>
      <c r="BJ93" t="s">
        <v>119</v>
      </c>
      <c r="BK93"/>
      <c r="BL93"/>
      <c r="BM93"/>
      <c r="BN93"/>
      <c r="BO93"/>
      <c r="BP93"/>
      <c r="BQ93"/>
      <c r="BR93"/>
      <c r="BS93"/>
      <c r="BT93" t="str">
        <f>HYPERLINK("https%3A%2F%2Fwww.webofscience.com%2Fwos%2Fwoscc%2Ffull-record%2F","View Full Record in Web of Science")</f>
        <v>View Full Record in Web of Science</v>
      </c>
    </row>
    <row r="94" spans="1:72" customHeight="1" ht="12.75">
      <c r="A94" t="s">
        <v>72</v>
      </c>
      <c r="B94" t="s">
        <v>762</v>
      </c>
      <c r="C94"/>
      <c r="D94"/>
      <c r="E94"/>
      <c r="F94" t="s">
        <v>763</v>
      </c>
      <c r="G94"/>
      <c r="H94"/>
      <c r="I94" t="s">
        <v>764</v>
      </c>
      <c r="J94" t="s">
        <v>166</v>
      </c>
      <c r="K94"/>
      <c r="L94"/>
      <c r="M94"/>
      <c r="N94" t="s">
        <v>112</v>
      </c>
      <c r="O94"/>
      <c r="P94"/>
      <c r="Q94"/>
      <c r="R94"/>
      <c r="S94"/>
      <c r="T94" t="s">
        <v>765</v>
      </c>
      <c r="U94" t="s">
        <v>766</v>
      </c>
      <c r="V94"/>
      <c r="W94"/>
      <c r="X94"/>
      <c r="Y94"/>
      <c r="Z94"/>
      <c r="AA94"/>
      <c r="AB94"/>
      <c r="AC94"/>
      <c r="AD94"/>
      <c r="AE94"/>
      <c r="AF94"/>
      <c r="AG94"/>
      <c r="AH94">
        <v>2</v>
      </c>
      <c r="AI94">
        <v>2</v>
      </c>
      <c r="AJ94"/>
      <c r="AK94"/>
      <c r="AL94"/>
      <c r="AM94"/>
      <c r="AN94"/>
      <c r="AO94"/>
      <c r="AP94" t="s">
        <v>169</v>
      </c>
      <c r="AQ94"/>
      <c r="AR94"/>
      <c r="AS94"/>
      <c r="AT94" t="s">
        <v>767</v>
      </c>
      <c r="AU94">
        <v>2022</v>
      </c>
      <c r="AV94">
        <v>4</v>
      </c>
      <c r="AW94"/>
      <c r="AX94"/>
      <c r="AY94"/>
      <c r="AZ94"/>
      <c r="BA94"/>
      <c r="BB94"/>
      <c r="BC94"/>
      <c r="BD94">
        <v>875912</v>
      </c>
      <c r="BE94" t="s">
        <v>768</v>
      </c>
      <c r="BF94" t="str">
        <f>HYPERLINK("http://dx.doi.org/10.3389/frsc.2022.875912","http://dx.doi.org/10.3389/frsc.2022.875912")</f>
        <v>http://dx.doi.org/10.3389/frsc.2022.875912</v>
      </c>
      <c r="BG94"/>
      <c r="BH94"/>
      <c r="BI94"/>
      <c r="BJ94" t="s">
        <v>171</v>
      </c>
      <c r="BK94"/>
      <c r="BL94"/>
      <c r="BM94"/>
      <c r="BN94"/>
      <c r="BO94"/>
      <c r="BP94"/>
      <c r="BQ94"/>
      <c r="BR94"/>
      <c r="BS94"/>
      <c r="BT94" t="str">
        <f>HYPERLINK("https%3A%2F%2Fwww.webofscience.com%2Fwos%2Fwoscc%2Ffull-record%2F","View Full Record in Web of Science")</f>
        <v>View Full Record in Web of Science</v>
      </c>
    </row>
    <row r="95" spans="1:72" customHeight="1" ht="12.75">
      <c r="A95" t="s">
        <v>72</v>
      </c>
      <c r="B95" t="s">
        <v>769</v>
      </c>
      <c r="C95"/>
      <c r="D95"/>
      <c r="E95"/>
      <c r="F95" t="s">
        <v>770</v>
      </c>
      <c r="G95"/>
      <c r="H95"/>
      <c r="I95" t="s">
        <v>771</v>
      </c>
      <c r="J95" t="s">
        <v>510</v>
      </c>
      <c r="K95"/>
      <c r="L95"/>
      <c r="M95"/>
      <c r="N95" t="s">
        <v>112</v>
      </c>
      <c r="O95"/>
      <c r="P95"/>
      <c r="Q95"/>
      <c r="R95"/>
      <c r="S95"/>
      <c r="T95" t="s">
        <v>772</v>
      </c>
      <c r="U95" t="s">
        <v>773</v>
      </c>
      <c r="V95"/>
      <c r="W95"/>
      <c r="X95"/>
      <c r="Y95"/>
      <c r="Z95"/>
      <c r="AA95"/>
      <c r="AB95"/>
      <c r="AC95"/>
      <c r="AD95"/>
      <c r="AE95"/>
      <c r="AF95"/>
      <c r="AG95"/>
      <c r="AH95">
        <v>26</v>
      </c>
      <c r="AI95">
        <v>29</v>
      </c>
      <c r="AJ95"/>
      <c r="AK95"/>
      <c r="AL95"/>
      <c r="AM95"/>
      <c r="AN95"/>
      <c r="AO95" t="s">
        <v>511</v>
      </c>
      <c r="AP95" t="s">
        <v>512</v>
      </c>
      <c r="AQ95"/>
      <c r="AR95"/>
      <c r="AS95"/>
      <c r="AT95" t="s">
        <v>537</v>
      </c>
      <c r="AU95">
        <v>2015</v>
      </c>
      <c r="AV95">
        <v>318</v>
      </c>
      <c r="AW95"/>
      <c r="AX95"/>
      <c r="AY95"/>
      <c r="AZ95" t="s">
        <v>222</v>
      </c>
      <c r="BA95"/>
      <c r="BB95">
        <v>150</v>
      </c>
      <c r="BC95">
        <v>156</v>
      </c>
      <c r="BD95"/>
      <c r="BE95" t="s">
        <v>774</v>
      </c>
      <c r="BF95" t="str">
        <f>HYPERLINK("http://dx.doi.org/10.1016/j.ecolmodel.2014.11.027","http://dx.doi.org/10.1016/j.ecolmodel.2014.11.027")</f>
        <v>http://dx.doi.org/10.1016/j.ecolmodel.2014.11.027</v>
      </c>
      <c r="BG95"/>
      <c r="BH95"/>
      <c r="BI95"/>
      <c r="BJ95" t="s">
        <v>181</v>
      </c>
      <c r="BK95"/>
      <c r="BL95"/>
      <c r="BM95"/>
      <c r="BN95"/>
      <c r="BO95"/>
      <c r="BP95"/>
      <c r="BQ95"/>
      <c r="BR95"/>
      <c r="BS95"/>
      <c r="BT95" t="str">
        <f>HYPERLINK("https%3A%2F%2Fwww.webofscience.com%2Fwos%2Fwoscc%2Ffull-record%2F","View Full Record in Web of Science")</f>
        <v>View Full Record in Web of Science</v>
      </c>
    </row>
    <row r="96" spans="1:72" customHeight="1" ht="12.75">
      <c r="A96" t="s">
        <v>72</v>
      </c>
      <c r="B96" t="s">
        <v>775</v>
      </c>
      <c r="C96"/>
      <c r="D96"/>
      <c r="E96"/>
      <c r="F96" t="s">
        <v>776</v>
      </c>
      <c r="G96"/>
      <c r="H96"/>
      <c r="I96" t="s">
        <v>777</v>
      </c>
      <c r="J96" t="s">
        <v>457</v>
      </c>
      <c r="K96"/>
      <c r="L96"/>
      <c r="M96"/>
      <c r="N96" t="s">
        <v>112</v>
      </c>
      <c r="O96"/>
      <c r="P96"/>
      <c r="Q96"/>
      <c r="R96"/>
      <c r="S96"/>
      <c r="T96" t="s">
        <v>778</v>
      </c>
      <c r="U96" t="s">
        <v>779</v>
      </c>
      <c r="V96"/>
      <c r="W96"/>
      <c r="X96"/>
      <c r="Y96"/>
      <c r="Z96"/>
      <c r="AA96"/>
      <c r="AB96"/>
      <c r="AC96"/>
      <c r="AD96"/>
      <c r="AE96"/>
      <c r="AF96"/>
      <c r="AG96"/>
      <c r="AH96">
        <v>5</v>
      </c>
      <c r="AI96">
        <v>7</v>
      </c>
      <c r="AJ96"/>
      <c r="AK96"/>
      <c r="AL96"/>
      <c r="AM96"/>
      <c r="AN96"/>
      <c r="AO96"/>
      <c r="AP96" t="s">
        <v>458</v>
      </c>
      <c r="AQ96"/>
      <c r="AR96"/>
      <c r="AS96"/>
      <c r="AT96" t="s">
        <v>92</v>
      </c>
      <c r="AU96">
        <v>2014</v>
      </c>
      <c r="AV96">
        <v>6</v>
      </c>
      <c r="AW96">
        <v>11</v>
      </c>
      <c r="AX96"/>
      <c r="AY96"/>
      <c r="AZ96"/>
      <c r="BA96"/>
      <c r="BB96">
        <v>7982</v>
      </c>
      <c r="BC96">
        <v>8006</v>
      </c>
      <c r="BD96"/>
      <c r="BE96" t="s">
        <v>780</v>
      </c>
      <c r="BF96" t="str">
        <f>HYPERLINK("http://dx.doi.org/10.3390/su6117982","http://dx.doi.org/10.3390/su6117982")</f>
        <v>http://dx.doi.org/10.3390/su6117982</v>
      </c>
      <c r="BG96"/>
      <c r="BH96"/>
      <c r="BI96"/>
      <c r="BJ96" t="s">
        <v>460</v>
      </c>
      <c r="BK96"/>
      <c r="BL96"/>
      <c r="BM96"/>
      <c r="BN96"/>
      <c r="BO96"/>
      <c r="BP96"/>
      <c r="BQ96"/>
      <c r="BR96"/>
      <c r="BS96"/>
      <c r="BT96" t="str">
        <f>HYPERLINK("https%3A%2F%2Fwww.webofscience.com%2Fwos%2Fwoscc%2Ffull-record%2F","View Full Record in Web of Science")</f>
        <v>View Full Record in Web of Science</v>
      </c>
    </row>
    <row r="97" spans="1:72" customHeight="1" ht="12.75">
      <c r="A97" t="s">
        <v>72</v>
      </c>
      <c r="B97" t="s">
        <v>781</v>
      </c>
      <c r="C97"/>
      <c r="D97"/>
      <c r="E97"/>
      <c r="F97" t="s">
        <v>782</v>
      </c>
      <c r="G97"/>
      <c r="H97"/>
      <c r="I97" t="s">
        <v>783</v>
      </c>
      <c r="J97" t="s">
        <v>784</v>
      </c>
      <c r="K97"/>
      <c r="L97"/>
      <c r="M97"/>
      <c r="N97" t="s">
        <v>215</v>
      </c>
      <c r="O97"/>
      <c r="P97"/>
      <c r="Q97"/>
      <c r="R97"/>
      <c r="S97"/>
      <c r="T97" t="s">
        <v>785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>
        <v>0.0</v>
      </c>
      <c r="AI97">
        <v>0.0</v>
      </c>
      <c r="AJ97"/>
      <c r="AK97"/>
      <c r="AL97"/>
      <c r="AM97"/>
      <c r="AN97"/>
      <c r="AO97" t="s">
        <v>786</v>
      </c>
      <c r="AP97" t="s">
        <v>787</v>
      </c>
      <c r="AQ97"/>
      <c r="AR97"/>
      <c r="AS97"/>
      <c r="AT97"/>
      <c r="AU97">
        <v>2013</v>
      </c>
      <c r="AV97">
        <v>22</v>
      </c>
      <c r="AW97" t="s">
        <v>788</v>
      </c>
      <c r="AX97"/>
      <c r="AY97"/>
      <c r="AZ97"/>
      <c r="BA97"/>
      <c r="BB97">
        <v>3815</v>
      </c>
      <c r="BC97">
        <v>3822</v>
      </c>
      <c r="BD97"/>
      <c r="BE97"/>
      <c r="BF97"/>
      <c r="BG97"/>
      <c r="BH97"/>
      <c r="BI97"/>
      <c r="BJ97" t="s">
        <v>224</v>
      </c>
      <c r="BK97"/>
      <c r="BL97"/>
      <c r="BM97"/>
      <c r="BN97"/>
      <c r="BO97"/>
      <c r="BP97"/>
      <c r="BQ97"/>
      <c r="BR97"/>
      <c r="BS97"/>
      <c r="BT97" t="str">
        <f>HYPERLINK("https%3A%2F%2Fwww.webofscience.com%2Fwos%2Fwoscc%2Ffull-record%2F","View Full Record in Web of Science")</f>
        <v>View Full Record in Web of Science</v>
      </c>
    </row>
    <row r="98" spans="1:72" customHeight="1" ht="12.75">
      <c r="A98" t="s">
        <v>72</v>
      </c>
      <c r="B98" t="s">
        <v>789</v>
      </c>
      <c r="C98"/>
      <c r="D98"/>
      <c r="E98"/>
      <c r="F98" t="s">
        <v>790</v>
      </c>
      <c r="G98"/>
      <c r="H98"/>
      <c r="I98" t="s">
        <v>791</v>
      </c>
      <c r="J98" t="s">
        <v>792</v>
      </c>
      <c r="K98"/>
      <c r="L98"/>
      <c r="M98"/>
      <c r="N98" t="s">
        <v>325</v>
      </c>
      <c r="O98"/>
      <c r="P98"/>
      <c r="Q98"/>
      <c r="R98"/>
      <c r="S98"/>
      <c r="T98" t="s">
        <v>793</v>
      </c>
      <c r="U98" t="s">
        <v>794</v>
      </c>
      <c r="V98"/>
      <c r="W98"/>
      <c r="X98"/>
      <c r="Y98"/>
      <c r="Z98"/>
      <c r="AA98"/>
      <c r="AB98"/>
      <c r="AC98"/>
      <c r="AD98"/>
      <c r="AE98"/>
      <c r="AF98"/>
      <c r="AG98"/>
      <c r="AH98">
        <v>1</v>
      </c>
      <c r="AI98">
        <v>1</v>
      </c>
      <c r="AJ98"/>
      <c r="AK98"/>
      <c r="AL98"/>
      <c r="AM98"/>
      <c r="AN98"/>
      <c r="AO98" t="s">
        <v>795</v>
      </c>
      <c r="AP98"/>
      <c r="AQ98"/>
      <c r="AR98"/>
      <c r="AS98"/>
      <c r="AT98" t="s">
        <v>796</v>
      </c>
      <c r="AU98">
        <v>2024</v>
      </c>
      <c r="AV98">
        <v>21</v>
      </c>
      <c r="AW98"/>
      <c r="AX98"/>
      <c r="AY98"/>
      <c r="AZ98"/>
      <c r="BA98"/>
      <c r="BB98"/>
      <c r="BC98"/>
      <c r="BD98">
        <v>100324</v>
      </c>
      <c r="BE98" t="s">
        <v>797</v>
      </c>
      <c r="BF98" t="str">
        <f>HYPERLINK("http://dx.doi.org/10.1016/j.indic.2023.100324","http://dx.doi.org/10.1016/j.indic.2023.100324")</f>
        <v>http://dx.doi.org/10.1016/j.indic.2023.100324</v>
      </c>
      <c r="BG98"/>
      <c r="BH98" t="s">
        <v>798</v>
      </c>
      <c r="BI98"/>
      <c r="BJ98" t="s">
        <v>799</v>
      </c>
      <c r="BK98"/>
      <c r="BL98"/>
      <c r="BM98"/>
      <c r="BN98"/>
      <c r="BO98"/>
      <c r="BP98"/>
      <c r="BQ98"/>
      <c r="BR98"/>
      <c r="BS98"/>
      <c r="BT98" t="str">
        <f>HYPERLINK("https%3A%2F%2Fwww.webofscience.com%2Fwos%2Fwoscc%2Ffull-record%2F","View Full Record in Web of Science")</f>
        <v>View Full Record in Web of Science</v>
      </c>
    </row>
    <row r="99" spans="1:72" customHeight="1" ht="12.75">
      <c r="A99" t="s">
        <v>72</v>
      </c>
      <c r="B99" t="s">
        <v>800</v>
      </c>
      <c r="C99"/>
      <c r="D99"/>
      <c r="E99"/>
      <c r="F99" t="s">
        <v>801</v>
      </c>
      <c r="G99"/>
      <c r="H99"/>
      <c r="I99" t="s">
        <v>802</v>
      </c>
      <c r="J99" t="s">
        <v>111</v>
      </c>
      <c r="K99"/>
      <c r="L99"/>
      <c r="M99"/>
      <c r="N99" t="s">
        <v>112</v>
      </c>
      <c r="O99"/>
      <c r="P99"/>
      <c r="Q99"/>
      <c r="R99"/>
      <c r="S99"/>
      <c r="T99" t="s">
        <v>803</v>
      </c>
      <c r="U99" t="s">
        <v>804</v>
      </c>
      <c r="V99"/>
      <c r="W99"/>
      <c r="X99"/>
      <c r="Y99"/>
      <c r="Z99"/>
      <c r="AA99"/>
      <c r="AB99"/>
      <c r="AC99"/>
      <c r="AD99"/>
      <c r="AE99"/>
      <c r="AF99"/>
      <c r="AG99"/>
      <c r="AH99">
        <v>42</v>
      </c>
      <c r="AI99">
        <v>47</v>
      </c>
      <c r="AJ99"/>
      <c r="AK99"/>
      <c r="AL99"/>
      <c r="AM99"/>
      <c r="AN99"/>
      <c r="AO99" t="s">
        <v>115</v>
      </c>
      <c r="AP99" t="s">
        <v>116</v>
      </c>
      <c r="AQ99"/>
      <c r="AR99"/>
      <c r="AS99"/>
      <c r="AT99" t="s">
        <v>117</v>
      </c>
      <c r="AU99">
        <v>2017</v>
      </c>
      <c r="AV99">
        <v>120</v>
      </c>
      <c r="AW99"/>
      <c r="AX99"/>
      <c r="AY99"/>
      <c r="AZ99"/>
      <c r="BA99"/>
      <c r="BB99">
        <v>55</v>
      </c>
      <c r="BC99">
        <v>64</v>
      </c>
      <c r="BD99"/>
      <c r="BE99" t="s">
        <v>805</v>
      </c>
      <c r="BF99" t="str">
        <f>HYPERLINK("http://dx.doi.org/10.1016/j.resconrec.2017.01.011","http://dx.doi.org/10.1016/j.resconrec.2017.01.011")</f>
        <v>http://dx.doi.org/10.1016/j.resconrec.2017.01.011</v>
      </c>
      <c r="BG99"/>
      <c r="BH99"/>
      <c r="BI99"/>
      <c r="BJ99" t="s">
        <v>119</v>
      </c>
      <c r="BK99"/>
      <c r="BL99"/>
      <c r="BM99"/>
      <c r="BN99"/>
      <c r="BO99"/>
      <c r="BP99"/>
      <c r="BQ99"/>
      <c r="BR99"/>
      <c r="BS99"/>
      <c r="BT99" t="str">
        <f>HYPERLINK("https%3A%2F%2Fwww.webofscience.com%2Fwos%2Fwoscc%2Ffull-record%2F","View Full Record in Web of Science")</f>
        <v>View Full Record in Web of Science</v>
      </c>
    </row>
    <row r="100" spans="1:72" customHeight="1" ht="12.75">
      <c r="A100" t="s">
        <v>72</v>
      </c>
      <c r="B100" t="s">
        <v>806</v>
      </c>
      <c r="C100"/>
      <c r="D100"/>
      <c r="E100"/>
      <c r="F100" t="s">
        <v>807</v>
      </c>
      <c r="G100"/>
      <c r="H100"/>
      <c r="I100" t="s">
        <v>808</v>
      </c>
      <c r="J100" t="s">
        <v>809</v>
      </c>
      <c r="K100"/>
      <c r="L100"/>
      <c r="M100"/>
      <c r="N100" t="s">
        <v>112</v>
      </c>
      <c r="O100"/>
      <c r="P100"/>
      <c r="Q100"/>
      <c r="R100"/>
      <c r="S100"/>
      <c r="T100" t="s">
        <v>810</v>
      </c>
      <c r="U100" t="s">
        <v>811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>
        <v>2</v>
      </c>
      <c r="AI100">
        <v>2</v>
      </c>
      <c r="AJ100"/>
      <c r="AK100"/>
      <c r="AL100"/>
      <c r="AM100"/>
      <c r="AN100"/>
      <c r="AO100"/>
      <c r="AP100" t="s">
        <v>812</v>
      </c>
      <c r="AQ100"/>
      <c r="AR100"/>
      <c r="AS100"/>
      <c r="AT100" t="s">
        <v>190</v>
      </c>
      <c r="AU100">
        <v>2022</v>
      </c>
      <c r="AV100">
        <v>12</v>
      </c>
      <c r="AW100">
        <v>3</v>
      </c>
      <c r="AX100"/>
      <c r="AY100"/>
      <c r="AZ100"/>
      <c r="BA100"/>
      <c r="BB100"/>
      <c r="BC100"/>
      <c r="BD100">
        <v>352</v>
      </c>
      <c r="BE100" t="s">
        <v>813</v>
      </c>
      <c r="BF100" t="str">
        <f>HYPERLINK("http://dx.doi.org/10.3390/buildings12030352","http://dx.doi.org/10.3390/buildings12030352")</f>
        <v>http://dx.doi.org/10.3390/buildings12030352</v>
      </c>
      <c r="BG100"/>
      <c r="BH100"/>
      <c r="BI100"/>
      <c r="BJ100" t="s">
        <v>814</v>
      </c>
      <c r="BK100"/>
      <c r="BL100"/>
      <c r="BM100"/>
      <c r="BN100"/>
      <c r="BO100"/>
      <c r="BP100"/>
      <c r="BQ100"/>
      <c r="BR100"/>
      <c r="BS100"/>
      <c r="BT100" t="str">
        <f>HYPERLINK("https%3A%2F%2Fwww.webofscience.com%2Fwos%2Fwoscc%2Ffull-record%2F","View Full Record in Web of Science")</f>
        <v>View Full Record in Web of Science</v>
      </c>
    </row>
    <row r="101" spans="1:72" customHeight="1" ht="12.75">
      <c r="A101" t="s">
        <v>72</v>
      </c>
      <c r="B101" t="s">
        <v>815</v>
      </c>
      <c r="C101"/>
      <c r="D101"/>
      <c r="E101"/>
      <c r="F101" t="s">
        <v>816</v>
      </c>
      <c r="G101"/>
      <c r="H101"/>
      <c r="I101" t="s">
        <v>817</v>
      </c>
      <c r="J101" t="s">
        <v>111</v>
      </c>
      <c r="K101"/>
      <c r="L101"/>
      <c r="M101"/>
      <c r="N101" t="s">
        <v>112</v>
      </c>
      <c r="O101"/>
      <c r="P101"/>
      <c r="Q101"/>
      <c r="R101"/>
      <c r="S101"/>
      <c r="T101" t="s">
        <v>818</v>
      </c>
      <c r="U101" t="s">
        <v>819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34</v>
      </c>
      <c r="AI101">
        <v>35</v>
      </c>
      <c r="AJ101"/>
      <c r="AK101"/>
      <c r="AL101"/>
      <c r="AM101"/>
      <c r="AN101"/>
      <c r="AO101" t="s">
        <v>115</v>
      </c>
      <c r="AP101" t="s">
        <v>116</v>
      </c>
      <c r="AQ101"/>
      <c r="AR101"/>
      <c r="AS101"/>
      <c r="AT101" t="s">
        <v>117</v>
      </c>
      <c r="AU101">
        <v>2018</v>
      </c>
      <c r="AV101">
        <v>132</v>
      </c>
      <c r="AW101"/>
      <c r="AX101"/>
      <c r="AY101"/>
      <c r="AZ101"/>
      <c r="BA101"/>
      <c r="BB101">
        <v>230</v>
      </c>
      <c r="BC101">
        <v>238</v>
      </c>
      <c r="BD101"/>
      <c r="BE101" t="s">
        <v>820</v>
      </c>
      <c r="BF101" t="str">
        <f>HYPERLINK("http://dx.doi.org/10.1016/j.resconrec.2017.05.005","http://dx.doi.org/10.1016/j.resconrec.2017.05.005")</f>
        <v>http://dx.doi.org/10.1016/j.resconrec.2017.05.005</v>
      </c>
      <c r="BG101"/>
      <c r="BH101"/>
      <c r="BI101"/>
      <c r="BJ101" t="s">
        <v>119</v>
      </c>
      <c r="BK101"/>
      <c r="BL101"/>
      <c r="BM101"/>
      <c r="BN101"/>
      <c r="BO101"/>
      <c r="BP101"/>
      <c r="BQ101"/>
      <c r="BR101"/>
      <c r="BS101"/>
      <c r="BT101" t="str">
        <f>HYPERLINK("https%3A%2F%2Fwww.webofscience.com%2Fwos%2Fwoscc%2Ffull-record%2F","View Full Record in Web of Science")</f>
        <v>View Full Record in Web of Science</v>
      </c>
    </row>
    <row r="102" spans="1:72" customHeight="1" ht="12.75">
      <c r="A102" t="s">
        <v>72</v>
      </c>
      <c r="B102" t="s">
        <v>821</v>
      </c>
      <c r="C102"/>
      <c r="D102"/>
      <c r="E102"/>
      <c r="F102" t="s">
        <v>822</v>
      </c>
      <c r="G102"/>
      <c r="H102"/>
      <c r="I102" t="s">
        <v>823</v>
      </c>
      <c r="J102" t="s">
        <v>824</v>
      </c>
      <c r="K102"/>
      <c r="L102"/>
      <c r="M102"/>
      <c r="N102" t="s">
        <v>112</v>
      </c>
      <c r="O102"/>
      <c r="P102"/>
      <c r="Q102"/>
      <c r="R102"/>
      <c r="S102"/>
      <c r="T102" t="s">
        <v>825</v>
      </c>
      <c r="U102" t="s">
        <v>826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>
        <v>7</v>
      </c>
      <c r="AI102">
        <v>9</v>
      </c>
      <c r="AJ102"/>
      <c r="AK102"/>
      <c r="AL102"/>
      <c r="AM102"/>
      <c r="AN102"/>
      <c r="AO102" t="s">
        <v>827</v>
      </c>
      <c r="AP102" t="s">
        <v>828</v>
      </c>
      <c r="AQ102"/>
      <c r="AR102"/>
      <c r="AS102"/>
      <c r="AT102" t="s">
        <v>154</v>
      </c>
      <c r="AU102">
        <v>2014</v>
      </c>
      <c r="AV102">
        <v>28</v>
      </c>
      <c r="AW102">
        <v>6</v>
      </c>
      <c r="AX102"/>
      <c r="AY102"/>
      <c r="AZ102"/>
      <c r="BA102"/>
      <c r="BB102">
        <v>1511</v>
      </c>
      <c r="BC102">
        <v>1524</v>
      </c>
      <c r="BD102"/>
      <c r="BE102" t="s">
        <v>829</v>
      </c>
      <c r="BF102" t="str">
        <f>HYPERLINK("http://dx.doi.org/10.1007/s00477-013-0830-y","http://dx.doi.org/10.1007/s00477-013-0830-y")</f>
        <v>http://dx.doi.org/10.1007/s00477-013-0830-y</v>
      </c>
      <c r="BG102"/>
      <c r="BH102"/>
      <c r="BI102"/>
      <c r="BJ102" t="s">
        <v>830</v>
      </c>
      <c r="BK102"/>
      <c r="BL102"/>
      <c r="BM102"/>
      <c r="BN102"/>
      <c r="BO102"/>
      <c r="BP102"/>
      <c r="BQ102"/>
      <c r="BR102"/>
      <c r="BS102"/>
      <c r="BT102" t="str">
        <f>HYPERLINK("https%3A%2F%2Fwww.webofscience.com%2Fwos%2Fwoscc%2Ffull-record%2F","View Full Record in Web of Science")</f>
        <v>View Full Record in Web of Science</v>
      </c>
    </row>
    <row r="103" spans="1:72" customHeight="1" ht="12.75">
      <c r="A103" t="s">
        <v>72</v>
      </c>
      <c r="B103" t="s">
        <v>831</v>
      </c>
      <c r="C103"/>
      <c r="D103"/>
      <c r="E103"/>
      <c r="F103" t="s">
        <v>832</v>
      </c>
      <c r="G103"/>
      <c r="H103"/>
      <c r="I103" t="s">
        <v>833</v>
      </c>
      <c r="J103" t="s">
        <v>834</v>
      </c>
      <c r="K103"/>
      <c r="L103"/>
      <c r="M103"/>
      <c r="N103" t="s">
        <v>215</v>
      </c>
      <c r="O103"/>
      <c r="P103"/>
      <c r="Q103"/>
      <c r="R103"/>
      <c r="S103"/>
      <c r="T103" t="s">
        <v>835</v>
      </c>
      <c r="U103" t="s">
        <v>836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>
        <v>35</v>
      </c>
      <c r="AI103">
        <v>44</v>
      </c>
      <c r="AJ103"/>
      <c r="AK103"/>
      <c r="AL103"/>
      <c r="AM103"/>
      <c r="AN103"/>
      <c r="AO103" t="s">
        <v>837</v>
      </c>
      <c r="AP103" t="s">
        <v>838</v>
      </c>
      <c r="AQ103"/>
      <c r="AR103"/>
      <c r="AS103"/>
      <c r="AT103" t="s">
        <v>154</v>
      </c>
      <c r="AU103">
        <v>2008</v>
      </c>
      <c r="AV103">
        <v>15</v>
      </c>
      <c r="AW103">
        <v>4</v>
      </c>
      <c r="AX103"/>
      <c r="AY103"/>
      <c r="AZ103"/>
      <c r="BA103"/>
      <c r="BB103">
        <v>362</v>
      </c>
      <c r="BC103">
        <v>370</v>
      </c>
      <c r="BD103"/>
      <c r="BE103" t="s">
        <v>839</v>
      </c>
      <c r="BF103" t="str">
        <f>HYPERLINK("http://dx.doi.org/10.3843/SusDev.15.4:12","http://dx.doi.org/10.3843/SusDev.15.4:12")</f>
        <v>http://dx.doi.org/10.3843/SusDev.15.4:12</v>
      </c>
      <c r="BG103"/>
      <c r="BH103"/>
      <c r="BI103"/>
      <c r="BJ103" t="s">
        <v>840</v>
      </c>
      <c r="BK103"/>
      <c r="BL103"/>
      <c r="BM103"/>
      <c r="BN103"/>
      <c r="BO103"/>
      <c r="BP103"/>
      <c r="BQ103"/>
      <c r="BR103"/>
      <c r="BS103"/>
      <c r="BT103" t="str">
        <f>HYPERLINK("https%3A%2F%2Fwww.webofscience.com%2Fwos%2Fwoscc%2Ffull-record%2F","View Full Record in Web of Science")</f>
        <v>View Full Record in Web of Science</v>
      </c>
    </row>
    <row r="104" spans="1:72" customHeight="1" ht="12.75">
      <c r="A104" t="s">
        <v>72</v>
      </c>
      <c r="B104" t="s">
        <v>841</v>
      </c>
      <c r="C104"/>
      <c r="D104"/>
      <c r="E104"/>
      <c r="F104" t="s">
        <v>842</v>
      </c>
      <c r="G104"/>
      <c r="H104"/>
      <c r="I104" t="s">
        <v>843</v>
      </c>
      <c r="J104" t="s">
        <v>844</v>
      </c>
      <c r="K104"/>
      <c r="L104"/>
      <c r="M104"/>
      <c r="N104" t="s">
        <v>167</v>
      </c>
      <c r="O104"/>
      <c r="P104"/>
      <c r="Q104"/>
      <c r="R104"/>
      <c r="S104"/>
      <c r="T104"/>
      <c r="U104" t="s">
        <v>845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29</v>
      </c>
      <c r="AI104">
        <v>30</v>
      </c>
      <c r="AJ104"/>
      <c r="AK104"/>
      <c r="AL104"/>
      <c r="AM104"/>
      <c r="AN104"/>
      <c r="AO104" t="s">
        <v>846</v>
      </c>
      <c r="AP104" t="s">
        <v>847</v>
      </c>
      <c r="AQ104"/>
      <c r="AR104"/>
      <c r="AS104"/>
      <c r="AT104" t="s">
        <v>848</v>
      </c>
      <c r="AU104">
        <v>2020</v>
      </c>
      <c r="AV104">
        <v>2</v>
      </c>
      <c r="AW104">
        <v>2</v>
      </c>
      <c r="AX104"/>
      <c r="AY104"/>
      <c r="AZ104"/>
      <c r="BA104"/>
      <c r="BB104">
        <v>138</v>
      </c>
      <c r="BC104">
        <v>142</v>
      </c>
      <c r="BD104"/>
      <c r="BE104" t="s">
        <v>849</v>
      </c>
      <c r="BF104" t="str">
        <f>HYPERLINK("http://dx.doi.org/10.1016/j.oneear.2020.02.004","http://dx.doi.org/10.1016/j.oneear.2020.02.004")</f>
        <v>http://dx.doi.org/10.1016/j.oneear.2020.02.004</v>
      </c>
      <c r="BG104"/>
      <c r="BH104"/>
      <c r="BI104"/>
      <c r="BJ104" t="s">
        <v>460</v>
      </c>
      <c r="BK104"/>
      <c r="BL104"/>
      <c r="BM104"/>
      <c r="BN104"/>
      <c r="BO104"/>
      <c r="BP104"/>
      <c r="BQ104"/>
      <c r="BR104"/>
      <c r="BS104"/>
      <c r="BT104" t="str">
        <f>HYPERLINK("https%3A%2F%2Fwww.webofscience.com%2Fwos%2Fwoscc%2Ffull-record%2F","View Full Record in Web of Science")</f>
        <v>View Full Record in Web of Science</v>
      </c>
    </row>
    <row r="105" spans="1:72" customHeight="1" ht="12.75">
      <c r="A105" t="s">
        <v>72</v>
      </c>
      <c r="B105" t="s">
        <v>850</v>
      </c>
      <c r="C105"/>
      <c r="D105"/>
      <c r="E105"/>
      <c r="F105" t="s">
        <v>851</v>
      </c>
      <c r="G105"/>
      <c r="H105"/>
      <c r="I105" t="s">
        <v>852</v>
      </c>
      <c r="J105" t="s">
        <v>111</v>
      </c>
      <c r="K105"/>
      <c r="L105"/>
      <c r="M105"/>
      <c r="N105" t="s">
        <v>112</v>
      </c>
      <c r="O105"/>
      <c r="P105"/>
      <c r="Q105"/>
      <c r="R105"/>
      <c r="S105"/>
      <c r="T105" t="s">
        <v>853</v>
      </c>
      <c r="U105" t="s">
        <v>854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>
        <v>15</v>
      </c>
      <c r="AI105">
        <v>17</v>
      </c>
      <c r="AJ105"/>
      <c r="AK105"/>
      <c r="AL105"/>
      <c r="AM105"/>
      <c r="AN105"/>
      <c r="AO105" t="s">
        <v>115</v>
      </c>
      <c r="AP105" t="s">
        <v>116</v>
      </c>
      <c r="AQ105"/>
      <c r="AR105"/>
      <c r="AS105"/>
      <c r="AT105" t="s">
        <v>404</v>
      </c>
      <c r="AU105">
        <v>2018</v>
      </c>
      <c r="AV105">
        <v>128</v>
      </c>
      <c r="AW105"/>
      <c r="AX105"/>
      <c r="AY105"/>
      <c r="AZ105"/>
      <c r="BA105"/>
      <c r="BB105">
        <v>516</v>
      </c>
      <c r="BC105">
        <v>525</v>
      </c>
      <c r="BD105"/>
      <c r="BE105" t="s">
        <v>855</v>
      </c>
      <c r="BF105" t="str">
        <f>HYPERLINK("http://dx.doi.org/10.1016/j.resconrec.2016.08.026","http://dx.doi.org/10.1016/j.resconrec.2016.08.026")</f>
        <v>http://dx.doi.org/10.1016/j.resconrec.2016.08.026</v>
      </c>
      <c r="BG105"/>
      <c r="BH105"/>
      <c r="BI105"/>
      <c r="BJ105" t="s">
        <v>119</v>
      </c>
      <c r="BK105"/>
      <c r="BL105"/>
      <c r="BM105"/>
      <c r="BN105"/>
      <c r="BO105"/>
      <c r="BP105"/>
      <c r="BQ105"/>
      <c r="BR105"/>
      <c r="BS105"/>
      <c r="BT105" t="str">
        <f>HYPERLINK("https%3A%2F%2Fwww.webofscience.com%2Fwos%2Fwoscc%2Ffull-record%2F","View Full Record in Web of Science")</f>
        <v>View Full Record in Web of Science</v>
      </c>
    </row>
    <row r="106" spans="1:72" customHeight="1" ht="12.75">
      <c r="A106" t="s">
        <v>72</v>
      </c>
      <c r="B106" t="s">
        <v>856</v>
      </c>
      <c r="C106"/>
      <c r="D106"/>
      <c r="E106"/>
      <c r="F106" t="s">
        <v>857</v>
      </c>
      <c r="G106"/>
      <c r="H106"/>
      <c r="I106" t="s">
        <v>858</v>
      </c>
      <c r="J106" t="s">
        <v>214</v>
      </c>
      <c r="K106"/>
      <c r="L106"/>
      <c r="M106"/>
      <c r="N106" t="s">
        <v>859</v>
      </c>
      <c r="O106"/>
      <c r="P106"/>
      <c r="Q106"/>
      <c r="R106"/>
      <c r="S106"/>
      <c r="T106"/>
      <c r="U106" t="s">
        <v>860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>
        <v>7</v>
      </c>
      <c r="AI106">
        <v>9</v>
      </c>
      <c r="AJ106"/>
      <c r="AK106"/>
      <c r="AL106"/>
      <c r="AM106"/>
      <c r="AN106"/>
      <c r="AO106" t="s">
        <v>218</v>
      </c>
      <c r="AP106"/>
      <c r="AQ106"/>
      <c r="AR106"/>
      <c r="AS106"/>
      <c r="AT106" t="s">
        <v>154</v>
      </c>
      <c r="AU106">
        <v>2012</v>
      </c>
      <c r="AV106">
        <v>167</v>
      </c>
      <c r="AW106"/>
      <c r="AX106"/>
      <c r="AY106"/>
      <c r="AZ106"/>
      <c r="BA106"/>
      <c r="BB106">
        <v>184</v>
      </c>
      <c r="BC106">
        <v>185</v>
      </c>
      <c r="BD106"/>
      <c r="BE106" t="s">
        <v>861</v>
      </c>
      <c r="BF106" t="str">
        <f>HYPERLINK("http://dx.doi.org/10.1016/j.envpol.2012.04.011","http://dx.doi.org/10.1016/j.envpol.2012.04.011")</f>
        <v>http://dx.doi.org/10.1016/j.envpol.2012.04.011</v>
      </c>
      <c r="BG106"/>
      <c r="BH106"/>
      <c r="BI106"/>
      <c r="BJ106" t="s">
        <v>224</v>
      </c>
      <c r="BK106"/>
      <c r="BL106"/>
      <c r="BM106"/>
      <c r="BN106"/>
      <c r="BO106"/>
      <c r="BP106"/>
      <c r="BQ106"/>
      <c r="BR106"/>
      <c r="BS106"/>
      <c r="BT106" t="str">
        <f>HYPERLINK("https%3A%2F%2Fwww.webofscience.com%2Fwos%2Fwoscc%2Ffull-record%2F","View Full Record in Web of Science")</f>
        <v>View Full Record in Web of Science</v>
      </c>
    </row>
    <row r="107" spans="1:72" customHeight="1" ht="12.75">
      <c r="A107" t="s">
        <v>72</v>
      </c>
      <c r="B107" t="s">
        <v>862</v>
      </c>
      <c r="C107"/>
      <c r="D107"/>
      <c r="E107"/>
      <c r="F107" t="s">
        <v>863</v>
      </c>
      <c r="G107"/>
      <c r="H107"/>
      <c r="I107" t="s">
        <v>864</v>
      </c>
      <c r="J107" t="s">
        <v>133</v>
      </c>
      <c r="K107"/>
      <c r="L107"/>
      <c r="M107"/>
      <c r="N107" t="s">
        <v>325</v>
      </c>
      <c r="O107"/>
      <c r="P107"/>
      <c r="Q107"/>
      <c r="R107"/>
      <c r="S107"/>
      <c r="T107" t="s">
        <v>865</v>
      </c>
      <c r="U107" t="s">
        <v>866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>
        <v>8</v>
      </c>
      <c r="AI107">
        <v>8</v>
      </c>
      <c r="AJ107"/>
      <c r="AK107"/>
      <c r="AL107"/>
      <c r="AM107"/>
      <c r="AN107"/>
      <c r="AO107" t="s">
        <v>136</v>
      </c>
      <c r="AP107" t="s">
        <v>137</v>
      </c>
      <c r="AQ107"/>
      <c r="AR107"/>
      <c r="AS107"/>
      <c r="AT107" t="s">
        <v>867</v>
      </c>
      <c r="AU107">
        <v>2022</v>
      </c>
      <c r="AV107">
        <v>26</v>
      </c>
      <c r="AW107">
        <v>4</v>
      </c>
      <c r="AX107"/>
      <c r="AY107"/>
      <c r="AZ107"/>
      <c r="BA107"/>
      <c r="BB107">
        <v>1333</v>
      </c>
      <c r="BC107">
        <v>1349</v>
      </c>
      <c r="BD107"/>
      <c r="BE107" t="s">
        <v>868</v>
      </c>
      <c r="BF107" t="str">
        <f>HYPERLINK("http://dx.doi.org/10.1111/jiec.13261","http://dx.doi.org/10.1111/jiec.13261")</f>
        <v>http://dx.doi.org/10.1111/jiec.13261</v>
      </c>
      <c r="BG107"/>
      <c r="BH107" t="s">
        <v>869</v>
      </c>
      <c r="BI107"/>
      <c r="BJ107" t="s">
        <v>139</v>
      </c>
      <c r="BK107"/>
      <c r="BL107"/>
      <c r="BM107"/>
      <c r="BN107"/>
      <c r="BO107"/>
      <c r="BP107"/>
      <c r="BQ107"/>
      <c r="BR107"/>
      <c r="BS107"/>
      <c r="BT107" t="str">
        <f>HYPERLINK("https%3A%2F%2Fwww.webofscience.com%2Fwos%2Fwoscc%2Ffull-record%2F","View Full Record in Web of Science")</f>
        <v>View Full Record in Web of Science</v>
      </c>
    </row>
    <row r="108" spans="1:72" customHeight="1" ht="12.75">
      <c r="A108" t="s">
        <v>72</v>
      </c>
      <c r="B108" t="s">
        <v>211</v>
      </c>
      <c r="C108"/>
      <c r="D108"/>
      <c r="E108"/>
      <c r="F108" t="s">
        <v>212</v>
      </c>
      <c r="G108"/>
      <c r="H108"/>
      <c r="I108" t="s">
        <v>870</v>
      </c>
      <c r="J108" t="s">
        <v>214</v>
      </c>
      <c r="K108"/>
      <c r="L108"/>
      <c r="M108"/>
      <c r="N108" t="s">
        <v>859</v>
      </c>
      <c r="O108"/>
      <c r="P108"/>
      <c r="Q108"/>
      <c r="R108"/>
      <c r="S108"/>
      <c r="T108"/>
      <c r="U108" t="s">
        <v>409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7</v>
      </c>
      <c r="AI108">
        <v>8</v>
      </c>
      <c r="AJ108"/>
      <c r="AK108"/>
      <c r="AL108"/>
      <c r="AM108"/>
      <c r="AN108"/>
      <c r="AO108" t="s">
        <v>218</v>
      </c>
      <c r="AP108"/>
      <c r="AQ108"/>
      <c r="AR108"/>
      <c r="AS108"/>
      <c r="AT108" t="s">
        <v>154</v>
      </c>
      <c r="AU108">
        <v>2012</v>
      </c>
      <c r="AV108">
        <v>167</v>
      </c>
      <c r="AW108"/>
      <c r="AX108"/>
      <c r="AY108"/>
      <c r="AZ108"/>
      <c r="BA108"/>
      <c r="BB108">
        <v>186</v>
      </c>
      <c r="BC108">
        <v>186</v>
      </c>
      <c r="BD108"/>
      <c r="BE108" t="s">
        <v>871</v>
      </c>
      <c r="BF108" t="str">
        <f>HYPERLINK("http://dx.doi.org/10.1016/j.envpol.2012.04.012","http://dx.doi.org/10.1016/j.envpol.2012.04.012")</f>
        <v>http://dx.doi.org/10.1016/j.envpol.2012.04.012</v>
      </c>
      <c r="BG108"/>
      <c r="BH108"/>
      <c r="BI108"/>
      <c r="BJ108" t="s">
        <v>224</v>
      </c>
      <c r="BK108"/>
      <c r="BL108"/>
      <c r="BM108"/>
      <c r="BN108"/>
      <c r="BO108"/>
      <c r="BP108"/>
      <c r="BQ108"/>
      <c r="BR108"/>
      <c r="BS108"/>
      <c r="BT108" t="str">
        <f>HYPERLINK("https%3A%2F%2Fwww.webofscience.com%2Fwos%2Fwoscc%2Ffull-record%2F","View Full Record in Web of Science")</f>
        <v>View Full Record in Web of Science</v>
      </c>
    </row>
    <row r="109" spans="1:72" customHeight="1" ht="12.75">
      <c r="A109" t="s">
        <v>72</v>
      </c>
      <c r="B109" t="s">
        <v>872</v>
      </c>
      <c r="C109"/>
      <c r="D109"/>
      <c r="E109"/>
      <c r="F109" t="s">
        <v>873</v>
      </c>
      <c r="G109"/>
      <c r="H109"/>
      <c r="I109" t="s">
        <v>874</v>
      </c>
      <c r="J109" t="s">
        <v>166</v>
      </c>
      <c r="K109"/>
      <c r="L109"/>
      <c r="M109"/>
      <c r="N109" t="s">
        <v>112</v>
      </c>
      <c r="O109"/>
      <c r="P109"/>
      <c r="Q109"/>
      <c r="R109"/>
      <c r="S109"/>
      <c r="T109" t="s">
        <v>875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>
        <v>0.0</v>
      </c>
      <c r="AI109">
        <v>0.0</v>
      </c>
      <c r="AJ109"/>
      <c r="AK109"/>
      <c r="AL109"/>
      <c r="AM109"/>
      <c r="AN109"/>
      <c r="AO109"/>
      <c r="AP109" t="s">
        <v>169</v>
      </c>
      <c r="AQ109"/>
      <c r="AR109"/>
      <c r="AS109"/>
      <c r="AT109"/>
      <c r="AU109">
        <v>2020</v>
      </c>
      <c r="AV109">
        <v>2</v>
      </c>
      <c r="AW109"/>
      <c r="AX109"/>
      <c r="AY109"/>
      <c r="AZ109"/>
      <c r="BA109"/>
      <c r="BB109"/>
      <c r="BC109"/>
      <c r="BD109">
        <v>4</v>
      </c>
      <c r="BE109" t="s">
        <v>876</v>
      </c>
      <c r="BF109" t="str">
        <f>HYPERLINK("http://dx.doi.org/10.3389/frsc.2020.00004","http://dx.doi.org/10.3389/frsc.2020.00004")</f>
        <v>http://dx.doi.org/10.3389/frsc.2020.00004</v>
      </c>
      <c r="BG109"/>
      <c r="BH109"/>
      <c r="BI109"/>
      <c r="BJ109" t="s">
        <v>171</v>
      </c>
      <c r="BK109"/>
      <c r="BL109"/>
      <c r="BM109"/>
      <c r="BN109"/>
      <c r="BO109"/>
      <c r="BP109"/>
      <c r="BQ109"/>
      <c r="BR109"/>
      <c r="BS109"/>
      <c r="BT109" t="str">
        <f>HYPERLINK("https%3A%2F%2Fwww.webofscience.com%2Fwos%2Fwoscc%2Ffull-record%2F","View Full Record in Web of Science")</f>
        <v>View Full Record in Web of Science</v>
      </c>
    </row>
    <row r="110" spans="1:72" customHeight="1" ht="12.75">
      <c r="A110" t="s">
        <v>72</v>
      </c>
      <c r="B110" t="s">
        <v>877</v>
      </c>
      <c r="C110"/>
      <c r="D110"/>
      <c r="E110"/>
      <c r="F110" t="s">
        <v>877</v>
      </c>
      <c r="G110"/>
      <c r="H110"/>
      <c r="I110" t="s">
        <v>878</v>
      </c>
      <c r="J110" t="s">
        <v>722</v>
      </c>
      <c r="K110"/>
      <c r="L110"/>
      <c r="M110"/>
      <c r="N110" t="s">
        <v>112</v>
      </c>
      <c r="O110"/>
      <c r="P110"/>
      <c r="Q110"/>
      <c r="R110"/>
      <c r="S110"/>
      <c r="T110"/>
      <c r="U110" t="s">
        <v>879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>
        <v>145</v>
      </c>
      <c r="AI110">
        <v>182</v>
      </c>
      <c r="AJ110"/>
      <c r="AK110"/>
      <c r="AL110"/>
      <c r="AM110"/>
      <c r="AN110"/>
      <c r="AO110" t="s">
        <v>725</v>
      </c>
      <c r="AP110"/>
      <c r="AQ110"/>
      <c r="AR110"/>
      <c r="AS110"/>
      <c r="AT110" t="s">
        <v>92</v>
      </c>
      <c r="AU110">
        <v>2001</v>
      </c>
      <c r="AV110">
        <v>30</v>
      </c>
      <c r="AW110">
        <v>7</v>
      </c>
      <c r="AX110"/>
      <c r="AY110"/>
      <c r="AZ110"/>
      <c r="BA110"/>
      <c r="BB110">
        <v>429</v>
      </c>
      <c r="BC110">
        <v>438</v>
      </c>
      <c r="BD110"/>
      <c r="BE110" t="s">
        <v>880</v>
      </c>
      <c r="BF110" t="str">
        <f>HYPERLINK("http://dx.doi.org/10.1639/0044-7447(2001)030[0429:ETITUM]2.0.CO;2","http://dx.doi.org/10.1639/0044-7447(2001)030[0429:ETITUM]2.0.CO;2")</f>
        <v>http://dx.doi.org/10.1639/0044-7447(2001)030[0429:ETITUM]2.0.CO;2</v>
      </c>
      <c r="BG110"/>
      <c r="BH110"/>
      <c r="BI110"/>
      <c r="BJ110" t="s">
        <v>119</v>
      </c>
      <c r="BK110"/>
      <c r="BL110"/>
      <c r="BM110"/>
      <c r="BN110"/>
      <c r="BO110"/>
      <c r="BP110"/>
      <c r="BQ110"/>
      <c r="BR110"/>
      <c r="BS110"/>
      <c r="BT110" t="str">
        <f>HYPERLINK("https%3A%2F%2Fwww.webofscience.com%2Fwos%2Fwoscc%2Ffull-record%2F","View Full Record in Web of Science")</f>
        <v>View Full Record in Web of Science</v>
      </c>
    </row>
    <row r="111" spans="1:72" customHeight="1" ht="12.75">
      <c r="A111" t="s">
        <v>72</v>
      </c>
      <c r="B111" t="s">
        <v>856</v>
      </c>
      <c r="C111"/>
      <c r="D111"/>
      <c r="E111"/>
      <c r="F111" t="s">
        <v>857</v>
      </c>
      <c r="G111"/>
      <c r="H111"/>
      <c r="I111" t="s">
        <v>881</v>
      </c>
      <c r="J111" t="s">
        <v>214</v>
      </c>
      <c r="K111"/>
      <c r="L111"/>
      <c r="M111"/>
      <c r="N111" t="s">
        <v>859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>
        <v>1</v>
      </c>
      <c r="AI111">
        <v>2</v>
      </c>
      <c r="AJ111"/>
      <c r="AK111"/>
      <c r="AL111"/>
      <c r="AM111"/>
      <c r="AN111"/>
      <c r="AO111" t="s">
        <v>218</v>
      </c>
      <c r="AP111"/>
      <c r="AQ111"/>
      <c r="AR111"/>
      <c r="AS111"/>
      <c r="AT111" t="s">
        <v>154</v>
      </c>
      <c r="AU111">
        <v>2012</v>
      </c>
      <c r="AV111">
        <v>167</v>
      </c>
      <c r="AW111"/>
      <c r="AX111"/>
      <c r="AY111"/>
      <c r="AZ111"/>
      <c r="BA111"/>
      <c r="BB111">
        <v>187</v>
      </c>
      <c r="BC111">
        <v>187</v>
      </c>
      <c r="BD111"/>
      <c r="BE111" t="s">
        <v>882</v>
      </c>
      <c r="BF111" t="str">
        <f>HYPERLINK("http://dx.doi.org/10.1016/j.envpol.2012.04.013","http://dx.doi.org/10.1016/j.envpol.2012.04.013")</f>
        <v>http://dx.doi.org/10.1016/j.envpol.2012.04.013</v>
      </c>
      <c r="BG111"/>
      <c r="BH111"/>
      <c r="BI111"/>
      <c r="BJ111" t="s">
        <v>224</v>
      </c>
      <c r="BK111"/>
      <c r="BL111"/>
      <c r="BM111"/>
      <c r="BN111"/>
      <c r="BO111"/>
      <c r="BP111"/>
      <c r="BQ111"/>
      <c r="BR111"/>
      <c r="BS111"/>
      <c r="BT111" t="str">
        <f>HYPERLINK("https%3A%2F%2Fwww.webofscience.com%2Fwos%2Fwoscc%2Ffull-record%2F","View Full Record in Web of Science")</f>
        <v>View Full Record in Web of Science</v>
      </c>
    </row>
    <row r="112" spans="1:72" customHeight="1" ht="12.75">
      <c r="A112" t="s">
        <v>72</v>
      </c>
      <c r="B112" t="s">
        <v>883</v>
      </c>
      <c r="C112"/>
      <c r="D112"/>
      <c r="E112"/>
      <c r="F112" t="s">
        <v>884</v>
      </c>
      <c r="G112"/>
      <c r="H112"/>
      <c r="I112" t="s">
        <v>885</v>
      </c>
      <c r="J112" t="s">
        <v>87</v>
      </c>
      <c r="K112"/>
      <c r="L112"/>
      <c r="M112"/>
      <c r="N112" t="s">
        <v>325</v>
      </c>
      <c r="O112"/>
      <c r="P112"/>
      <c r="Q112"/>
      <c r="R112"/>
      <c r="S112"/>
      <c r="T112" t="s">
        <v>886</v>
      </c>
      <c r="U112" t="s">
        <v>887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>
        <v>5</v>
      </c>
      <c r="AI112">
        <v>6</v>
      </c>
      <c r="AJ112"/>
      <c r="AK112"/>
      <c r="AL112"/>
      <c r="AM112"/>
      <c r="AN112"/>
      <c r="AO112" t="s">
        <v>90</v>
      </c>
      <c r="AP112" t="s">
        <v>91</v>
      </c>
      <c r="AQ112"/>
      <c r="AR112"/>
      <c r="AS112"/>
      <c r="AT112" t="s">
        <v>888</v>
      </c>
      <c r="AU112">
        <v>2022</v>
      </c>
      <c r="AV112">
        <v>136</v>
      </c>
      <c r="AW112"/>
      <c r="AX112"/>
      <c r="AY112"/>
      <c r="AZ112"/>
      <c r="BA112"/>
      <c r="BB112"/>
      <c r="BC112"/>
      <c r="BD112">
        <v>108593</v>
      </c>
      <c r="BE112" t="s">
        <v>889</v>
      </c>
      <c r="BF112" t="str">
        <f>HYPERLINK("http://dx.doi.org/10.1016/j.ecolind.2022.108593","http://dx.doi.org/10.1016/j.ecolind.2022.108593")</f>
        <v>http://dx.doi.org/10.1016/j.ecolind.2022.108593</v>
      </c>
      <c r="BG112"/>
      <c r="BH112" t="s">
        <v>106</v>
      </c>
      <c r="BI112"/>
      <c r="BJ112" t="s">
        <v>94</v>
      </c>
      <c r="BK112"/>
      <c r="BL112"/>
      <c r="BM112"/>
      <c r="BN112"/>
      <c r="BO112"/>
      <c r="BP112"/>
      <c r="BQ112"/>
      <c r="BR112"/>
      <c r="BS112"/>
      <c r="BT112" t="str">
        <f>HYPERLINK("https%3A%2F%2Fwww.webofscience.com%2Fwos%2Fwoscc%2Ffull-record%2F","View Full Record in Web of Science")</f>
        <v>View Full Record in Web of Science</v>
      </c>
    </row>
    <row r="113" spans="1:72" customHeight="1" ht="12.75">
      <c r="A113" t="s">
        <v>72</v>
      </c>
      <c r="B113" t="s">
        <v>890</v>
      </c>
      <c r="C113"/>
      <c r="D113"/>
      <c r="E113"/>
      <c r="F113" t="s">
        <v>891</v>
      </c>
      <c r="G113"/>
      <c r="H113"/>
      <c r="I113" t="s">
        <v>892</v>
      </c>
      <c r="J113" t="s">
        <v>893</v>
      </c>
      <c r="K113"/>
      <c r="L113"/>
      <c r="M113"/>
      <c r="N113" t="s">
        <v>112</v>
      </c>
      <c r="O113"/>
      <c r="P113"/>
      <c r="Q113"/>
      <c r="R113"/>
      <c r="S113"/>
      <c r="T113" t="s">
        <v>894</v>
      </c>
      <c r="U113" t="s">
        <v>895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>
        <v>5</v>
      </c>
      <c r="AI113">
        <v>5</v>
      </c>
      <c r="AJ113"/>
      <c r="AK113"/>
      <c r="AL113"/>
      <c r="AM113"/>
      <c r="AN113"/>
      <c r="AO113"/>
      <c r="AP113" t="s">
        <v>896</v>
      </c>
      <c r="AQ113"/>
      <c r="AR113"/>
      <c r="AS113"/>
      <c r="AT113" t="s">
        <v>92</v>
      </c>
      <c r="AU113">
        <v>2019</v>
      </c>
      <c r="AV113">
        <v>12</v>
      </c>
      <c r="AW113">
        <v>21</v>
      </c>
      <c r="AX113"/>
      <c r="AY113"/>
      <c r="AZ113"/>
      <c r="BA113"/>
      <c r="BB113"/>
      <c r="BC113"/>
      <c r="BD113">
        <v>4125</v>
      </c>
      <c r="BE113" t="s">
        <v>897</v>
      </c>
      <c r="BF113" t="str">
        <f>HYPERLINK("http://dx.doi.org/10.3390/en12214125","http://dx.doi.org/10.3390/en12214125")</f>
        <v>http://dx.doi.org/10.3390/en12214125</v>
      </c>
      <c r="BG113"/>
      <c r="BH113"/>
      <c r="BI113"/>
      <c r="BJ113" t="s">
        <v>898</v>
      </c>
      <c r="BK113"/>
      <c r="BL113"/>
      <c r="BM113"/>
      <c r="BN113"/>
      <c r="BO113"/>
      <c r="BP113"/>
      <c r="BQ113"/>
      <c r="BR113"/>
      <c r="BS113"/>
      <c r="BT113" t="str">
        <f>HYPERLINK("https%3A%2F%2Fwww.webofscience.com%2Fwos%2Fwoscc%2Ffull-record%2F","View Full Record in Web of Science")</f>
        <v>View Full Record in Web of Science</v>
      </c>
    </row>
    <row r="114" spans="1:72" customHeight="1" ht="12.75">
      <c r="A114" t="s">
        <v>72</v>
      </c>
      <c r="B114" t="s">
        <v>899</v>
      </c>
      <c r="C114"/>
      <c r="D114"/>
      <c r="E114"/>
      <c r="F114" t="s">
        <v>900</v>
      </c>
      <c r="G114"/>
      <c r="H114"/>
      <c r="I114" t="s">
        <v>901</v>
      </c>
      <c r="J114" t="s">
        <v>457</v>
      </c>
      <c r="K114"/>
      <c r="L114"/>
      <c r="M114"/>
      <c r="N114" t="s">
        <v>112</v>
      </c>
      <c r="O114"/>
      <c r="P114"/>
      <c r="Q114"/>
      <c r="R114"/>
      <c r="S114"/>
      <c r="T114"/>
      <c r="U114" t="s">
        <v>902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>
        <v>14</v>
      </c>
      <c r="AI114">
        <v>15</v>
      </c>
      <c r="AJ114"/>
      <c r="AK114"/>
      <c r="AL114"/>
      <c r="AM114"/>
      <c r="AN114"/>
      <c r="AO114"/>
      <c r="AP114" t="s">
        <v>458</v>
      </c>
      <c r="AQ114"/>
      <c r="AR114"/>
      <c r="AS114"/>
      <c r="AT114" t="s">
        <v>362</v>
      </c>
      <c r="AU114">
        <v>2015</v>
      </c>
      <c r="AV114">
        <v>7</v>
      </c>
      <c r="AW114">
        <v>6</v>
      </c>
      <c r="AX114"/>
      <c r="AY114"/>
      <c r="AZ114"/>
      <c r="BA114"/>
      <c r="BB114">
        <v>7473</v>
      </c>
      <c r="BC114">
        <v>7491</v>
      </c>
      <c r="BD114"/>
      <c r="BE114" t="s">
        <v>903</v>
      </c>
      <c r="BF114" t="str">
        <f>HYPERLINK("http://dx.doi.org/10.3390/su7067473","http://dx.doi.org/10.3390/su7067473")</f>
        <v>http://dx.doi.org/10.3390/su7067473</v>
      </c>
      <c r="BG114"/>
      <c r="BH114"/>
      <c r="BI114"/>
      <c r="BJ114" t="s">
        <v>460</v>
      </c>
      <c r="BK114"/>
      <c r="BL114"/>
      <c r="BM114"/>
      <c r="BN114"/>
      <c r="BO114"/>
      <c r="BP114"/>
      <c r="BQ114"/>
      <c r="BR114"/>
      <c r="BS114"/>
      <c r="BT114" t="str">
        <f>HYPERLINK("https%3A%2F%2Fwww.webofscience.com%2Fwos%2Fwoscc%2Ffull-record%2F","View Full Record in Web of Science")</f>
        <v>View Full Record in Web of Science</v>
      </c>
    </row>
    <row r="115" spans="1:72" customHeight="1" ht="12.75">
      <c r="A115" t="s">
        <v>72</v>
      </c>
      <c r="B115" t="s">
        <v>904</v>
      </c>
      <c r="C115"/>
      <c r="D115"/>
      <c r="E115"/>
      <c r="F115" t="s">
        <v>905</v>
      </c>
      <c r="G115"/>
      <c r="H115"/>
      <c r="I115" t="s">
        <v>906</v>
      </c>
      <c r="J115" t="s">
        <v>133</v>
      </c>
      <c r="K115"/>
      <c r="L115"/>
      <c r="M115"/>
      <c r="N115" t="s">
        <v>112</v>
      </c>
      <c r="O115"/>
      <c r="P115"/>
      <c r="Q115"/>
      <c r="R115"/>
      <c r="S115"/>
      <c r="T115" t="s">
        <v>907</v>
      </c>
      <c r="U115" t="s">
        <v>908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>
        <v>16</v>
      </c>
      <c r="AI115">
        <v>18</v>
      </c>
      <c r="AJ115"/>
      <c r="AK115"/>
      <c r="AL115"/>
      <c r="AM115"/>
      <c r="AN115"/>
      <c r="AO115" t="s">
        <v>136</v>
      </c>
      <c r="AP115" t="s">
        <v>137</v>
      </c>
      <c r="AQ115"/>
      <c r="AR115"/>
      <c r="AS115"/>
      <c r="AT115" t="s">
        <v>362</v>
      </c>
      <c r="AU115">
        <v>2019</v>
      </c>
      <c r="AV115">
        <v>23</v>
      </c>
      <c r="AW115">
        <v>3</v>
      </c>
      <c r="AX115"/>
      <c r="AY115"/>
      <c r="AZ115"/>
      <c r="BA115"/>
      <c r="BB115">
        <v>686</v>
      </c>
      <c r="BC115">
        <v>698</v>
      </c>
      <c r="BD115"/>
      <c r="BE115" t="s">
        <v>909</v>
      </c>
      <c r="BF115" t="str">
        <f>HYPERLINK("http://dx.doi.org/10.1111/jiec.12778","http://dx.doi.org/10.1111/jiec.12778")</f>
        <v>http://dx.doi.org/10.1111/jiec.12778</v>
      </c>
      <c r="BG115"/>
      <c r="BH115"/>
      <c r="BI115"/>
      <c r="BJ115" t="s">
        <v>139</v>
      </c>
      <c r="BK115"/>
      <c r="BL115"/>
      <c r="BM115"/>
      <c r="BN115"/>
      <c r="BO115"/>
      <c r="BP115"/>
      <c r="BQ115"/>
      <c r="BR115"/>
      <c r="BS115"/>
      <c r="BT115" t="str">
        <f>HYPERLINK("https%3A%2F%2Fwww.webofscience.com%2Fwos%2Fwoscc%2Ffull-record%2F","View Full Record in Web of Science")</f>
        <v>View Full Record in Web of Science</v>
      </c>
    </row>
    <row r="116" spans="1:72" customHeight="1" ht="12.75">
      <c r="A116" t="s">
        <v>72</v>
      </c>
      <c r="B116" t="s">
        <v>265</v>
      </c>
      <c r="C116"/>
      <c r="D116"/>
      <c r="E116"/>
      <c r="F116" t="s">
        <v>266</v>
      </c>
      <c r="G116"/>
      <c r="H116"/>
      <c r="I116" t="s">
        <v>910</v>
      </c>
      <c r="J116" t="s">
        <v>642</v>
      </c>
      <c r="K116"/>
      <c r="L116"/>
      <c r="M116"/>
      <c r="N116" t="s">
        <v>325</v>
      </c>
      <c r="O116"/>
      <c r="P116"/>
      <c r="Q116"/>
      <c r="R116"/>
      <c r="S116"/>
      <c r="T116" t="s">
        <v>911</v>
      </c>
      <c r="U116" t="s">
        <v>912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>
        <v>5</v>
      </c>
      <c r="AI116">
        <v>6</v>
      </c>
      <c r="AJ116"/>
      <c r="AK116"/>
      <c r="AL116"/>
      <c r="AM116"/>
      <c r="AN116"/>
      <c r="AO116" t="s">
        <v>643</v>
      </c>
      <c r="AP116" t="s">
        <v>913</v>
      </c>
      <c r="AQ116"/>
      <c r="AR116"/>
      <c r="AS116"/>
      <c r="AT116" t="s">
        <v>914</v>
      </c>
      <c r="AU116">
        <v>2022</v>
      </c>
      <c r="AV116">
        <v>43</v>
      </c>
      <c r="AW116">
        <v>1</v>
      </c>
      <c r="AX116"/>
      <c r="AY116"/>
      <c r="AZ116"/>
      <c r="BA116"/>
      <c r="BB116">
        <v>1</v>
      </c>
      <c r="BC116">
        <v>11</v>
      </c>
      <c r="BD116"/>
      <c r="BE116" t="s">
        <v>915</v>
      </c>
      <c r="BF116" t="str">
        <f>HYPERLINK("http://dx.doi.org/10.1080/02723638.2020.1848760","http://dx.doi.org/10.1080/02723638.2020.1848760")</f>
        <v>http://dx.doi.org/10.1080/02723638.2020.1848760</v>
      </c>
      <c r="BG116"/>
      <c r="BH116" t="s">
        <v>916</v>
      </c>
      <c r="BI116"/>
      <c r="BJ116" t="s">
        <v>646</v>
      </c>
      <c r="BK116"/>
      <c r="BL116"/>
      <c r="BM116"/>
      <c r="BN116"/>
      <c r="BO116"/>
      <c r="BP116"/>
      <c r="BQ116"/>
      <c r="BR116"/>
      <c r="BS116"/>
      <c r="BT116" t="str">
        <f>HYPERLINK("https%3A%2F%2Fwww.webofscience.com%2Fwos%2Fwoscc%2Ffull-record%2F","View Full Record in Web of Science")</f>
        <v>View Full Record in Web of Science</v>
      </c>
    </row>
    <row r="117" spans="1:72" customHeight="1" ht="12.75">
      <c r="A117" t="s">
        <v>72</v>
      </c>
      <c r="B117" t="s">
        <v>917</v>
      </c>
      <c r="C117"/>
      <c r="D117"/>
      <c r="E117"/>
      <c r="F117" t="s">
        <v>918</v>
      </c>
      <c r="G117"/>
      <c r="H117"/>
      <c r="I117" t="s">
        <v>919</v>
      </c>
      <c r="J117" t="s">
        <v>920</v>
      </c>
      <c r="K117"/>
      <c r="L117"/>
      <c r="M117"/>
      <c r="N117" t="s">
        <v>325</v>
      </c>
      <c r="O117"/>
      <c r="P117"/>
      <c r="Q117"/>
      <c r="R117"/>
      <c r="S117"/>
      <c r="T117" t="s">
        <v>921</v>
      </c>
      <c r="U117" t="s">
        <v>922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>
        <v>4</v>
      </c>
      <c r="AI117">
        <v>4</v>
      </c>
      <c r="AJ117"/>
      <c r="AK117"/>
      <c r="AL117"/>
      <c r="AM117"/>
      <c r="AN117"/>
      <c r="AO117" t="s">
        <v>923</v>
      </c>
      <c r="AP117" t="s">
        <v>924</v>
      </c>
      <c r="AQ117"/>
      <c r="AR117"/>
      <c r="AS117"/>
      <c r="AT117" t="s">
        <v>925</v>
      </c>
      <c r="AU117">
        <v>2023</v>
      </c>
      <c r="AV117">
        <v>59</v>
      </c>
      <c r="AW117">
        <v>3</v>
      </c>
      <c r="AX117"/>
      <c r="AY117"/>
      <c r="AZ117"/>
      <c r="BA117"/>
      <c r="BB117">
        <v>949</v>
      </c>
      <c r="BC117">
        <v>968</v>
      </c>
      <c r="BD117">
        <v>1.078087422108E+16</v>
      </c>
      <c r="BE117" t="s">
        <v>926</v>
      </c>
      <c r="BF117" t="str">
        <f>HYPERLINK("http://dx.doi.org/10.1177/10780874221080145","http://dx.doi.org/10.1177/10780874221080145")</f>
        <v>http://dx.doi.org/10.1177/10780874221080145</v>
      </c>
      <c r="BG117"/>
      <c r="BH117" t="s">
        <v>106</v>
      </c>
      <c r="BI117"/>
      <c r="BJ117" t="s">
        <v>243</v>
      </c>
      <c r="BK117"/>
      <c r="BL117"/>
      <c r="BM117"/>
      <c r="BN117"/>
      <c r="BO117"/>
      <c r="BP117"/>
      <c r="BQ117"/>
      <c r="BR117"/>
      <c r="BS117"/>
      <c r="BT117" t="str">
        <f>HYPERLINK("https%3A%2F%2Fwww.webofscience.com%2Fwos%2Fwoscc%2Ffull-record%2F","View Full Record in Web of Science")</f>
        <v>View Full Record in Web of Science</v>
      </c>
    </row>
    <row r="118" spans="1:72" customHeight="1" ht="12.75">
      <c r="A118" t="s">
        <v>72</v>
      </c>
      <c r="B118" t="s">
        <v>927</v>
      </c>
      <c r="C118"/>
      <c r="D118"/>
      <c r="E118"/>
      <c r="F118" t="s">
        <v>928</v>
      </c>
      <c r="G118"/>
      <c r="H118"/>
      <c r="I118" t="s">
        <v>929</v>
      </c>
      <c r="J118" t="s">
        <v>111</v>
      </c>
      <c r="K118"/>
      <c r="L118"/>
      <c r="M118"/>
      <c r="N118" t="s">
        <v>112</v>
      </c>
      <c r="O118"/>
      <c r="P118"/>
      <c r="Q118"/>
      <c r="R118"/>
      <c r="S118"/>
      <c r="T118" t="s">
        <v>930</v>
      </c>
      <c r="U118" t="s">
        <v>931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>
        <v>23</v>
      </c>
      <c r="AI118">
        <v>25</v>
      </c>
      <c r="AJ118"/>
      <c r="AK118"/>
      <c r="AL118"/>
      <c r="AM118"/>
      <c r="AN118"/>
      <c r="AO118" t="s">
        <v>115</v>
      </c>
      <c r="AP118" t="s">
        <v>116</v>
      </c>
      <c r="AQ118"/>
      <c r="AR118"/>
      <c r="AS118"/>
      <c r="AT118" t="s">
        <v>145</v>
      </c>
      <c r="AU118">
        <v>2018</v>
      </c>
      <c r="AV118">
        <v>131</v>
      </c>
      <c r="AW118"/>
      <c r="AX118"/>
      <c r="AY118"/>
      <c r="AZ118"/>
      <c r="BA118"/>
      <c r="BB118">
        <v>64</v>
      </c>
      <c r="BC118">
        <v>74</v>
      </c>
      <c r="BD118"/>
      <c r="BE118" t="s">
        <v>932</v>
      </c>
      <c r="BF118" t="str">
        <f>HYPERLINK("http://dx.doi.org/10.1016/j.resconrec.2017.12.019","http://dx.doi.org/10.1016/j.resconrec.2017.12.019")</f>
        <v>http://dx.doi.org/10.1016/j.resconrec.2017.12.019</v>
      </c>
      <c r="BG118"/>
      <c r="BH118"/>
      <c r="BI118"/>
      <c r="BJ118" t="s">
        <v>119</v>
      </c>
      <c r="BK118"/>
      <c r="BL118"/>
      <c r="BM118"/>
      <c r="BN118"/>
      <c r="BO118"/>
      <c r="BP118"/>
      <c r="BQ118"/>
      <c r="BR118"/>
      <c r="BS118"/>
      <c r="BT118" t="str">
        <f>HYPERLINK("https%3A%2F%2Fwww.webofscience.com%2Fwos%2Fwoscc%2Ffull-record%2F","View Full Record in Web of Science")</f>
        <v>View Full Record in Web of Science</v>
      </c>
    </row>
    <row r="119" spans="1:72" customHeight="1" ht="12.75">
      <c r="A119" t="s">
        <v>72</v>
      </c>
      <c r="B119" t="s">
        <v>933</v>
      </c>
      <c r="C119"/>
      <c r="D119"/>
      <c r="E119"/>
      <c r="F119" t="s">
        <v>934</v>
      </c>
      <c r="G119"/>
      <c r="H119"/>
      <c r="I119" t="s">
        <v>935</v>
      </c>
      <c r="J119" t="s">
        <v>936</v>
      </c>
      <c r="K119"/>
      <c r="L119"/>
      <c r="M119"/>
      <c r="N119" t="s">
        <v>112</v>
      </c>
      <c r="O119"/>
      <c r="P119"/>
      <c r="Q119"/>
      <c r="R119"/>
      <c r="S119"/>
      <c r="T119" t="s">
        <v>937</v>
      </c>
      <c r="U119" t="s">
        <v>938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>
        <v>12</v>
      </c>
      <c r="AI119">
        <v>14</v>
      </c>
      <c r="AJ119"/>
      <c r="AK119"/>
      <c r="AL119"/>
      <c r="AM119"/>
      <c r="AN119"/>
      <c r="AO119" t="s">
        <v>939</v>
      </c>
      <c r="AP119"/>
      <c r="AQ119"/>
      <c r="AR119"/>
      <c r="AS119"/>
      <c r="AT119" t="s">
        <v>394</v>
      </c>
      <c r="AU119">
        <v>2014</v>
      </c>
      <c r="AV119">
        <v>26</v>
      </c>
      <c r="AW119"/>
      <c r="AX119"/>
      <c r="AY119"/>
      <c r="AZ119"/>
      <c r="BA119"/>
      <c r="BB119">
        <v>447</v>
      </c>
      <c r="BC119">
        <v>457</v>
      </c>
      <c r="BD119"/>
      <c r="BE119" t="s">
        <v>940</v>
      </c>
      <c r="BF119" t="str">
        <f>HYPERLINK("http://dx.doi.org/10.1016/j.jag.2013.08.006","http://dx.doi.org/10.1016/j.jag.2013.08.006")</f>
        <v>http://dx.doi.org/10.1016/j.jag.2013.08.006</v>
      </c>
      <c r="BG119"/>
      <c r="BH119"/>
      <c r="BI119"/>
      <c r="BJ119" t="s">
        <v>941</v>
      </c>
      <c r="BK119"/>
      <c r="BL119"/>
      <c r="BM119"/>
      <c r="BN119"/>
      <c r="BO119"/>
      <c r="BP119"/>
      <c r="BQ119"/>
      <c r="BR119"/>
      <c r="BS119"/>
      <c r="BT119" t="str">
        <f>HYPERLINK("https%3A%2F%2Fwww.webofscience.com%2Fwos%2Fwoscc%2Ffull-record%2F","View Full Record in Web of Science")</f>
        <v>View Full Record in Web of Science</v>
      </c>
    </row>
    <row r="120" spans="1:72" customHeight="1" ht="12.75">
      <c r="A120" t="s">
        <v>72</v>
      </c>
      <c r="B120" t="s">
        <v>942</v>
      </c>
      <c r="C120"/>
      <c r="D120"/>
      <c r="E120"/>
      <c r="F120" t="s">
        <v>943</v>
      </c>
      <c r="G120"/>
      <c r="H120"/>
      <c r="I120" t="s">
        <v>944</v>
      </c>
      <c r="J120" t="s">
        <v>945</v>
      </c>
      <c r="K120"/>
      <c r="L120"/>
      <c r="M120"/>
      <c r="N120" t="s">
        <v>325</v>
      </c>
      <c r="O120"/>
      <c r="P120"/>
      <c r="Q120"/>
      <c r="R120"/>
      <c r="S120"/>
      <c r="T120" t="s">
        <v>946</v>
      </c>
      <c r="U120" t="s">
        <v>947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>
        <v>0.0</v>
      </c>
      <c r="AI120">
        <v>0.0</v>
      </c>
      <c r="AJ120"/>
      <c r="AK120"/>
      <c r="AL120"/>
      <c r="AM120"/>
      <c r="AN120"/>
      <c r="AO120" t="s">
        <v>948</v>
      </c>
      <c r="AP120" t="s">
        <v>949</v>
      </c>
      <c r="AQ120"/>
      <c r="AR120"/>
      <c r="AS120"/>
      <c r="AT120" t="s">
        <v>950</v>
      </c>
      <c r="AU120">
        <v>2023</v>
      </c>
      <c r="AV120">
        <v>27</v>
      </c>
      <c r="AW120">
        <v>3</v>
      </c>
      <c r="AX120"/>
      <c r="AY120"/>
      <c r="AZ120"/>
      <c r="BA120"/>
      <c r="BB120">
        <v>368</v>
      </c>
      <c r="BC120">
        <v>390</v>
      </c>
      <c r="BD120"/>
      <c r="BE120" t="s">
        <v>951</v>
      </c>
      <c r="BF120" t="str">
        <f>HYPERLINK("http://dx.doi.org/10.1080/13264826.2023.2272857","http://dx.doi.org/10.1080/13264826.2023.2272857")</f>
        <v>http://dx.doi.org/10.1080/13264826.2023.2272857</v>
      </c>
      <c r="BG120"/>
      <c r="BH120" t="s">
        <v>798</v>
      </c>
      <c r="BI120"/>
      <c r="BJ120" t="s">
        <v>233</v>
      </c>
      <c r="BK120"/>
      <c r="BL120"/>
      <c r="BM120"/>
      <c r="BN120"/>
      <c r="BO120"/>
      <c r="BP120"/>
      <c r="BQ120"/>
      <c r="BR120"/>
      <c r="BS120"/>
      <c r="BT120" t="str">
        <f>HYPERLINK("https%3A%2F%2Fwww.webofscience.com%2Fwos%2Fwoscc%2Ffull-record%2F","View Full Record in Web of Science")</f>
        <v>View Full Record in Web of Science</v>
      </c>
    </row>
    <row r="121" spans="1:72" customHeight="1" ht="12.75">
      <c r="A121" t="s">
        <v>72</v>
      </c>
      <c r="B121" t="s">
        <v>952</v>
      </c>
      <c r="C121"/>
      <c r="D121"/>
      <c r="E121"/>
      <c r="F121" t="s">
        <v>953</v>
      </c>
      <c r="G121"/>
      <c r="H121"/>
      <c r="I121" t="s">
        <v>954</v>
      </c>
      <c r="J121" t="s">
        <v>214</v>
      </c>
      <c r="K121"/>
      <c r="L121"/>
      <c r="M121"/>
      <c r="N121" t="s">
        <v>112</v>
      </c>
      <c r="O121"/>
      <c r="P121"/>
      <c r="Q121"/>
      <c r="R121"/>
      <c r="S121"/>
      <c r="T121" t="s">
        <v>955</v>
      </c>
      <c r="U121" t="s">
        <v>409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49</v>
      </c>
      <c r="AI121">
        <v>55</v>
      </c>
      <c r="AJ121"/>
      <c r="AK121"/>
      <c r="AL121"/>
      <c r="AM121"/>
      <c r="AN121"/>
      <c r="AO121" t="s">
        <v>218</v>
      </c>
      <c r="AP121" t="s">
        <v>219</v>
      </c>
      <c r="AQ121"/>
      <c r="AR121"/>
      <c r="AS121"/>
      <c r="AT121" t="s">
        <v>385</v>
      </c>
      <c r="AU121">
        <v>2015</v>
      </c>
      <c r="AV121">
        <v>202</v>
      </c>
      <c r="AW121"/>
      <c r="AX121"/>
      <c r="AY121"/>
      <c r="AZ121"/>
      <c r="BA121"/>
      <c r="BB121">
        <v>146</v>
      </c>
      <c r="BC121">
        <v>152</v>
      </c>
      <c r="BD121"/>
      <c r="BE121" t="s">
        <v>956</v>
      </c>
      <c r="BF121" t="str">
        <f>HYPERLINK("http://dx.doi.org/10.1016/j.envpol.2015.03.027","http://dx.doi.org/10.1016/j.envpol.2015.03.027")</f>
        <v>http://dx.doi.org/10.1016/j.envpol.2015.03.027</v>
      </c>
      <c r="BG121"/>
      <c r="BH121"/>
      <c r="BI121"/>
      <c r="BJ121" t="s">
        <v>224</v>
      </c>
      <c r="BK121"/>
      <c r="BL121"/>
      <c r="BM121"/>
      <c r="BN121"/>
      <c r="BO121"/>
      <c r="BP121"/>
      <c r="BQ121"/>
      <c r="BR121"/>
      <c r="BS121"/>
      <c r="BT121" t="str">
        <f>HYPERLINK("https%3A%2F%2Fwww.webofscience.com%2Fwos%2Fwoscc%2Ffull-record%2F","View Full Record in Web of Science")</f>
        <v>View Full Record in Web of Science</v>
      </c>
    </row>
    <row r="122" spans="1:72" customHeight="1" ht="12.75">
      <c r="A122" t="s">
        <v>72</v>
      </c>
      <c r="B122" t="s">
        <v>957</v>
      </c>
      <c r="C122"/>
      <c r="D122"/>
      <c r="E122"/>
      <c r="F122" t="s">
        <v>958</v>
      </c>
      <c r="G122"/>
      <c r="H122"/>
      <c r="I122" t="s">
        <v>959</v>
      </c>
      <c r="J122" t="s">
        <v>111</v>
      </c>
      <c r="K122"/>
      <c r="L122"/>
      <c r="M122"/>
      <c r="N122" t="s">
        <v>112</v>
      </c>
      <c r="O122"/>
      <c r="P122"/>
      <c r="Q122"/>
      <c r="R122"/>
      <c r="S122"/>
      <c r="T122" t="s">
        <v>960</v>
      </c>
      <c r="U122" t="s">
        <v>961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>
        <v>37</v>
      </c>
      <c r="AI122">
        <v>47</v>
      </c>
      <c r="AJ122"/>
      <c r="AK122"/>
      <c r="AL122"/>
      <c r="AM122"/>
      <c r="AN122"/>
      <c r="AO122" t="s">
        <v>115</v>
      </c>
      <c r="AP122" t="s">
        <v>116</v>
      </c>
      <c r="AQ122"/>
      <c r="AR122"/>
      <c r="AS122"/>
      <c r="AT122" t="s">
        <v>117</v>
      </c>
      <c r="AU122">
        <v>2018</v>
      </c>
      <c r="AV122">
        <v>132</v>
      </c>
      <c r="AW122"/>
      <c r="AX122"/>
      <c r="AY122"/>
      <c r="AZ122"/>
      <c r="BA122"/>
      <c r="BB122">
        <v>246</v>
      </c>
      <c r="BC122">
        <v>257</v>
      </c>
      <c r="BD122"/>
      <c r="BE122" t="s">
        <v>962</v>
      </c>
      <c r="BF122" t="str">
        <f>HYPERLINK("http://dx.doi.org/10.1016/j.resconrec.2017.07.032","http://dx.doi.org/10.1016/j.resconrec.2017.07.032")</f>
        <v>http://dx.doi.org/10.1016/j.resconrec.2017.07.032</v>
      </c>
      <c r="BG122"/>
      <c r="BH122"/>
      <c r="BI122"/>
      <c r="BJ122" t="s">
        <v>119</v>
      </c>
      <c r="BK122"/>
      <c r="BL122"/>
      <c r="BM122"/>
      <c r="BN122"/>
      <c r="BO122"/>
      <c r="BP122"/>
      <c r="BQ122"/>
      <c r="BR122"/>
      <c r="BS122"/>
      <c r="BT122" t="str">
        <f>HYPERLINK("https%3A%2F%2Fwww.webofscience.com%2Fwos%2Fwoscc%2Ffull-record%2F","View Full Record in Web of Science")</f>
        <v>View Full Record in Web of Science</v>
      </c>
    </row>
    <row r="123" spans="1:72" customHeight="1" ht="12.75">
      <c r="A123" t="s">
        <v>72</v>
      </c>
      <c r="B123" t="s">
        <v>963</v>
      </c>
      <c r="C123"/>
      <c r="D123"/>
      <c r="E123"/>
      <c r="F123" t="s">
        <v>964</v>
      </c>
      <c r="G123"/>
      <c r="H123"/>
      <c r="I123" t="s">
        <v>965</v>
      </c>
      <c r="J123" t="s">
        <v>268</v>
      </c>
      <c r="K123"/>
      <c r="L123"/>
      <c r="M123"/>
      <c r="N123" t="s">
        <v>112</v>
      </c>
      <c r="O123"/>
      <c r="P123"/>
      <c r="Q123"/>
      <c r="R123"/>
      <c r="S123"/>
      <c r="T123" t="s">
        <v>966</v>
      </c>
      <c r="U123" t="s">
        <v>967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>
        <v>19</v>
      </c>
      <c r="AI123">
        <v>23</v>
      </c>
      <c r="AJ123"/>
      <c r="AK123"/>
      <c r="AL123"/>
      <c r="AM123"/>
      <c r="AN123"/>
      <c r="AO123" t="s">
        <v>271</v>
      </c>
      <c r="AP123" t="s">
        <v>272</v>
      </c>
      <c r="AQ123"/>
      <c r="AR123"/>
      <c r="AS123"/>
      <c r="AT123" t="s">
        <v>117</v>
      </c>
      <c r="AU123">
        <v>2020</v>
      </c>
      <c r="AV123">
        <v>47</v>
      </c>
      <c r="AW123">
        <v>4</v>
      </c>
      <c r="AX123"/>
      <c r="AY123"/>
      <c r="AZ123"/>
      <c r="BA123"/>
      <c r="BB123">
        <v>678</v>
      </c>
      <c r="BC123">
        <v>694</v>
      </c>
      <c r="BD123"/>
      <c r="BE123" t="s">
        <v>968</v>
      </c>
      <c r="BF123" t="str">
        <f>HYPERLINK("http://dx.doi.org/10.1177/2399808318797131","http://dx.doi.org/10.1177/2399808318797131")</f>
        <v>http://dx.doi.org/10.1177/2399808318797131</v>
      </c>
      <c r="BG123"/>
      <c r="BH123"/>
      <c r="BI123"/>
      <c r="BJ123" t="s">
        <v>210</v>
      </c>
      <c r="BK123"/>
      <c r="BL123"/>
      <c r="BM123"/>
      <c r="BN123"/>
      <c r="BO123"/>
      <c r="BP123"/>
      <c r="BQ123"/>
      <c r="BR123"/>
      <c r="BS123"/>
      <c r="BT123" t="str">
        <f>HYPERLINK("https%3A%2F%2Fwww.webofscience.com%2Fwos%2Fwoscc%2Ffull-record%2F","View Full Record in Web of Science")</f>
        <v>View Full Record in Web of Science</v>
      </c>
    </row>
    <row r="124" spans="1:72" customHeight="1" ht="12.75">
      <c r="A124" t="s">
        <v>72</v>
      </c>
      <c r="B124" t="s">
        <v>969</v>
      </c>
      <c r="C124"/>
      <c r="D124"/>
      <c r="E124"/>
      <c r="F124" t="s">
        <v>970</v>
      </c>
      <c r="G124"/>
      <c r="H124"/>
      <c r="I124" t="s">
        <v>971</v>
      </c>
      <c r="J124" t="s">
        <v>133</v>
      </c>
      <c r="K124"/>
      <c r="L124"/>
      <c r="M124"/>
      <c r="N124" t="s">
        <v>112</v>
      </c>
      <c r="O124"/>
      <c r="P124"/>
      <c r="Q124"/>
      <c r="R124"/>
      <c r="S124"/>
      <c r="T124" t="s">
        <v>972</v>
      </c>
      <c r="U124" t="s">
        <v>973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111</v>
      </c>
      <c r="AI124">
        <v>118</v>
      </c>
      <c r="AJ124"/>
      <c r="AK124"/>
      <c r="AL124"/>
      <c r="AM124"/>
      <c r="AN124"/>
      <c r="AO124" t="s">
        <v>136</v>
      </c>
      <c r="AP124" t="s">
        <v>137</v>
      </c>
      <c r="AQ124"/>
      <c r="AR124"/>
      <c r="AS124"/>
      <c r="AT124" t="s">
        <v>394</v>
      </c>
      <c r="AU124">
        <v>2014</v>
      </c>
      <c r="AV124">
        <v>18</v>
      </c>
      <c r="AW124">
        <v>1</v>
      </c>
      <c r="AX124"/>
      <c r="AY124"/>
      <c r="AZ124"/>
      <c r="BA124"/>
      <c r="BB124">
        <v>84</v>
      </c>
      <c r="BC124">
        <v>101</v>
      </c>
      <c r="BD124"/>
      <c r="BE124" t="s">
        <v>974</v>
      </c>
      <c r="BF124" t="str">
        <f>HYPERLINK("http://dx.doi.org/10.1111/jiec.12083","http://dx.doi.org/10.1111/jiec.12083")</f>
        <v>http://dx.doi.org/10.1111/jiec.12083</v>
      </c>
      <c r="BG124"/>
      <c r="BH124"/>
      <c r="BI124"/>
      <c r="BJ124" t="s">
        <v>139</v>
      </c>
      <c r="BK124"/>
      <c r="BL124"/>
      <c r="BM124"/>
      <c r="BN124"/>
      <c r="BO124"/>
      <c r="BP124"/>
      <c r="BQ124"/>
      <c r="BR124"/>
      <c r="BS124"/>
      <c r="BT124" t="str">
        <f>HYPERLINK("https%3A%2F%2Fwww.webofscience.com%2Fwos%2Fwoscc%2Ffull-record%2F","View Full Record in Web of Science")</f>
        <v>View Full Record in Web of Science</v>
      </c>
    </row>
    <row r="125" spans="1:72" customHeight="1" ht="12.75">
      <c r="A125" t="s">
        <v>72</v>
      </c>
      <c r="B125" t="s">
        <v>975</v>
      </c>
      <c r="C125"/>
      <c r="D125"/>
      <c r="E125"/>
      <c r="F125" t="s">
        <v>976</v>
      </c>
      <c r="G125"/>
      <c r="H125"/>
      <c r="I125" t="s">
        <v>977</v>
      </c>
      <c r="J125" t="s">
        <v>587</v>
      </c>
      <c r="K125"/>
      <c r="L125"/>
      <c r="M125"/>
      <c r="N125" t="s">
        <v>112</v>
      </c>
      <c r="O125"/>
      <c r="P125"/>
      <c r="Q125"/>
      <c r="R125"/>
      <c r="S125"/>
      <c r="T125" t="s">
        <v>978</v>
      </c>
      <c r="U125" t="s">
        <v>979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15</v>
      </c>
      <c r="AI125">
        <v>16</v>
      </c>
      <c r="AJ125"/>
      <c r="AK125"/>
      <c r="AL125"/>
      <c r="AM125"/>
      <c r="AN125"/>
      <c r="AO125" t="s">
        <v>590</v>
      </c>
      <c r="AP125" t="s">
        <v>591</v>
      </c>
      <c r="AQ125"/>
      <c r="AR125"/>
      <c r="AS125"/>
      <c r="AT125" t="s">
        <v>980</v>
      </c>
      <c r="AU125">
        <v>2018</v>
      </c>
      <c r="AV125">
        <v>202</v>
      </c>
      <c r="AW125"/>
      <c r="AX125"/>
      <c r="AY125"/>
      <c r="AZ125"/>
      <c r="BA125"/>
      <c r="BB125">
        <v>428</v>
      </c>
      <c r="BC125">
        <v>438</v>
      </c>
      <c r="BD125"/>
      <c r="BE125" t="s">
        <v>981</v>
      </c>
      <c r="BF125" t="str">
        <f>HYPERLINK("http://dx.doi.org/10.1016/j.jclepro.2018.08.054","http://dx.doi.org/10.1016/j.jclepro.2018.08.054")</f>
        <v>http://dx.doi.org/10.1016/j.jclepro.2018.08.054</v>
      </c>
      <c r="BG125"/>
      <c r="BH125"/>
      <c r="BI125"/>
      <c r="BJ125" t="s">
        <v>139</v>
      </c>
      <c r="BK125"/>
      <c r="BL125"/>
      <c r="BM125"/>
      <c r="BN125"/>
      <c r="BO125"/>
      <c r="BP125"/>
      <c r="BQ125"/>
      <c r="BR125"/>
      <c r="BS125"/>
      <c r="BT125" t="str">
        <f>HYPERLINK("https%3A%2F%2Fwww.webofscience.com%2Fwos%2Fwoscc%2Ffull-record%2F","View Full Record in Web of Science")</f>
        <v>View Full Record in Web of Science</v>
      </c>
    </row>
    <row r="126" spans="1:72" customHeight="1" ht="12.75">
      <c r="A126" t="s">
        <v>72</v>
      </c>
      <c r="B126" t="s">
        <v>982</v>
      </c>
      <c r="C126"/>
      <c r="D126"/>
      <c r="E126"/>
      <c r="F126" t="s">
        <v>983</v>
      </c>
      <c r="G126"/>
      <c r="H126"/>
      <c r="I126" t="s">
        <v>984</v>
      </c>
      <c r="J126" t="s">
        <v>587</v>
      </c>
      <c r="K126"/>
      <c r="L126"/>
      <c r="M126"/>
      <c r="N126" t="s">
        <v>112</v>
      </c>
      <c r="O126"/>
      <c r="P126"/>
      <c r="Q126"/>
      <c r="R126"/>
      <c r="S126"/>
      <c r="T126" t="s">
        <v>985</v>
      </c>
      <c r="U126" t="s">
        <v>986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12</v>
      </c>
      <c r="AI126">
        <v>16</v>
      </c>
      <c r="AJ126"/>
      <c r="AK126"/>
      <c r="AL126"/>
      <c r="AM126"/>
      <c r="AN126"/>
      <c r="AO126" t="s">
        <v>590</v>
      </c>
      <c r="AP126" t="s">
        <v>591</v>
      </c>
      <c r="AQ126"/>
      <c r="AR126"/>
      <c r="AS126"/>
      <c r="AT126" t="s">
        <v>688</v>
      </c>
      <c r="AU126">
        <v>2017</v>
      </c>
      <c r="AV126">
        <v>163</v>
      </c>
      <c r="AW126"/>
      <c r="AX126"/>
      <c r="AY126" t="s">
        <v>689</v>
      </c>
      <c r="AZ126"/>
      <c r="BA126"/>
      <c r="BB126" t="s">
        <v>987</v>
      </c>
      <c r="BC126" t="s">
        <v>988</v>
      </c>
      <c r="BD126"/>
      <c r="BE126" t="s">
        <v>989</v>
      </c>
      <c r="BF126" t="str">
        <f>HYPERLINK("http://dx.doi.org/10.1016/j.jclepro.2015.10.118","http://dx.doi.org/10.1016/j.jclepro.2015.10.118")</f>
        <v>http://dx.doi.org/10.1016/j.jclepro.2015.10.118</v>
      </c>
      <c r="BG126"/>
      <c r="BH126"/>
      <c r="BI126"/>
      <c r="BJ126" t="s">
        <v>139</v>
      </c>
      <c r="BK126"/>
      <c r="BL126"/>
      <c r="BM126"/>
      <c r="BN126"/>
      <c r="BO126"/>
      <c r="BP126"/>
      <c r="BQ126"/>
      <c r="BR126"/>
      <c r="BS126"/>
      <c r="BT126" t="str">
        <f>HYPERLINK("https%3A%2F%2Fwww.webofscience.com%2Fwos%2Fwoscc%2Ffull-record%2F","View Full Record in Web of Science")</f>
        <v>View Full Record in Web of Science</v>
      </c>
    </row>
    <row r="127" spans="1:72" customHeight="1" ht="12.75">
      <c r="A127" t="s">
        <v>72</v>
      </c>
      <c r="B127" t="s">
        <v>396</v>
      </c>
      <c r="C127"/>
      <c r="D127"/>
      <c r="E127"/>
      <c r="F127" t="s">
        <v>397</v>
      </c>
      <c r="G127"/>
      <c r="H127"/>
      <c r="I127" t="s">
        <v>990</v>
      </c>
      <c r="J127" t="s">
        <v>133</v>
      </c>
      <c r="K127"/>
      <c r="L127"/>
      <c r="M127"/>
      <c r="N127" t="s">
        <v>112</v>
      </c>
      <c r="O127"/>
      <c r="P127"/>
      <c r="Q127"/>
      <c r="R127"/>
      <c r="S127"/>
      <c r="T127" t="s">
        <v>991</v>
      </c>
      <c r="U127" t="s">
        <v>992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>
        <v>21</v>
      </c>
      <c r="AI127">
        <v>22</v>
      </c>
      <c r="AJ127"/>
      <c r="AK127"/>
      <c r="AL127"/>
      <c r="AM127"/>
      <c r="AN127"/>
      <c r="AO127" t="s">
        <v>136</v>
      </c>
      <c r="AP127" t="s">
        <v>137</v>
      </c>
      <c r="AQ127"/>
      <c r="AR127"/>
      <c r="AS127"/>
      <c r="AT127" t="s">
        <v>128</v>
      </c>
      <c r="AU127">
        <v>2011</v>
      </c>
      <c r="AV127">
        <v>15</v>
      </c>
      <c r="AW127">
        <v>6</v>
      </c>
      <c r="AX127"/>
      <c r="AY127"/>
      <c r="AZ127"/>
      <c r="BA127"/>
      <c r="BB127">
        <v>825</v>
      </c>
      <c r="BC127">
        <v>835</v>
      </c>
      <c r="BD127"/>
      <c r="BE127" t="s">
        <v>993</v>
      </c>
      <c r="BF127" t="str">
        <f>HYPERLINK("http://dx.doi.org/10.1111/j.1530-9290.2011.00372.x","http://dx.doi.org/10.1111/j.1530-9290.2011.00372.x")</f>
        <v>http://dx.doi.org/10.1111/j.1530-9290.2011.00372.x</v>
      </c>
      <c r="BG127"/>
      <c r="BH127"/>
      <c r="BI127"/>
      <c r="BJ127" t="s">
        <v>139</v>
      </c>
      <c r="BK127"/>
      <c r="BL127"/>
      <c r="BM127"/>
      <c r="BN127"/>
      <c r="BO127"/>
      <c r="BP127"/>
      <c r="BQ127"/>
      <c r="BR127"/>
      <c r="BS127"/>
      <c r="BT127" t="str">
        <f>HYPERLINK("https%3A%2F%2Fwww.webofscience.com%2Fwos%2Fwoscc%2Ffull-record%2F","View Full Record in Web of Science")</f>
        <v>View Full Record in Web of Science</v>
      </c>
    </row>
    <row r="128" spans="1:72" customHeight="1" ht="12.75">
      <c r="A128" t="s">
        <v>72</v>
      </c>
      <c r="B128" t="s">
        <v>994</v>
      </c>
      <c r="C128"/>
      <c r="D128"/>
      <c r="E128"/>
      <c r="F128" t="s">
        <v>995</v>
      </c>
      <c r="G128"/>
      <c r="H128"/>
      <c r="I128" t="s">
        <v>996</v>
      </c>
      <c r="J128" t="s">
        <v>133</v>
      </c>
      <c r="K128"/>
      <c r="L128"/>
      <c r="M128"/>
      <c r="N128" t="s">
        <v>112</v>
      </c>
      <c r="O128"/>
      <c r="P128"/>
      <c r="Q128"/>
      <c r="R128"/>
      <c r="S128"/>
      <c r="T128" t="s">
        <v>997</v>
      </c>
      <c r="U128" t="s">
        <v>998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>
        <v>39</v>
      </c>
      <c r="AI128">
        <v>43</v>
      </c>
      <c r="AJ128"/>
      <c r="AK128"/>
      <c r="AL128"/>
      <c r="AM128"/>
      <c r="AN128"/>
      <c r="AO128" t="s">
        <v>136</v>
      </c>
      <c r="AP128" t="s">
        <v>137</v>
      </c>
      <c r="AQ128"/>
      <c r="AR128"/>
      <c r="AS128"/>
      <c r="AT128" t="s">
        <v>128</v>
      </c>
      <c r="AU128">
        <v>2014</v>
      </c>
      <c r="AV128">
        <v>18</v>
      </c>
      <c r="AW128">
        <v>6</v>
      </c>
      <c r="AX128"/>
      <c r="AY128"/>
      <c r="AZ128"/>
      <c r="BA128"/>
      <c r="BB128">
        <v>871</v>
      </c>
      <c r="BC128">
        <v>882</v>
      </c>
      <c r="BD128"/>
      <c r="BE128" t="s">
        <v>999</v>
      </c>
      <c r="BF128" t="str">
        <f>HYPERLINK("http://dx.doi.org/10.1111/jiec.12144","http://dx.doi.org/10.1111/jiec.12144")</f>
        <v>http://dx.doi.org/10.1111/jiec.12144</v>
      </c>
      <c r="BG128"/>
      <c r="BH128"/>
      <c r="BI128"/>
      <c r="BJ128" t="s">
        <v>139</v>
      </c>
      <c r="BK128"/>
      <c r="BL128"/>
      <c r="BM128"/>
      <c r="BN128"/>
      <c r="BO128"/>
      <c r="BP128"/>
      <c r="BQ128"/>
      <c r="BR128"/>
      <c r="BS128"/>
      <c r="BT128" t="str">
        <f>HYPERLINK("https%3A%2F%2Fwww.webofscience.com%2Fwos%2Fwoscc%2Ffull-record%2F","View Full Record in Web of Science")</f>
        <v>View Full Record in Web of Science</v>
      </c>
    </row>
    <row r="129" spans="1:72" customHeight="1" ht="12.75">
      <c r="A129" t="s">
        <v>72</v>
      </c>
      <c r="B129" t="s">
        <v>1000</v>
      </c>
      <c r="C129"/>
      <c r="D129"/>
      <c r="E129"/>
      <c r="F129" t="s">
        <v>1001</v>
      </c>
      <c r="G129"/>
      <c r="H129"/>
      <c r="I129" t="s">
        <v>1002</v>
      </c>
      <c r="J129" t="s">
        <v>1003</v>
      </c>
      <c r="K129"/>
      <c r="L129"/>
      <c r="M129"/>
      <c r="N129" t="s">
        <v>112</v>
      </c>
      <c r="O129"/>
      <c r="P129"/>
      <c r="Q129"/>
      <c r="R129"/>
      <c r="S129"/>
      <c r="T129" t="s">
        <v>1004</v>
      </c>
      <c r="U129" t="s">
        <v>619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>
        <v>0.0</v>
      </c>
      <c r="AI129">
        <v>0.0</v>
      </c>
      <c r="AJ129"/>
      <c r="AK129"/>
      <c r="AL129"/>
      <c r="AM129"/>
      <c r="AN129"/>
      <c r="AO129" t="s">
        <v>1005</v>
      </c>
      <c r="AP129" t="s">
        <v>1006</v>
      </c>
      <c r="AQ129"/>
      <c r="AR129"/>
      <c r="AS129"/>
      <c r="AT129"/>
      <c r="AU129">
        <v>2019</v>
      </c>
      <c r="AV129">
        <v>11</v>
      </c>
      <c r="AW129">
        <v>2</v>
      </c>
      <c r="AX129"/>
      <c r="AY129"/>
      <c r="AZ129"/>
      <c r="BA129"/>
      <c r="BB129">
        <v>172</v>
      </c>
      <c r="BC129">
        <v>188</v>
      </c>
      <c r="BD129"/>
      <c r="BE129" t="s">
        <v>1007</v>
      </c>
      <c r="BF129" t="str">
        <f>HYPERLINK("http://dx.doi.org/10.1080/19463138.2019.1618859","http://dx.doi.org/10.1080/19463138.2019.1618859")</f>
        <v>http://dx.doi.org/10.1080/19463138.2019.1618859</v>
      </c>
      <c r="BG129"/>
      <c r="BH129"/>
      <c r="BI129"/>
      <c r="BJ129" t="s">
        <v>359</v>
      </c>
      <c r="BK129"/>
      <c r="BL129"/>
      <c r="BM129"/>
      <c r="BN129"/>
      <c r="BO129"/>
      <c r="BP129"/>
      <c r="BQ129"/>
      <c r="BR129"/>
      <c r="BS129"/>
      <c r="BT129" t="str">
        <f>HYPERLINK("https%3A%2F%2Fwww.webofscience.com%2Fwos%2Fwoscc%2Ffull-record%2F","View Full Record in Web of Science")</f>
        <v>View Full Record in Web of Science</v>
      </c>
    </row>
    <row r="130" spans="1:72" customHeight="1" ht="12.75">
      <c r="A130" t="s">
        <v>72</v>
      </c>
      <c r="B130" t="s">
        <v>1008</v>
      </c>
      <c r="C130"/>
      <c r="D130"/>
      <c r="E130"/>
      <c r="F130" t="s">
        <v>1009</v>
      </c>
      <c r="G130"/>
      <c r="H130"/>
      <c r="I130" t="s">
        <v>1010</v>
      </c>
      <c r="J130" t="s">
        <v>528</v>
      </c>
      <c r="K130"/>
      <c r="L130"/>
      <c r="M130"/>
      <c r="N130" t="s">
        <v>112</v>
      </c>
      <c r="O130"/>
      <c r="P130"/>
      <c r="Q130"/>
      <c r="R130"/>
      <c r="S130"/>
      <c r="T130" t="s">
        <v>1011</v>
      </c>
      <c r="U130" t="s">
        <v>1012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>
        <v>40</v>
      </c>
      <c r="AI130">
        <v>41</v>
      </c>
      <c r="AJ130"/>
      <c r="AK130"/>
      <c r="AL130"/>
      <c r="AM130"/>
      <c r="AN130"/>
      <c r="AO130" t="s">
        <v>530</v>
      </c>
      <c r="AP130" t="s">
        <v>531</v>
      </c>
      <c r="AQ130"/>
      <c r="AR130"/>
      <c r="AS130"/>
      <c r="AT130" t="s">
        <v>190</v>
      </c>
      <c r="AU130">
        <v>2015</v>
      </c>
      <c r="AV130">
        <v>26</v>
      </c>
      <c r="AW130"/>
      <c r="AX130">
        <v>1</v>
      </c>
      <c r="AY130"/>
      <c r="AZ130" t="s">
        <v>222</v>
      </c>
      <c r="BA130"/>
      <c r="BB130">
        <v>60</v>
      </c>
      <c r="BC130">
        <v>69</v>
      </c>
      <c r="BD130"/>
      <c r="BE130" t="s">
        <v>1013</v>
      </c>
      <c r="BF130" t="str">
        <f>HYPERLINK("http://dx.doi.org/10.1016/j.ecoinf.2014.09.008","http://dx.doi.org/10.1016/j.ecoinf.2014.09.008")</f>
        <v>http://dx.doi.org/10.1016/j.ecoinf.2014.09.008</v>
      </c>
      <c r="BG130"/>
      <c r="BH130"/>
      <c r="BI130"/>
      <c r="BJ130" t="s">
        <v>181</v>
      </c>
      <c r="BK130"/>
      <c r="BL130"/>
      <c r="BM130"/>
      <c r="BN130"/>
      <c r="BO130"/>
      <c r="BP130"/>
      <c r="BQ130"/>
      <c r="BR130"/>
      <c r="BS130"/>
      <c r="BT130" t="str">
        <f>HYPERLINK("https%3A%2F%2Fwww.webofscience.com%2Fwos%2Fwoscc%2Ffull-record%2F","View Full Record in Web of Science")</f>
        <v>View Full Record in Web of Science</v>
      </c>
    </row>
    <row r="131" spans="1:72" customHeight="1" ht="12.75">
      <c r="A131" t="s">
        <v>72</v>
      </c>
      <c r="B131" t="s">
        <v>1014</v>
      </c>
      <c r="C131"/>
      <c r="D131"/>
      <c r="E131"/>
      <c r="F131" t="s">
        <v>1015</v>
      </c>
      <c r="G131"/>
      <c r="H131"/>
      <c r="I131" t="s">
        <v>1016</v>
      </c>
      <c r="J131" t="s">
        <v>587</v>
      </c>
      <c r="K131"/>
      <c r="L131"/>
      <c r="M131"/>
      <c r="N131" t="s">
        <v>1017</v>
      </c>
      <c r="O131"/>
      <c r="P131"/>
      <c r="Q131"/>
      <c r="R131"/>
      <c r="S131"/>
      <c r="T131" t="s">
        <v>1018</v>
      </c>
      <c r="U131" t="s">
        <v>1019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>
        <v>6</v>
      </c>
      <c r="AI131">
        <v>6</v>
      </c>
      <c r="AJ131"/>
      <c r="AK131"/>
      <c r="AL131"/>
      <c r="AM131"/>
      <c r="AN131"/>
      <c r="AO131" t="s">
        <v>590</v>
      </c>
      <c r="AP131" t="s">
        <v>591</v>
      </c>
      <c r="AQ131"/>
      <c r="AR131"/>
      <c r="AS131"/>
      <c r="AT131" t="s">
        <v>688</v>
      </c>
      <c r="AU131">
        <v>2017</v>
      </c>
      <c r="AV131">
        <v>163</v>
      </c>
      <c r="AW131"/>
      <c r="AX131"/>
      <c r="AY131" t="s">
        <v>689</v>
      </c>
      <c r="AZ131"/>
      <c r="BA131"/>
      <c r="BB131" t="s">
        <v>1020</v>
      </c>
      <c r="BC131" t="s">
        <v>1021</v>
      </c>
      <c r="BD131"/>
      <c r="BE131" t="s">
        <v>1022</v>
      </c>
      <c r="BF131" t="str">
        <f>HYPERLINK("http://dx.doi.org/10.1016/j.jclepro.2017.05.143","http://dx.doi.org/10.1016/j.jclepro.2017.05.143")</f>
        <v>http://dx.doi.org/10.1016/j.jclepro.2017.05.143</v>
      </c>
      <c r="BG131"/>
      <c r="BH131"/>
      <c r="BI131"/>
      <c r="BJ131" t="s">
        <v>139</v>
      </c>
      <c r="BK131"/>
      <c r="BL131"/>
      <c r="BM131"/>
      <c r="BN131"/>
      <c r="BO131"/>
      <c r="BP131"/>
      <c r="BQ131"/>
      <c r="BR131"/>
      <c r="BS131"/>
      <c r="BT131" t="str">
        <f>HYPERLINK("https%3A%2F%2Fwww.webofscience.com%2Fwos%2Fwoscc%2Ffull-record%2F","View Full Record in Web of Science")</f>
        <v>View Full Record in Web of Science</v>
      </c>
    </row>
    <row r="132" spans="1:72" customHeight="1" ht="12.75">
      <c r="A132" t="s">
        <v>72</v>
      </c>
      <c r="B132" t="s">
        <v>1023</v>
      </c>
      <c r="C132"/>
      <c r="D132"/>
      <c r="E132"/>
      <c r="F132" t="s">
        <v>1024</v>
      </c>
      <c r="G132"/>
      <c r="H132"/>
      <c r="I132" t="s">
        <v>1025</v>
      </c>
      <c r="J132" t="s">
        <v>133</v>
      </c>
      <c r="K132"/>
      <c r="L132"/>
      <c r="M132"/>
      <c r="N132" t="s">
        <v>325</v>
      </c>
      <c r="O132"/>
      <c r="P132"/>
      <c r="Q132"/>
      <c r="R132"/>
      <c r="S132"/>
      <c r="T132" t="s">
        <v>1026</v>
      </c>
      <c r="U132" t="s">
        <v>1027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7</v>
      </c>
      <c r="AI132">
        <v>7</v>
      </c>
      <c r="AJ132"/>
      <c r="AK132"/>
      <c r="AL132"/>
      <c r="AM132"/>
      <c r="AN132"/>
      <c r="AO132" t="s">
        <v>136</v>
      </c>
      <c r="AP132" t="s">
        <v>137</v>
      </c>
      <c r="AQ132"/>
      <c r="AR132"/>
      <c r="AS132"/>
      <c r="AT132" t="s">
        <v>1028</v>
      </c>
      <c r="AU132">
        <v>2021</v>
      </c>
      <c r="AV132">
        <v>25</v>
      </c>
      <c r="AW132">
        <v>1</v>
      </c>
      <c r="AX132"/>
      <c r="AY132"/>
      <c r="AZ132"/>
      <c r="BA132"/>
      <c r="BB132">
        <v>176</v>
      </c>
      <c r="BC132">
        <v>192</v>
      </c>
      <c r="BD132"/>
      <c r="BE132" t="s">
        <v>1029</v>
      </c>
      <c r="BF132" t="str">
        <f>HYPERLINK("http://dx.doi.org/10.1111/jiec.13056","http://dx.doi.org/10.1111/jiec.13056")</f>
        <v>http://dx.doi.org/10.1111/jiec.13056</v>
      </c>
      <c r="BG132"/>
      <c r="BH132" t="s">
        <v>1030</v>
      </c>
      <c r="BI132"/>
      <c r="BJ132" t="s">
        <v>139</v>
      </c>
      <c r="BK132"/>
      <c r="BL132"/>
      <c r="BM132"/>
      <c r="BN132"/>
      <c r="BO132"/>
      <c r="BP132"/>
      <c r="BQ132"/>
      <c r="BR132"/>
      <c r="BS132"/>
      <c r="BT132" t="str">
        <f>HYPERLINK("https%3A%2F%2Fwww.webofscience.com%2Fwos%2Fwoscc%2Ffull-record%2F","View Full Record in Web of Science")</f>
        <v>View Full Record in Web of Science</v>
      </c>
    </row>
    <row r="133" spans="1:72" customHeight="1" ht="12.75">
      <c r="A133" t="s">
        <v>72</v>
      </c>
      <c r="B133" t="s">
        <v>1014</v>
      </c>
      <c r="C133"/>
      <c r="D133"/>
      <c r="E133"/>
      <c r="F133" t="s">
        <v>1015</v>
      </c>
      <c r="G133"/>
      <c r="H133"/>
      <c r="I133" t="s">
        <v>1016</v>
      </c>
      <c r="J133" t="s">
        <v>587</v>
      </c>
      <c r="K133"/>
      <c r="L133"/>
      <c r="M133"/>
      <c r="N133" t="s">
        <v>112</v>
      </c>
      <c r="O133"/>
      <c r="P133"/>
      <c r="Q133"/>
      <c r="R133"/>
      <c r="S133"/>
      <c r="T133" t="s">
        <v>1018</v>
      </c>
      <c r="U133" t="s">
        <v>457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50</v>
      </c>
      <c r="AI133">
        <v>55</v>
      </c>
      <c r="AJ133"/>
      <c r="AK133"/>
      <c r="AL133"/>
      <c r="AM133"/>
      <c r="AN133"/>
      <c r="AO133" t="s">
        <v>590</v>
      </c>
      <c r="AP133" t="s">
        <v>591</v>
      </c>
      <c r="AQ133"/>
      <c r="AR133"/>
      <c r="AS133"/>
      <c r="AT133" t="s">
        <v>1031</v>
      </c>
      <c r="AU133">
        <v>2016</v>
      </c>
      <c r="AV133">
        <v>126</v>
      </c>
      <c r="AW133"/>
      <c r="AX133"/>
      <c r="AY133"/>
      <c r="AZ133"/>
      <c r="BA133"/>
      <c r="BB133">
        <v>206</v>
      </c>
      <c r="BC133">
        <v>217</v>
      </c>
      <c r="BD133"/>
      <c r="BE133" t="s">
        <v>1032</v>
      </c>
      <c r="BF133" t="str">
        <f>HYPERLINK("http://dx.doi.org/10.1016/j.jclepro.2016.02.139","http://dx.doi.org/10.1016/j.jclepro.2016.02.139")</f>
        <v>http://dx.doi.org/10.1016/j.jclepro.2016.02.139</v>
      </c>
      <c r="BG133"/>
      <c r="BH133"/>
      <c r="BI133"/>
      <c r="BJ133" t="s">
        <v>139</v>
      </c>
      <c r="BK133"/>
      <c r="BL133"/>
      <c r="BM133"/>
      <c r="BN133"/>
      <c r="BO133"/>
      <c r="BP133"/>
      <c r="BQ133"/>
      <c r="BR133"/>
      <c r="BS133"/>
      <c r="BT133" t="str">
        <f>HYPERLINK("https%3A%2F%2Fwww.webofscience.com%2Fwos%2Fwoscc%2Ffull-record%2F","View Full Record in Web of Science")</f>
        <v>View Full Record in Web of Science</v>
      </c>
    </row>
    <row r="134" spans="1:72" customHeight="1" ht="12.75">
      <c r="A134" t="s">
        <v>72</v>
      </c>
      <c r="B134" t="s">
        <v>1033</v>
      </c>
      <c r="C134"/>
      <c r="D134"/>
      <c r="E134"/>
      <c r="F134" t="s">
        <v>1034</v>
      </c>
      <c r="G134"/>
      <c r="H134"/>
      <c r="I134" t="s">
        <v>1035</v>
      </c>
      <c r="J134" t="s">
        <v>464</v>
      </c>
      <c r="K134"/>
      <c r="L134"/>
      <c r="M134"/>
      <c r="N134" t="s">
        <v>112</v>
      </c>
      <c r="O134"/>
      <c r="P134"/>
      <c r="Q134"/>
      <c r="R134"/>
      <c r="S134"/>
      <c r="T134" t="s">
        <v>1036</v>
      </c>
      <c r="U134" t="s">
        <v>1037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6</v>
      </c>
      <c r="AI134">
        <v>7</v>
      </c>
      <c r="AJ134"/>
      <c r="AK134"/>
      <c r="AL134"/>
      <c r="AM134"/>
      <c r="AN134"/>
      <c r="AO134" t="s">
        <v>465</v>
      </c>
      <c r="AP134" t="s">
        <v>466</v>
      </c>
      <c r="AQ134"/>
      <c r="AR134"/>
      <c r="AS134"/>
      <c r="AT134" t="s">
        <v>190</v>
      </c>
      <c r="AU134">
        <v>2016</v>
      </c>
      <c r="AV134">
        <v>19</v>
      </c>
      <c r="AW134">
        <v>1</v>
      </c>
      <c r="AX134"/>
      <c r="AY134"/>
      <c r="AZ134"/>
      <c r="BA134"/>
      <c r="BB134">
        <v>1</v>
      </c>
      <c r="BC134">
        <v>18</v>
      </c>
      <c r="BD134"/>
      <c r="BE134" t="s">
        <v>1038</v>
      </c>
      <c r="BF134" t="str">
        <f>HYPERLINK("http://dx.doi.org/10.1007/s11252-015-0503-3","http://dx.doi.org/10.1007/s11252-015-0503-3")</f>
        <v>http://dx.doi.org/10.1007/s11252-015-0503-3</v>
      </c>
      <c r="BG134"/>
      <c r="BH134"/>
      <c r="BI134"/>
      <c r="BJ134" t="s">
        <v>468</v>
      </c>
      <c r="BK134"/>
      <c r="BL134"/>
      <c r="BM134"/>
      <c r="BN134"/>
      <c r="BO134"/>
      <c r="BP134"/>
      <c r="BQ134"/>
      <c r="BR134"/>
      <c r="BS134"/>
      <c r="BT134" t="str">
        <f>HYPERLINK("https%3A%2F%2Fwww.webofscience.com%2Fwos%2Fwoscc%2Ffull-record%2F","View Full Record in Web of Science")</f>
        <v>View Full Record in Web of Science</v>
      </c>
    </row>
    <row r="135" spans="1:72" customHeight="1" ht="12.75">
      <c r="A135" t="s">
        <v>72</v>
      </c>
      <c r="B135" t="s">
        <v>1039</v>
      </c>
      <c r="C135"/>
      <c r="D135"/>
      <c r="E135"/>
      <c r="F135" t="s">
        <v>1040</v>
      </c>
      <c r="G135"/>
      <c r="H135"/>
      <c r="I135" t="s">
        <v>1041</v>
      </c>
      <c r="J135" t="s">
        <v>587</v>
      </c>
      <c r="K135"/>
      <c r="L135"/>
      <c r="M135"/>
      <c r="N135" t="s">
        <v>112</v>
      </c>
      <c r="O135"/>
      <c r="P135"/>
      <c r="Q135"/>
      <c r="R135"/>
      <c r="S135"/>
      <c r="T135" t="s">
        <v>1042</v>
      </c>
      <c r="U135" t="s">
        <v>1043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>
        <v>33</v>
      </c>
      <c r="AI135">
        <v>35</v>
      </c>
      <c r="AJ135"/>
      <c r="AK135"/>
      <c r="AL135"/>
      <c r="AM135"/>
      <c r="AN135"/>
      <c r="AO135" t="s">
        <v>590</v>
      </c>
      <c r="AP135" t="s">
        <v>591</v>
      </c>
      <c r="AQ135"/>
      <c r="AR135"/>
      <c r="AS135"/>
      <c r="AT135" t="s">
        <v>1044</v>
      </c>
      <c r="AU135">
        <v>2019</v>
      </c>
      <c r="AV135">
        <v>214</v>
      </c>
      <c r="AW135"/>
      <c r="AX135"/>
      <c r="AY135"/>
      <c r="AZ135"/>
      <c r="BA135"/>
      <c r="BB135">
        <v>767</v>
      </c>
      <c r="BC135">
        <v>781</v>
      </c>
      <c r="BD135"/>
      <c r="BE135" t="s">
        <v>1045</v>
      </c>
      <c r="BF135" t="str">
        <f>HYPERLINK("http://dx.doi.org/10.1016/j.jclepro.2019.01.021","http://dx.doi.org/10.1016/j.jclepro.2019.01.021")</f>
        <v>http://dx.doi.org/10.1016/j.jclepro.2019.01.021</v>
      </c>
      <c r="BG135"/>
      <c r="BH135"/>
      <c r="BI135"/>
      <c r="BJ135" t="s">
        <v>139</v>
      </c>
      <c r="BK135"/>
      <c r="BL135"/>
      <c r="BM135"/>
      <c r="BN135"/>
      <c r="BO135"/>
      <c r="BP135"/>
      <c r="BQ135"/>
      <c r="BR135"/>
      <c r="BS135"/>
      <c r="BT135" t="str">
        <f>HYPERLINK("https%3A%2F%2Fwww.webofscience.com%2Fwos%2Fwoscc%2Ffull-record%2F","View Full Record in Web of Science")</f>
        <v>View Full Record in Web of Science</v>
      </c>
    </row>
    <row r="136" spans="1:72" customHeight="1" ht="12.75">
      <c r="A136" t="s">
        <v>72</v>
      </c>
      <c r="B136" t="s">
        <v>1046</v>
      </c>
      <c r="C136"/>
      <c r="D136"/>
      <c r="E136"/>
      <c r="F136" t="s">
        <v>1047</v>
      </c>
      <c r="G136"/>
      <c r="H136"/>
      <c r="I136" t="s">
        <v>1048</v>
      </c>
      <c r="J136" t="s">
        <v>133</v>
      </c>
      <c r="K136"/>
      <c r="L136"/>
      <c r="M136"/>
      <c r="N136" t="s">
        <v>112</v>
      </c>
      <c r="O136"/>
      <c r="P136"/>
      <c r="Q136"/>
      <c r="R136"/>
      <c r="S136"/>
      <c r="T136" t="s">
        <v>1049</v>
      </c>
      <c r="U136" t="s">
        <v>1050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>
        <v>18</v>
      </c>
      <c r="AI136">
        <v>20</v>
      </c>
      <c r="AJ136"/>
      <c r="AK136"/>
      <c r="AL136"/>
      <c r="AM136"/>
      <c r="AN136"/>
      <c r="AO136" t="s">
        <v>136</v>
      </c>
      <c r="AP136" t="s">
        <v>137</v>
      </c>
      <c r="AQ136"/>
      <c r="AR136"/>
      <c r="AS136"/>
      <c r="AT136" t="s">
        <v>145</v>
      </c>
      <c r="AU136">
        <v>2017</v>
      </c>
      <c r="AV136">
        <v>21</v>
      </c>
      <c r="AW136">
        <v>2</v>
      </c>
      <c r="AX136"/>
      <c r="AY136"/>
      <c r="AZ136"/>
      <c r="BA136"/>
      <c r="BB136">
        <v>307</v>
      </c>
      <c r="BC136">
        <v>319</v>
      </c>
      <c r="BD136"/>
      <c r="BE136" t="s">
        <v>1051</v>
      </c>
      <c r="BF136" t="str">
        <f>HYPERLINK("http://dx.doi.org/10.1111/jiec.12451","http://dx.doi.org/10.1111/jiec.12451")</f>
        <v>http://dx.doi.org/10.1111/jiec.12451</v>
      </c>
      <c r="BG136"/>
      <c r="BH136"/>
      <c r="BI136"/>
      <c r="BJ136" t="s">
        <v>139</v>
      </c>
      <c r="BK136"/>
      <c r="BL136"/>
      <c r="BM136"/>
      <c r="BN136"/>
      <c r="BO136"/>
      <c r="BP136"/>
      <c r="BQ136"/>
      <c r="BR136"/>
      <c r="BS136"/>
      <c r="BT136" t="str">
        <f>HYPERLINK("https%3A%2F%2Fwww.webofscience.com%2Fwos%2Fwoscc%2Ffull-record%2F","View Full Record in Web of Science")</f>
        <v>View Full Record in Web of Science</v>
      </c>
    </row>
    <row r="137" spans="1:72" customHeight="1" ht="12.75">
      <c r="A137" t="s">
        <v>72</v>
      </c>
      <c r="B137" t="s">
        <v>1052</v>
      </c>
      <c r="C137"/>
      <c r="D137"/>
      <c r="E137"/>
      <c r="F137" t="s">
        <v>1053</v>
      </c>
      <c r="G137"/>
      <c r="H137"/>
      <c r="I137" t="s">
        <v>1054</v>
      </c>
      <c r="J137" t="s">
        <v>87</v>
      </c>
      <c r="K137"/>
      <c r="L137"/>
      <c r="M137"/>
      <c r="N137" t="s">
        <v>112</v>
      </c>
      <c r="O137"/>
      <c r="P137"/>
      <c r="Q137"/>
      <c r="R137"/>
      <c r="S137"/>
      <c r="T137" t="s">
        <v>1055</v>
      </c>
      <c r="U137" t="s">
        <v>1056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>
        <v>54</v>
      </c>
      <c r="AI137">
        <v>57</v>
      </c>
      <c r="AJ137"/>
      <c r="AK137"/>
      <c r="AL137"/>
      <c r="AM137"/>
      <c r="AN137"/>
      <c r="AO137" t="s">
        <v>90</v>
      </c>
      <c r="AP137" t="s">
        <v>91</v>
      </c>
      <c r="AQ137"/>
      <c r="AR137"/>
      <c r="AS137"/>
      <c r="AT137" t="s">
        <v>385</v>
      </c>
      <c r="AU137">
        <v>2014</v>
      </c>
      <c r="AV137">
        <v>42</v>
      </c>
      <c r="AW137"/>
      <c r="AX137"/>
      <c r="AY137"/>
      <c r="AZ137" t="s">
        <v>222</v>
      </c>
      <c r="BA137"/>
      <c r="BB137">
        <v>10</v>
      </c>
      <c r="BC137">
        <v>19</v>
      </c>
      <c r="BD137"/>
      <c r="BE137" t="s">
        <v>1057</v>
      </c>
      <c r="BF137" t="str">
        <f>HYPERLINK("http://dx.doi.org/10.1016/j.ecolind.2014.02.035","http://dx.doi.org/10.1016/j.ecolind.2014.02.035")</f>
        <v>http://dx.doi.org/10.1016/j.ecolind.2014.02.035</v>
      </c>
      <c r="BG137"/>
      <c r="BH137"/>
      <c r="BI137"/>
      <c r="BJ137" t="s">
        <v>94</v>
      </c>
      <c r="BK137"/>
      <c r="BL137"/>
      <c r="BM137"/>
      <c r="BN137"/>
      <c r="BO137"/>
      <c r="BP137"/>
      <c r="BQ137"/>
      <c r="BR137"/>
      <c r="BS137"/>
      <c r="BT137" t="str">
        <f>HYPERLINK("https%3A%2F%2Fwww.webofscience.com%2Fwos%2Fwoscc%2Ffull-record%2F","View Full Record in Web of Science")</f>
        <v>View Full Record in Web of Science</v>
      </c>
    </row>
    <row r="138" spans="1:72" customHeight="1" ht="12.75">
      <c r="A138" t="s">
        <v>72</v>
      </c>
      <c r="B138" t="s">
        <v>1058</v>
      </c>
      <c r="C138"/>
      <c r="D138"/>
      <c r="E138"/>
      <c r="F138" t="s">
        <v>1058</v>
      </c>
      <c r="G138"/>
      <c r="H138"/>
      <c r="I138" t="s">
        <v>1059</v>
      </c>
      <c r="J138" t="s">
        <v>98</v>
      </c>
      <c r="K138"/>
      <c r="L138"/>
      <c r="M138"/>
      <c r="N138" t="s">
        <v>112</v>
      </c>
      <c r="O138"/>
      <c r="P138"/>
      <c r="Q138"/>
      <c r="R138"/>
      <c r="S138"/>
      <c r="T138" t="s">
        <v>1060</v>
      </c>
      <c r="U138" t="s">
        <v>457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176</v>
      </c>
      <c r="AI138">
        <v>218</v>
      </c>
      <c r="AJ138"/>
      <c r="AK138"/>
      <c r="AL138"/>
      <c r="AM138"/>
      <c r="AN138"/>
      <c r="AO138" t="s">
        <v>102</v>
      </c>
      <c r="AP138"/>
      <c r="AQ138"/>
      <c r="AR138"/>
      <c r="AS138"/>
      <c r="AT138" t="s">
        <v>1061</v>
      </c>
      <c r="AU138">
        <v>2003</v>
      </c>
      <c r="AV138">
        <v>63</v>
      </c>
      <c r="AW138">
        <v>2</v>
      </c>
      <c r="AX138"/>
      <c r="AY138"/>
      <c r="AZ138"/>
      <c r="BA138"/>
      <c r="BB138">
        <v>61</v>
      </c>
      <c r="BC138">
        <v>74</v>
      </c>
      <c r="BD138" t="s">
        <v>1062</v>
      </c>
      <c r="BE138" t="s">
        <v>1063</v>
      </c>
      <c r="BF138" t="str">
        <f>HYPERLINK("http://dx.doi.org/10.1016/S0169-2046(02)00152-4","http://dx.doi.org/10.1016/S0169-2046(02)00152-4")</f>
        <v>http://dx.doi.org/10.1016/S0169-2046(02)00152-4</v>
      </c>
      <c r="BG138"/>
      <c r="BH138"/>
      <c r="BI138"/>
      <c r="BJ138" t="s">
        <v>107</v>
      </c>
      <c r="BK138"/>
      <c r="BL138"/>
      <c r="BM138"/>
      <c r="BN138"/>
      <c r="BO138"/>
      <c r="BP138"/>
      <c r="BQ138"/>
      <c r="BR138"/>
      <c r="BS138"/>
      <c r="BT138" t="str">
        <f>HYPERLINK("https%3A%2F%2Fwww.webofscience.com%2Fwos%2Fwoscc%2Ffull-record%2F","View Full Record in Web of Science")</f>
        <v>View Full Record in Web of Science</v>
      </c>
    </row>
    <row r="139" spans="1:72" customHeight="1" ht="12.75">
      <c r="A139" t="s">
        <v>72</v>
      </c>
      <c r="B139" t="s">
        <v>1064</v>
      </c>
      <c r="C139"/>
      <c r="D139"/>
      <c r="E139"/>
      <c r="F139" t="s">
        <v>1065</v>
      </c>
      <c r="G139"/>
      <c r="H139"/>
      <c r="I139" t="s">
        <v>1066</v>
      </c>
      <c r="J139" t="s">
        <v>1067</v>
      </c>
      <c r="K139"/>
      <c r="L139"/>
      <c r="M139"/>
      <c r="N139" t="s">
        <v>325</v>
      </c>
      <c r="O139"/>
      <c r="P139"/>
      <c r="Q139"/>
      <c r="R139"/>
      <c r="S139"/>
      <c r="T139" t="s">
        <v>1068</v>
      </c>
      <c r="U139" t="s">
        <v>1069</v>
      </c>
      <c r="V139"/>
      <c r="W139"/>
      <c r="X139"/>
      <c r="Y139"/>
      <c r="Z139"/>
      <c r="AA139"/>
      <c r="AB139"/>
      <c r="AC139"/>
      <c r="AD139"/>
      <c r="AE139"/>
      <c r="AF139"/>
      <c r="AG139"/>
      <c r="AH139">
        <v>38</v>
      </c>
      <c r="AI139">
        <v>38</v>
      </c>
      <c r="AJ139"/>
      <c r="AK139"/>
      <c r="AL139"/>
      <c r="AM139"/>
      <c r="AN139"/>
      <c r="AO139" t="s">
        <v>1070</v>
      </c>
      <c r="AP139" t="s">
        <v>1071</v>
      </c>
      <c r="AQ139"/>
      <c r="AR139"/>
      <c r="AS139"/>
      <c r="AT139" t="s">
        <v>1072</v>
      </c>
      <c r="AU139">
        <v>2022</v>
      </c>
      <c r="AV139">
        <v>807</v>
      </c>
      <c r="AW139"/>
      <c r="AX139">
        <v>1</v>
      </c>
      <c r="AY139"/>
      <c r="AZ139"/>
      <c r="BA139"/>
      <c r="BB139"/>
      <c r="BC139"/>
      <c r="BD139">
        <v>150700</v>
      </c>
      <c r="BE139" t="s">
        <v>1073</v>
      </c>
      <c r="BF139" t="str">
        <f>HYPERLINK("http://dx.doi.org/10.1016/j.scitotenv.2021.150700","http://dx.doi.org/10.1016/j.scitotenv.2021.150700")</f>
        <v>http://dx.doi.org/10.1016/j.scitotenv.2021.150700</v>
      </c>
      <c r="BG139"/>
      <c r="BH139" t="s">
        <v>1074</v>
      </c>
      <c r="BI139"/>
      <c r="BJ139" t="s">
        <v>224</v>
      </c>
      <c r="BK139"/>
      <c r="BL139"/>
      <c r="BM139"/>
      <c r="BN139"/>
      <c r="BO139"/>
      <c r="BP139"/>
      <c r="BQ139"/>
      <c r="BR139"/>
      <c r="BS139"/>
      <c r="BT139" t="str">
        <f>HYPERLINK("https%3A%2F%2Fwww.webofscience.com%2Fwos%2Fwoscc%2Ffull-record%2F","View Full Record in Web of Science")</f>
        <v>View Full Record in Web of Science</v>
      </c>
    </row>
    <row r="140" spans="1:72" customHeight="1" ht="12.75">
      <c r="A140" t="s">
        <v>72</v>
      </c>
      <c r="B140" t="s">
        <v>1075</v>
      </c>
      <c r="C140"/>
      <c r="D140"/>
      <c r="E140"/>
      <c r="F140" t="s">
        <v>1076</v>
      </c>
      <c r="G140"/>
      <c r="H140"/>
      <c r="I140" t="s">
        <v>1077</v>
      </c>
      <c r="J140" t="s">
        <v>409</v>
      </c>
      <c r="K140"/>
      <c r="L140"/>
      <c r="M140"/>
      <c r="N140" t="s">
        <v>112</v>
      </c>
      <c r="O140"/>
      <c r="P140"/>
      <c r="Q140"/>
      <c r="R140"/>
      <c r="S140"/>
      <c r="T140" t="s">
        <v>1078</v>
      </c>
      <c r="U140" t="s">
        <v>1079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>
        <v>9</v>
      </c>
      <c r="AI140">
        <v>12</v>
      </c>
      <c r="AJ140"/>
      <c r="AK140"/>
      <c r="AL140"/>
      <c r="AM140"/>
      <c r="AN140"/>
      <c r="AO140" t="s">
        <v>1080</v>
      </c>
      <c r="AP140" t="s">
        <v>1081</v>
      </c>
      <c r="AQ140"/>
      <c r="AR140"/>
      <c r="AS140"/>
      <c r="AT140" t="s">
        <v>128</v>
      </c>
      <c r="AU140">
        <v>2019</v>
      </c>
      <c r="AV140">
        <v>95</v>
      </c>
      <c r="AW140"/>
      <c r="AX140"/>
      <c r="AY140"/>
      <c r="AZ140"/>
      <c r="BA140"/>
      <c r="BB140"/>
      <c r="BC140"/>
      <c r="BD140">
        <v>102388</v>
      </c>
      <c r="BE140" t="s">
        <v>1082</v>
      </c>
      <c r="BF140" t="str">
        <f>HYPERLINK("http://dx.doi.org/10.1016/j.cities.2019.102388","http://dx.doi.org/10.1016/j.cities.2019.102388")</f>
        <v>http://dx.doi.org/10.1016/j.cities.2019.102388</v>
      </c>
      <c r="BG140"/>
      <c r="BH140"/>
      <c r="BI140"/>
      <c r="BJ140" t="s">
        <v>243</v>
      </c>
      <c r="BK140"/>
      <c r="BL140"/>
      <c r="BM140"/>
      <c r="BN140"/>
      <c r="BO140"/>
      <c r="BP140"/>
      <c r="BQ140"/>
      <c r="BR140"/>
      <c r="BS140"/>
      <c r="BT140" t="str">
        <f>HYPERLINK("https%3A%2F%2Fwww.webofscience.com%2Fwos%2Fwoscc%2Ffull-record%2F","View Full Record in Web of Science")</f>
        <v>View Full Record in Web of Science</v>
      </c>
    </row>
    <row r="141" spans="1:72" customHeight="1" ht="12.75">
      <c r="A141" t="s">
        <v>72</v>
      </c>
      <c r="B141" t="s">
        <v>1083</v>
      </c>
      <c r="C141"/>
      <c r="D141"/>
      <c r="E141"/>
      <c r="F141" t="s">
        <v>1084</v>
      </c>
      <c r="G141"/>
      <c r="H141"/>
      <c r="I141" t="s">
        <v>1085</v>
      </c>
      <c r="J141" t="s">
        <v>697</v>
      </c>
      <c r="K141"/>
      <c r="L141"/>
      <c r="M141"/>
      <c r="N141" t="s">
        <v>325</v>
      </c>
      <c r="O141"/>
      <c r="P141"/>
      <c r="Q141"/>
      <c r="R141"/>
      <c r="S141"/>
      <c r="T141" t="s">
        <v>1086</v>
      </c>
      <c r="U141" t="s">
        <v>1087</v>
      </c>
      <c r="V141"/>
      <c r="W141"/>
      <c r="X141"/>
      <c r="Y141"/>
      <c r="Z141"/>
      <c r="AA141"/>
      <c r="AB141"/>
      <c r="AC141"/>
      <c r="AD141"/>
      <c r="AE141"/>
      <c r="AF141"/>
      <c r="AG141"/>
      <c r="AH141">
        <v>8</v>
      </c>
      <c r="AI141">
        <v>9</v>
      </c>
      <c r="AJ141"/>
      <c r="AK141"/>
      <c r="AL141"/>
      <c r="AM141"/>
      <c r="AN141"/>
      <c r="AO141" t="s">
        <v>699</v>
      </c>
      <c r="AP141" t="s">
        <v>700</v>
      </c>
      <c r="AQ141"/>
      <c r="AR141"/>
      <c r="AS141"/>
      <c r="AT141" t="s">
        <v>104</v>
      </c>
      <c r="AU141">
        <v>2022</v>
      </c>
      <c r="AV141">
        <v>80</v>
      </c>
      <c r="AW141"/>
      <c r="AX141"/>
      <c r="AY141"/>
      <c r="AZ141"/>
      <c r="BA141"/>
      <c r="BB141"/>
      <c r="BC141"/>
      <c r="BD141">
        <v>103754</v>
      </c>
      <c r="BE141" t="s">
        <v>1088</v>
      </c>
      <c r="BF141" t="str">
        <f>HYPERLINK("http://dx.doi.org/10.1016/j.scs.2022.103754","http://dx.doi.org/10.1016/j.scs.2022.103754")</f>
        <v>http://dx.doi.org/10.1016/j.scs.2022.103754</v>
      </c>
      <c r="BG141"/>
      <c r="BH141" t="s">
        <v>106</v>
      </c>
      <c r="BI141"/>
      <c r="BJ141" t="s">
        <v>702</v>
      </c>
      <c r="BK141"/>
      <c r="BL141"/>
      <c r="BM141"/>
      <c r="BN141"/>
      <c r="BO141"/>
      <c r="BP141"/>
      <c r="BQ141"/>
      <c r="BR141"/>
      <c r="BS141"/>
      <c r="BT141" t="str">
        <f>HYPERLINK("https%3A%2F%2Fwww.webofscience.com%2Fwos%2Fwoscc%2Ffull-record%2F","View Full Record in Web of Science")</f>
        <v>View Full Record in Web of Science</v>
      </c>
    </row>
    <row r="142" spans="1:72" customHeight="1" ht="12.75">
      <c r="A142" t="s">
        <v>72</v>
      </c>
      <c r="B142" t="s">
        <v>1089</v>
      </c>
      <c r="C142"/>
      <c r="D142"/>
      <c r="E142"/>
      <c r="F142" t="s">
        <v>1090</v>
      </c>
      <c r="G142"/>
      <c r="H142"/>
      <c r="I142" t="s">
        <v>1091</v>
      </c>
      <c r="J142" t="s">
        <v>133</v>
      </c>
      <c r="K142"/>
      <c r="L142"/>
      <c r="M142"/>
      <c r="N142" t="s">
        <v>112</v>
      </c>
      <c r="O142"/>
      <c r="P142"/>
      <c r="Q142"/>
      <c r="R142"/>
      <c r="S142"/>
      <c r="T142" t="s">
        <v>1092</v>
      </c>
      <c r="U142" t="s">
        <v>1093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>
        <v>60</v>
      </c>
      <c r="AI142">
        <v>62</v>
      </c>
      <c r="AJ142"/>
      <c r="AK142"/>
      <c r="AL142"/>
      <c r="AM142"/>
      <c r="AN142"/>
      <c r="AO142" t="s">
        <v>136</v>
      </c>
      <c r="AP142" t="s">
        <v>137</v>
      </c>
      <c r="AQ142"/>
      <c r="AR142"/>
      <c r="AS142"/>
      <c r="AT142" t="s">
        <v>198</v>
      </c>
      <c r="AU142">
        <v>2015</v>
      </c>
      <c r="AV142">
        <v>19</v>
      </c>
      <c r="AW142">
        <v>5</v>
      </c>
      <c r="AX142"/>
      <c r="AY142"/>
      <c r="AZ142" t="s">
        <v>222</v>
      </c>
      <c r="BA142"/>
      <c r="BB142">
        <v>917</v>
      </c>
      <c r="BC142">
        <v>929</v>
      </c>
      <c r="BD142"/>
      <c r="BE142" t="s">
        <v>1094</v>
      </c>
      <c r="BF142" t="str">
        <f>HYPERLINK("http://dx.doi.org/10.1111/jiec.12308","http://dx.doi.org/10.1111/jiec.12308")</f>
        <v>http://dx.doi.org/10.1111/jiec.12308</v>
      </c>
      <c r="BG142"/>
      <c r="BH142"/>
      <c r="BI142"/>
      <c r="BJ142" t="s">
        <v>139</v>
      </c>
      <c r="BK142"/>
      <c r="BL142"/>
      <c r="BM142"/>
      <c r="BN142"/>
      <c r="BO142"/>
      <c r="BP142"/>
      <c r="BQ142"/>
      <c r="BR142"/>
      <c r="BS142"/>
      <c r="BT142" t="str">
        <f>HYPERLINK("https%3A%2F%2Fwww.webofscience.com%2Fwos%2Fwoscc%2Ffull-record%2F","View Full Record in Web of Science")</f>
        <v>View Full Record in Web of Science</v>
      </c>
    </row>
    <row r="143" spans="1:72" customHeight="1" ht="12.75">
      <c r="A143" t="s">
        <v>72</v>
      </c>
      <c r="B143" t="s">
        <v>1095</v>
      </c>
      <c r="C143"/>
      <c r="D143"/>
      <c r="E143"/>
      <c r="F143" t="s">
        <v>1096</v>
      </c>
      <c r="G143"/>
      <c r="H143"/>
      <c r="I143" t="s">
        <v>1097</v>
      </c>
      <c r="J143" t="s">
        <v>1098</v>
      </c>
      <c r="K143"/>
      <c r="L143"/>
      <c r="M143"/>
      <c r="N143" t="s">
        <v>112</v>
      </c>
      <c r="O143"/>
      <c r="P143"/>
      <c r="Q143"/>
      <c r="R143"/>
      <c r="S143"/>
      <c r="T143" t="s">
        <v>1099</v>
      </c>
      <c r="U143" t="s">
        <v>1100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>
        <v>2</v>
      </c>
      <c r="AI143">
        <v>2</v>
      </c>
      <c r="AJ143"/>
      <c r="AK143"/>
      <c r="AL143"/>
      <c r="AM143"/>
      <c r="AN143"/>
      <c r="AO143"/>
      <c r="AP143" t="s">
        <v>1101</v>
      </c>
      <c r="AQ143"/>
      <c r="AR143"/>
      <c r="AS143"/>
      <c r="AT143" t="s">
        <v>92</v>
      </c>
      <c r="AU143">
        <v>2021</v>
      </c>
      <c r="AV143">
        <v>10</v>
      </c>
      <c r="AW143">
        <v>11</v>
      </c>
      <c r="AX143"/>
      <c r="AY143"/>
      <c r="AZ143"/>
      <c r="BA143"/>
      <c r="BB143"/>
      <c r="BC143"/>
      <c r="BD143">
        <v>2842</v>
      </c>
      <c r="BE143" t="s">
        <v>1102</v>
      </c>
      <c r="BF143" t="str">
        <f>HYPERLINK("http://dx.doi.org/10.3390/foods10112842","http://dx.doi.org/10.3390/foods10112842")</f>
        <v>http://dx.doi.org/10.3390/foods10112842</v>
      </c>
      <c r="BG143"/>
      <c r="BH143"/>
      <c r="BI143"/>
      <c r="BJ143" t="s">
        <v>1103</v>
      </c>
      <c r="BK143"/>
      <c r="BL143"/>
      <c r="BM143"/>
      <c r="BN143"/>
      <c r="BO143"/>
      <c r="BP143"/>
      <c r="BQ143"/>
      <c r="BR143"/>
      <c r="BS143"/>
      <c r="BT143" t="str">
        <f>HYPERLINK("https%3A%2F%2Fwww.webofscience.com%2Fwos%2Fwoscc%2Ffull-record%2F","View Full Record in Web of Science")</f>
        <v>View Full Record in Web of Science</v>
      </c>
    </row>
    <row r="144" spans="1:72" customHeight="1" ht="12.75">
      <c r="A144" t="s">
        <v>72</v>
      </c>
      <c r="B144" t="s">
        <v>193</v>
      </c>
      <c r="C144"/>
      <c r="D144"/>
      <c r="E144"/>
      <c r="F144" t="s">
        <v>194</v>
      </c>
      <c r="G144"/>
      <c r="H144"/>
      <c r="I144" t="s">
        <v>1104</v>
      </c>
      <c r="J144" t="s">
        <v>587</v>
      </c>
      <c r="K144"/>
      <c r="L144"/>
      <c r="M144"/>
      <c r="N144" t="s">
        <v>325</v>
      </c>
      <c r="O144"/>
      <c r="P144"/>
      <c r="Q144"/>
      <c r="R144"/>
      <c r="S144"/>
      <c r="T144" t="s">
        <v>1105</v>
      </c>
      <c r="U144" t="s">
        <v>1106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>
        <v>4</v>
      </c>
      <c r="AI144">
        <v>4</v>
      </c>
      <c r="AJ144"/>
      <c r="AK144"/>
      <c r="AL144"/>
      <c r="AM144"/>
      <c r="AN144"/>
      <c r="AO144" t="s">
        <v>590</v>
      </c>
      <c r="AP144" t="s">
        <v>591</v>
      </c>
      <c r="AQ144"/>
      <c r="AR144"/>
      <c r="AS144"/>
      <c r="AT144" t="s">
        <v>1107</v>
      </c>
      <c r="AU144">
        <v>2022</v>
      </c>
      <c r="AV144">
        <v>359</v>
      </c>
      <c r="AW144"/>
      <c r="AX144"/>
      <c r="AY144"/>
      <c r="AZ144"/>
      <c r="BA144"/>
      <c r="BB144"/>
      <c r="BC144"/>
      <c r="BD144">
        <v>132067</v>
      </c>
      <c r="BE144" t="s">
        <v>1108</v>
      </c>
      <c r="BF144" t="str">
        <f>HYPERLINK("http://dx.doi.org/10.1016/j.jclepro.2022.132067","http://dx.doi.org/10.1016/j.jclepro.2022.132067")</f>
        <v>http://dx.doi.org/10.1016/j.jclepro.2022.132067</v>
      </c>
      <c r="BG144"/>
      <c r="BH144" t="s">
        <v>1109</v>
      </c>
      <c r="BI144"/>
      <c r="BJ144" t="s">
        <v>139</v>
      </c>
      <c r="BK144"/>
      <c r="BL144"/>
      <c r="BM144"/>
      <c r="BN144"/>
      <c r="BO144"/>
      <c r="BP144"/>
      <c r="BQ144"/>
      <c r="BR144"/>
      <c r="BS144"/>
      <c r="BT144" t="str">
        <f>HYPERLINK("https%3A%2F%2Fwww.webofscience.com%2Fwos%2Fwoscc%2Ffull-record%2F","View Full Record in Web of Science")</f>
        <v>View Full Record in Web of Science</v>
      </c>
    </row>
    <row r="145" spans="1:72" customHeight="1" ht="12.75">
      <c r="A145" t="s">
        <v>72</v>
      </c>
      <c r="B145" t="s">
        <v>1110</v>
      </c>
      <c r="C145"/>
      <c r="D145"/>
      <c r="E145"/>
      <c r="F145" t="s">
        <v>1111</v>
      </c>
      <c r="G145"/>
      <c r="H145"/>
      <c r="I145" t="s">
        <v>1112</v>
      </c>
      <c r="J145" t="s">
        <v>893</v>
      </c>
      <c r="K145"/>
      <c r="L145"/>
      <c r="M145"/>
      <c r="N145" t="s">
        <v>112</v>
      </c>
      <c r="O145"/>
      <c r="P145"/>
      <c r="Q145"/>
      <c r="R145"/>
      <c r="S145"/>
      <c r="T145" t="s">
        <v>1113</v>
      </c>
      <c r="U145" t="s">
        <v>1114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>
        <v>1</v>
      </c>
      <c r="AI145">
        <v>1</v>
      </c>
      <c r="AJ145"/>
      <c r="AK145"/>
      <c r="AL145"/>
      <c r="AM145"/>
      <c r="AN145"/>
      <c r="AO145"/>
      <c r="AP145" t="s">
        <v>896</v>
      </c>
      <c r="AQ145"/>
      <c r="AR145"/>
      <c r="AS145"/>
      <c r="AT145" t="s">
        <v>117</v>
      </c>
      <c r="AU145">
        <v>2020</v>
      </c>
      <c r="AV145">
        <v>13</v>
      </c>
      <c r="AW145">
        <v>9</v>
      </c>
      <c r="AX145"/>
      <c r="AY145"/>
      <c r="AZ145"/>
      <c r="BA145"/>
      <c r="BB145"/>
      <c r="BC145"/>
      <c r="BD145">
        <v>2243</v>
      </c>
      <c r="BE145" t="s">
        <v>1115</v>
      </c>
      <c r="BF145" t="str">
        <f>HYPERLINK("http://dx.doi.org/10.3390/en13092243","http://dx.doi.org/10.3390/en13092243")</f>
        <v>http://dx.doi.org/10.3390/en13092243</v>
      </c>
      <c r="BG145"/>
      <c r="BH145"/>
      <c r="BI145"/>
      <c r="BJ145" t="s">
        <v>898</v>
      </c>
      <c r="BK145"/>
      <c r="BL145"/>
      <c r="BM145"/>
      <c r="BN145"/>
      <c r="BO145"/>
      <c r="BP145"/>
      <c r="BQ145"/>
      <c r="BR145"/>
      <c r="BS145"/>
      <c r="BT145" t="str">
        <f>HYPERLINK("https%3A%2F%2Fwww.webofscience.com%2Fwos%2Fwoscc%2Ffull-record%2F","View Full Record in Web of Science")</f>
        <v>View Full Record in Web of Science</v>
      </c>
    </row>
    <row r="146" spans="1:72" customHeight="1" ht="12.75">
      <c r="A146" t="s">
        <v>72</v>
      </c>
      <c r="B146" t="s">
        <v>1116</v>
      </c>
      <c r="C146"/>
      <c r="D146"/>
      <c r="E146"/>
      <c r="F146" t="s">
        <v>1117</v>
      </c>
      <c r="G146"/>
      <c r="H146"/>
      <c r="I146" t="s">
        <v>1118</v>
      </c>
      <c r="J146" t="s">
        <v>133</v>
      </c>
      <c r="K146"/>
      <c r="L146"/>
      <c r="M146"/>
      <c r="N146" t="s">
        <v>112</v>
      </c>
      <c r="O146"/>
      <c r="P146"/>
      <c r="Q146"/>
      <c r="R146"/>
      <c r="S146"/>
      <c r="T146" t="s">
        <v>1119</v>
      </c>
      <c r="U146" t="s">
        <v>1120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>
        <v>23</v>
      </c>
      <c r="AI146">
        <v>25</v>
      </c>
      <c r="AJ146"/>
      <c r="AK146"/>
      <c r="AL146"/>
      <c r="AM146"/>
      <c r="AN146"/>
      <c r="AO146" t="s">
        <v>136</v>
      </c>
      <c r="AP146" t="s">
        <v>137</v>
      </c>
      <c r="AQ146"/>
      <c r="AR146"/>
      <c r="AS146"/>
      <c r="AT146" t="s">
        <v>145</v>
      </c>
      <c r="AU146">
        <v>2017</v>
      </c>
      <c r="AV146">
        <v>21</v>
      </c>
      <c r="AW146">
        <v>2</v>
      </c>
      <c r="AX146"/>
      <c r="AY146"/>
      <c r="AZ146"/>
      <c r="BA146"/>
      <c r="BB146">
        <v>294</v>
      </c>
      <c r="BC146">
        <v>306</v>
      </c>
      <c r="BD146"/>
      <c r="BE146" t="s">
        <v>1121</v>
      </c>
      <c r="BF146" t="str">
        <f>HYPERLINK("http://dx.doi.org/10.1111/jiec.12428","http://dx.doi.org/10.1111/jiec.12428")</f>
        <v>http://dx.doi.org/10.1111/jiec.12428</v>
      </c>
      <c r="BG146"/>
      <c r="BH146"/>
      <c r="BI146"/>
      <c r="BJ146" t="s">
        <v>139</v>
      </c>
      <c r="BK146"/>
      <c r="BL146"/>
      <c r="BM146"/>
      <c r="BN146"/>
      <c r="BO146"/>
      <c r="BP146"/>
      <c r="BQ146"/>
      <c r="BR146"/>
      <c r="BS146"/>
      <c r="BT146" t="str">
        <f>HYPERLINK("https%3A%2F%2Fwww.webofscience.com%2Fwos%2Fwoscc%2Ffull-record%2F","View Full Record in Web of Science")</f>
        <v>View Full Record in Web of Science</v>
      </c>
    </row>
    <row r="147" spans="1:72" customHeight="1" ht="12.75">
      <c r="A147" t="s">
        <v>72</v>
      </c>
      <c r="B147" t="s">
        <v>1122</v>
      </c>
      <c r="C147"/>
      <c r="D147"/>
      <c r="E147"/>
      <c r="F147" t="s">
        <v>1123</v>
      </c>
      <c r="G147"/>
      <c r="H147"/>
      <c r="I147" t="s">
        <v>1124</v>
      </c>
      <c r="J147" t="s">
        <v>133</v>
      </c>
      <c r="K147"/>
      <c r="L147"/>
      <c r="M147"/>
      <c r="N147" t="s">
        <v>112</v>
      </c>
      <c r="O147"/>
      <c r="P147"/>
      <c r="Q147"/>
      <c r="R147"/>
      <c r="S147"/>
      <c r="T147" t="s">
        <v>1125</v>
      </c>
      <c r="U147" t="s">
        <v>1126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7</v>
      </c>
      <c r="AI147">
        <v>8</v>
      </c>
      <c r="AJ147"/>
      <c r="AK147"/>
      <c r="AL147"/>
      <c r="AM147"/>
      <c r="AN147"/>
      <c r="AO147" t="s">
        <v>136</v>
      </c>
      <c r="AP147" t="s">
        <v>137</v>
      </c>
      <c r="AQ147"/>
      <c r="AR147"/>
      <c r="AS147"/>
      <c r="AT147" t="s">
        <v>394</v>
      </c>
      <c r="AU147">
        <v>2015</v>
      </c>
      <c r="AV147">
        <v>19</v>
      </c>
      <c r="AW147">
        <v>1</v>
      </c>
      <c r="AX147"/>
      <c r="AY147"/>
      <c r="AZ147"/>
      <c r="BA147"/>
      <c r="BB147">
        <v>93</v>
      </c>
      <c r="BC147">
        <v>103</v>
      </c>
      <c r="BD147"/>
      <c r="BE147" t="s">
        <v>1127</v>
      </c>
      <c r="BF147" t="str">
        <f>HYPERLINK("http://dx.doi.org/10.1111/jiec.12172","http://dx.doi.org/10.1111/jiec.12172")</f>
        <v>http://dx.doi.org/10.1111/jiec.12172</v>
      </c>
      <c r="BG147"/>
      <c r="BH147"/>
      <c r="BI147"/>
      <c r="BJ147" t="s">
        <v>139</v>
      </c>
      <c r="BK147"/>
      <c r="BL147"/>
      <c r="BM147"/>
      <c r="BN147"/>
      <c r="BO147"/>
      <c r="BP147"/>
      <c r="BQ147"/>
      <c r="BR147"/>
      <c r="BS147"/>
      <c r="BT147" t="str">
        <f>HYPERLINK("https%3A%2F%2Fwww.webofscience.com%2Fwos%2Fwoscc%2Ffull-record%2F","View Full Record in Web of Science")</f>
        <v>View Full Record in Web of Science</v>
      </c>
    </row>
    <row r="148" spans="1:72" customHeight="1" ht="12.75">
      <c r="A148" t="s">
        <v>72</v>
      </c>
      <c r="B148" t="s">
        <v>1128</v>
      </c>
      <c r="C148"/>
      <c r="D148"/>
      <c r="E148"/>
      <c r="F148" t="s">
        <v>1129</v>
      </c>
      <c r="G148"/>
      <c r="H148"/>
      <c r="I148" t="s">
        <v>1130</v>
      </c>
      <c r="J148" t="s">
        <v>340</v>
      </c>
      <c r="K148"/>
      <c r="L148"/>
      <c r="M148"/>
      <c r="N148" t="s">
        <v>112</v>
      </c>
      <c r="O148"/>
      <c r="P148"/>
      <c r="Q148"/>
      <c r="R148"/>
      <c r="S148"/>
      <c r="T148" t="s">
        <v>1131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>
        <v>1</v>
      </c>
      <c r="AI148">
        <v>1</v>
      </c>
      <c r="AJ148"/>
      <c r="AK148"/>
      <c r="AL148"/>
      <c r="AM148"/>
      <c r="AN148"/>
      <c r="AO148" t="s">
        <v>343</v>
      </c>
      <c r="AP148"/>
      <c r="AQ148"/>
      <c r="AR148"/>
      <c r="AS148"/>
      <c r="AT148"/>
      <c r="AU148">
        <v>2020</v>
      </c>
      <c r="AV148">
        <v>20</v>
      </c>
      <c r="AW148"/>
      <c r="AX148"/>
      <c r="AY148"/>
      <c r="AZ148"/>
      <c r="BA148"/>
      <c r="BB148">
        <v>195</v>
      </c>
      <c r="BC148">
        <v>203</v>
      </c>
      <c r="BD148"/>
      <c r="BE148" t="s">
        <v>1132</v>
      </c>
      <c r="BF148" t="str">
        <f>HYPERLINK("http://dx.doi.org/10.13128/techne-8176","http://dx.doi.org/10.13128/techne-8176")</f>
        <v>http://dx.doi.org/10.13128/techne-8176</v>
      </c>
      <c r="BG148"/>
      <c r="BH148"/>
      <c r="BI148"/>
      <c r="BJ148" t="s">
        <v>233</v>
      </c>
      <c r="BK148"/>
      <c r="BL148"/>
      <c r="BM148"/>
      <c r="BN148"/>
      <c r="BO148"/>
      <c r="BP148"/>
      <c r="BQ148"/>
      <c r="BR148"/>
      <c r="BS148"/>
      <c r="BT148" t="str">
        <f>HYPERLINK("https%3A%2F%2Fwww.webofscience.com%2Fwos%2Fwoscc%2Ffull-record%2F","View Full Record in Web of Science")</f>
        <v>View Full Record in Web of Science</v>
      </c>
    </row>
    <row r="149" spans="1:72" customHeight="1" ht="12.75">
      <c r="A149" t="s">
        <v>72</v>
      </c>
      <c r="B149" t="s">
        <v>1133</v>
      </c>
      <c r="C149"/>
      <c r="D149"/>
      <c r="E149"/>
      <c r="F149" t="s">
        <v>1134</v>
      </c>
      <c r="G149"/>
      <c r="H149"/>
      <c r="I149" t="s">
        <v>1135</v>
      </c>
      <c r="J149" t="s">
        <v>111</v>
      </c>
      <c r="K149"/>
      <c r="L149"/>
      <c r="M149"/>
      <c r="N149" t="s">
        <v>112</v>
      </c>
      <c r="O149"/>
      <c r="P149"/>
      <c r="Q149"/>
      <c r="R149"/>
      <c r="S149"/>
      <c r="T149" t="s">
        <v>1136</v>
      </c>
      <c r="U149" t="s">
        <v>1137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97</v>
      </c>
      <c r="AI149">
        <v>106</v>
      </c>
      <c r="AJ149"/>
      <c r="AK149"/>
      <c r="AL149"/>
      <c r="AM149"/>
      <c r="AN149"/>
      <c r="AO149" t="s">
        <v>115</v>
      </c>
      <c r="AP149" t="s">
        <v>116</v>
      </c>
      <c r="AQ149"/>
      <c r="AR149"/>
      <c r="AS149"/>
      <c r="AT149" t="s">
        <v>385</v>
      </c>
      <c r="AU149">
        <v>2012</v>
      </c>
      <c r="AV149">
        <v>64</v>
      </c>
      <c r="AW149"/>
      <c r="AX149"/>
      <c r="AY149"/>
      <c r="AZ149" t="s">
        <v>222</v>
      </c>
      <c r="BA149"/>
      <c r="BB149">
        <v>3</v>
      </c>
      <c r="BC149">
        <v>12</v>
      </c>
      <c r="BD149"/>
      <c r="BE149" t="s">
        <v>1138</v>
      </c>
      <c r="BF149" t="str">
        <f>HYPERLINK("http://dx.doi.org/10.1016/j.resconrec.2012.01.014","http://dx.doi.org/10.1016/j.resconrec.2012.01.014")</f>
        <v>http://dx.doi.org/10.1016/j.resconrec.2012.01.014</v>
      </c>
      <c r="BG149"/>
      <c r="BH149"/>
      <c r="BI149"/>
      <c r="BJ149" t="s">
        <v>119</v>
      </c>
      <c r="BK149"/>
      <c r="BL149"/>
      <c r="BM149"/>
      <c r="BN149"/>
      <c r="BO149"/>
      <c r="BP149"/>
      <c r="BQ149"/>
      <c r="BR149"/>
      <c r="BS149"/>
      <c r="BT149" t="str">
        <f>HYPERLINK("https%3A%2F%2Fwww.webofscience.com%2Fwos%2Fwoscc%2Ffull-record%2F","View Full Record in Web of Science")</f>
        <v>View Full Record in Web of Science</v>
      </c>
    </row>
    <row r="150" spans="1:72" customHeight="1" ht="12.75">
      <c r="A150" t="s">
        <v>72</v>
      </c>
      <c r="B150" t="s">
        <v>1139</v>
      </c>
      <c r="C150"/>
      <c r="D150"/>
      <c r="E150"/>
      <c r="F150" t="s">
        <v>1140</v>
      </c>
      <c r="G150"/>
      <c r="H150"/>
      <c r="I150" t="s">
        <v>1141</v>
      </c>
      <c r="J150" t="s">
        <v>457</v>
      </c>
      <c r="K150"/>
      <c r="L150"/>
      <c r="M150"/>
      <c r="N150" t="s">
        <v>112</v>
      </c>
      <c r="O150"/>
      <c r="P150"/>
      <c r="Q150"/>
      <c r="R150"/>
      <c r="S150"/>
      <c r="T150" t="s">
        <v>1142</v>
      </c>
      <c r="U150" t="s">
        <v>1143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>
        <v>4</v>
      </c>
      <c r="AI150">
        <v>4</v>
      </c>
      <c r="AJ150"/>
      <c r="AK150"/>
      <c r="AL150"/>
      <c r="AM150"/>
      <c r="AN150"/>
      <c r="AO150"/>
      <c r="AP150" t="s">
        <v>458</v>
      </c>
      <c r="AQ150"/>
      <c r="AR150"/>
      <c r="AS150"/>
      <c r="AT150" t="s">
        <v>352</v>
      </c>
      <c r="AU150">
        <v>2020</v>
      </c>
      <c r="AV150">
        <v>12</v>
      </c>
      <c r="AW150">
        <v>17</v>
      </c>
      <c r="AX150"/>
      <c r="AY150"/>
      <c r="AZ150"/>
      <c r="BA150"/>
      <c r="BB150"/>
      <c r="BC150"/>
      <c r="BD150">
        <v>7129</v>
      </c>
      <c r="BE150" t="s">
        <v>1144</v>
      </c>
      <c r="BF150" t="str">
        <f>HYPERLINK("http://dx.doi.org/10.3390/su12177129","http://dx.doi.org/10.3390/su12177129")</f>
        <v>http://dx.doi.org/10.3390/su12177129</v>
      </c>
      <c r="BG150"/>
      <c r="BH150"/>
      <c r="BI150"/>
      <c r="BJ150" t="s">
        <v>460</v>
      </c>
      <c r="BK150"/>
      <c r="BL150"/>
      <c r="BM150"/>
      <c r="BN150"/>
      <c r="BO150"/>
      <c r="BP150"/>
      <c r="BQ150"/>
      <c r="BR150"/>
      <c r="BS150"/>
      <c r="BT150" t="str">
        <f>HYPERLINK("https%3A%2F%2Fwww.webofscience.com%2Fwos%2Fwoscc%2Ffull-record%2F","View Full Record in Web of Science")</f>
        <v>View Full Record in Web of Science</v>
      </c>
    </row>
    <row r="151" spans="1:72" customHeight="1" ht="12.75">
      <c r="A151" t="s">
        <v>72</v>
      </c>
      <c r="B151" t="s">
        <v>1145</v>
      </c>
      <c r="C151"/>
      <c r="D151"/>
      <c r="E151"/>
      <c r="F151" t="s">
        <v>1146</v>
      </c>
      <c r="G151"/>
      <c r="H151"/>
      <c r="I151" t="s">
        <v>1147</v>
      </c>
      <c r="J151" t="s">
        <v>1148</v>
      </c>
      <c r="K151"/>
      <c r="L151"/>
      <c r="M151"/>
      <c r="N151" t="s">
        <v>112</v>
      </c>
      <c r="O151"/>
      <c r="P151"/>
      <c r="Q151"/>
      <c r="R151"/>
      <c r="S151"/>
      <c r="T151" t="s">
        <v>1149</v>
      </c>
      <c r="U151" t="s">
        <v>1150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>
        <v>26</v>
      </c>
      <c r="AI151">
        <v>30</v>
      </c>
      <c r="AJ151"/>
      <c r="AK151"/>
      <c r="AL151"/>
      <c r="AM151"/>
      <c r="AN151"/>
      <c r="AO151" t="s">
        <v>1151</v>
      </c>
      <c r="AP151" t="s">
        <v>1152</v>
      </c>
      <c r="AQ151"/>
      <c r="AR151"/>
      <c r="AS151"/>
      <c r="AT151"/>
      <c r="AU151">
        <v>2014</v>
      </c>
      <c r="AV151">
        <v>66</v>
      </c>
      <c r="AW151">
        <v>4</v>
      </c>
      <c r="AX151"/>
      <c r="AY151"/>
      <c r="AZ151"/>
      <c r="BA151"/>
      <c r="BB151">
        <v>664</v>
      </c>
      <c r="BC151">
        <v>675</v>
      </c>
      <c r="BD151"/>
      <c r="BE151" t="s">
        <v>1153</v>
      </c>
      <c r="BF151" t="str">
        <f>HYPERLINK("http://dx.doi.org/10.1080/00330124.2014.905158","http://dx.doi.org/10.1080/00330124.2014.905158")</f>
        <v>http://dx.doi.org/10.1080/00330124.2014.905158</v>
      </c>
      <c r="BG151"/>
      <c r="BH151"/>
      <c r="BI151"/>
      <c r="BJ151" t="s">
        <v>83</v>
      </c>
      <c r="BK151"/>
      <c r="BL151"/>
      <c r="BM151"/>
      <c r="BN151"/>
      <c r="BO151"/>
      <c r="BP151"/>
      <c r="BQ151"/>
      <c r="BR151"/>
      <c r="BS151"/>
      <c r="BT151" t="str">
        <f>HYPERLINK("https%3A%2F%2Fwww.webofscience.com%2Fwos%2Fwoscc%2Ffull-record%2F","View Full Record in Web of Science")</f>
        <v>View Full Record in Web of Science</v>
      </c>
    </row>
    <row r="152" spans="1:72" customHeight="1" ht="12.75">
      <c r="A152" t="s">
        <v>72</v>
      </c>
      <c r="B152" t="s">
        <v>1154</v>
      </c>
      <c r="C152"/>
      <c r="D152"/>
      <c r="E152"/>
      <c r="F152" t="s">
        <v>1155</v>
      </c>
      <c r="G152"/>
      <c r="H152"/>
      <c r="I152" t="s">
        <v>1156</v>
      </c>
      <c r="J152" t="s">
        <v>1157</v>
      </c>
      <c r="K152"/>
      <c r="L152"/>
      <c r="M152"/>
      <c r="N152" t="s">
        <v>112</v>
      </c>
      <c r="O152"/>
      <c r="P152"/>
      <c r="Q152"/>
      <c r="R152"/>
      <c r="S152"/>
      <c r="T152" t="s">
        <v>1158</v>
      </c>
      <c r="U152" t="s">
        <v>1159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>
        <v>18</v>
      </c>
      <c r="AI152">
        <v>20</v>
      </c>
      <c r="AJ152"/>
      <c r="AK152"/>
      <c r="AL152"/>
      <c r="AM152"/>
      <c r="AN152"/>
      <c r="AO152" t="s">
        <v>1160</v>
      </c>
      <c r="AP152" t="s">
        <v>1161</v>
      </c>
      <c r="AQ152"/>
      <c r="AR152"/>
      <c r="AS152"/>
      <c r="AT152" t="s">
        <v>198</v>
      </c>
      <c r="AU152">
        <v>2017</v>
      </c>
      <c r="AV152">
        <v>101</v>
      </c>
      <c r="AW152"/>
      <c r="AX152"/>
      <c r="AY152"/>
      <c r="AZ152"/>
      <c r="BA152"/>
      <c r="BB152">
        <v>157</v>
      </c>
      <c r="BC152">
        <v>165</v>
      </c>
      <c r="BD152"/>
      <c r="BE152" t="s">
        <v>1162</v>
      </c>
      <c r="BF152" t="str">
        <f>HYPERLINK("http://dx.doi.org/10.1016/j.pce.2017.01.024","http://dx.doi.org/10.1016/j.pce.2017.01.024")</f>
        <v>http://dx.doi.org/10.1016/j.pce.2017.01.024</v>
      </c>
      <c r="BG152"/>
      <c r="BH152"/>
      <c r="BI152"/>
      <c r="BJ152" t="s">
        <v>1163</v>
      </c>
      <c r="BK152"/>
      <c r="BL152"/>
      <c r="BM152"/>
      <c r="BN152"/>
      <c r="BO152"/>
      <c r="BP152"/>
      <c r="BQ152"/>
      <c r="BR152"/>
      <c r="BS152"/>
      <c r="BT152" t="str">
        <f>HYPERLINK("https%3A%2F%2Fwww.webofscience.com%2Fwos%2Fwoscc%2Ffull-record%2F","View Full Record in Web of Science")</f>
        <v>View Full Record in Web of Science</v>
      </c>
    </row>
    <row r="153" spans="1:72" customHeight="1" ht="12.75">
      <c r="A153" t="s">
        <v>72</v>
      </c>
      <c r="B153" t="s">
        <v>1164</v>
      </c>
      <c r="C153"/>
      <c r="D153"/>
      <c r="E153"/>
      <c r="F153" t="s">
        <v>1165</v>
      </c>
      <c r="G153"/>
      <c r="H153"/>
      <c r="I153" t="s">
        <v>1166</v>
      </c>
      <c r="J153" t="s">
        <v>1167</v>
      </c>
      <c r="K153"/>
      <c r="L153"/>
      <c r="M153"/>
      <c r="N153" t="s">
        <v>112</v>
      </c>
      <c r="O153"/>
      <c r="P153"/>
      <c r="Q153"/>
      <c r="R153"/>
      <c r="S153"/>
      <c r="T153" t="s">
        <v>1168</v>
      </c>
      <c r="U153" t="s">
        <v>1169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>
        <v>2</v>
      </c>
      <c r="AI153">
        <v>2</v>
      </c>
      <c r="AJ153"/>
      <c r="AK153"/>
      <c r="AL153"/>
      <c r="AM153"/>
      <c r="AN153"/>
      <c r="AO153" t="s">
        <v>1170</v>
      </c>
      <c r="AP153" t="s">
        <v>1171</v>
      </c>
      <c r="AQ153"/>
      <c r="AR153"/>
      <c r="AS153"/>
      <c r="AT153" t="s">
        <v>385</v>
      </c>
      <c r="AU153">
        <v>2020</v>
      </c>
      <c r="AV153">
        <v>11</v>
      </c>
      <c r="AW153"/>
      <c r="AX153"/>
      <c r="AY153"/>
      <c r="AZ153"/>
      <c r="BA153"/>
      <c r="BB153">
        <v>103</v>
      </c>
      <c r="BC153">
        <v>120</v>
      </c>
      <c r="BD153"/>
      <c r="BE153" t="s">
        <v>1172</v>
      </c>
      <c r="BF153" t="str">
        <f>HYPERLINK("http://dx.doi.org/10.31025/2611-4135/2020.13975","http://dx.doi.org/10.31025/2611-4135/2020.13975")</f>
        <v>http://dx.doi.org/10.31025/2611-4135/2020.13975</v>
      </c>
      <c r="BG153"/>
      <c r="BH153"/>
      <c r="BI153"/>
      <c r="BJ153" t="s">
        <v>1173</v>
      </c>
      <c r="BK153"/>
      <c r="BL153"/>
      <c r="BM153"/>
      <c r="BN153"/>
      <c r="BO153"/>
      <c r="BP153"/>
      <c r="BQ153"/>
      <c r="BR153"/>
      <c r="BS153"/>
      <c r="BT153" t="str">
        <f>HYPERLINK("https%3A%2F%2Fwww.webofscience.com%2Fwos%2Fwoscc%2Ffull-record%2F","View Full Record in Web of Science")</f>
        <v>View Full Record in Web of Science</v>
      </c>
    </row>
    <row r="154" spans="1:72" customHeight="1" ht="12.75">
      <c r="A154" t="s">
        <v>72</v>
      </c>
      <c r="B154" t="s">
        <v>1174</v>
      </c>
      <c r="C154"/>
      <c r="D154"/>
      <c r="E154"/>
      <c r="F154" t="s">
        <v>1175</v>
      </c>
      <c r="G154"/>
      <c r="H154"/>
      <c r="I154" t="s">
        <v>1176</v>
      </c>
      <c r="J154" t="s">
        <v>1177</v>
      </c>
      <c r="K154"/>
      <c r="L154"/>
      <c r="M154"/>
      <c r="N154" t="s">
        <v>112</v>
      </c>
      <c r="O154"/>
      <c r="P154"/>
      <c r="Q154"/>
      <c r="R154"/>
      <c r="S154"/>
      <c r="T154" t="s">
        <v>1178</v>
      </c>
      <c r="U154" t="s">
        <v>1179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8</v>
      </c>
      <c r="AI154">
        <v>8</v>
      </c>
      <c r="AJ154"/>
      <c r="AK154"/>
      <c r="AL154"/>
      <c r="AM154"/>
      <c r="AN154"/>
      <c r="AO154" t="s">
        <v>1180</v>
      </c>
      <c r="AP154" t="s">
        <v>1181</v>
      </c>
      <c r="AQ154"/>
      <c r="AR154"/>
      <c r="AS154"/>
      <c r="AT154" t="s">
        <v>1182</v>
      </c>
      <c r="AU154">
        <v>2019</v>
      </c>
      <c r="AV154">
        <v>79</v>
      </c>
      <c r="AW154">
        <v>9</v>
      </c>
      <c r="AX154"/>
      <c r="AY154"/>
      <c r="AZ154"/>
      <c r="BA154"/>
      <c r="BB154">
        <v>1627</v>
      </c>
      <c r="BC154">
        <v>1638</v>
      </c>
      <c r="BD154"/>
      <c r="BE154" t="s">
        <v>1183</v>
      </c>
      <c r="BF154" t="str">
        <f>HYPERLINK("http://dx.doi.org/10.2166/wst.2019.139","http://dx.doi.org/10.2166/wst.2019.139")</f>
        <v>http://dx.doi.org/10.2166/wst.2019.139</v>
      </c>
      <c r="BG154"/>
      <c r="BH154"/>
      <c r="BI154"/>
      <c r="BJ154" t="s">
        <v>1184</v>
      </c>
      <c r="BK154"/>
      <c r="BL154"/>
      <c r="BM154"/>
      <c r="BN154"/>
      <c r="BO154"/>
      <c r="BP154"/>
      <c r="BQ154"/>
      <c r="BR154"/>
      <c r="BS154"/>
      <c r="BT154" t="str">
        <f>HYPERLINK("https%3A%2F%2Fwww.webofscience.com%2Fwos%2Fwoscc%2Ffull-record%2F","View Full Record in Web of Science")</f>
        <v>View Full Record in Web of Science</v>
      </c>
    </row>
    <row r="155" spans="1:72" customHeight="1" ht="12.75">
      <c r="A155" t="s">
        <v>72</v>
      </c>
      <c r="B155" t="s">
        <v>1185</v>
      </c>
      <c r="C155"/>
      <c r="D155"/>
      <c r="E155"/>
      <c r="F155" t="s">
        <v>1186</v>
      </c>
      <c r="G155"/>
      <c r="H155"/>
      <c r="I155" t="s">
        <v>1187</v>
      </c>
      <c r="J155" t="s">
        <v>133</v>
      </c>
      <c r="K155"/>
      <c r="L155"/>
      <c r="M155"/>
      <c r="N155" t="s">
        <v>112</v>
      </c>
      <c r="O155"/>
      <c r="P155"/>
      <c r="Q155"/>
      <c r="R155"/>
      <c r="S155"/>
      <c r="T155" t="s">
        <v>1188</v>
      </c>
      <c r="U155" t="s">
        <v>1189</v>
      </c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8</v>
      </c>
      <c r="AI155">
        <v>10</v>
      </c>
      <c r="AJ155"/>
      <c r="AK155"/>
      <c r="AL155"/>
      <c r="AM155"/>
      <c r="AN155"/>
      <c r="AO155" t="s">
        <v>136</v>
      </c>
      <c r="AP155" t="s">
        <v>137</v>
      </c>
      <c r="AQ155"/>
      <c r="AR155"/>
      <c r="AS155"/>
      <c r="AT155" t="s">
        <v>145</v>
      </c>
      <c r="AU155">
        <v>2020</v>
      </c>
      <c r="AV155">
        <v>24</v>
      </c>
      <c r="AW155">
        <v>2</v>
      </c>
      <c r="AX155"/>
      <c r="AY155"/>
      <c r="AZ155" t="s">
        <v>222</v>
      </c>
      <c r="BA155"/>
      <c r="BB155">
        <v>300</v>
      </c>
      <c r="BC155">
        <v>312</v>
      </c>
      <c r="BD155"/>
      <c r="BE155" t="s">
        <v>1190</v>
      </c>
      <c r="BF155" t="str">
        <f>HYPERLINK("http://dx.doi.org/10.1111/jiec.12919","http://dx.doi.org/10.1111/jiec.12919")</f>
        <v>http://dx.doi.org/10.1111/jiec.12919</v>
      </c>
      <c r="BG155"/>
      <c r="BH155"/>
      <c r="BI155"/>
      <c r="BJ155" t="s">
        <v>139</v>
      </c>
      <c r="BK155"/>
      <c r="BL155"/>
      <c r="BM155"/>
      <c r="BN155"/>
      <c r="BO155"/>
      <c r="BP155"/>
      <c r="BQ155"/>
      <c r="BR155"/>
      <c r="BS155"/>
      <c r="BT155" t="str">
        <f>HYPERLINK("https%3A%2F%2Fwww.webofscience.com%2Fwos%2Fwoscc%2Ffull-record%2F","View Full Record in Web of Science")</f>
        <v>View Full Record in Web of Science</v>
      </c>
    </row>
    <row r="156" spans="1:72" customHeight="1" ht="12.75">
      <c r="A156" t="s">
        <v>72</v>
      </c>
      <c r="B156" t="s">
        <v>1191</v>
      </c>
      <c r="C156"/>
      <c r="D156"/>
      <c r="E156"/>
      <c r="F156" t="s">
        <v>1192</v>
      </c>
      <c r="G156"/>
      <c r="H156"/>
      <c r="I156" t="s">
        <v>1193</v>
      </c>
      <c r="J156" t="s">
        <v>133</v>
      </c>
      <c r="K156"/>
      <c r="L156"/>
      <c r="M156"/>
      <c r="N156" t="s">
        <v>112</v>
      </c>
      <c r="O156"/>
      <c r="P156"/>
      <c r="Q156"/>
      <c r="R156"/>
      <c r="S156"/>
      <c r="T156" t="s">
        <v>1194</v>
      </c>
      <c r="U156" t="s">
        <v>1195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>
        <v>14</v>
      </c>
      <c r="AI156">
        <v>18</v>
      </c>
      <c r="AJ156"/>
      <c r="AK156"/>
      <c r="AL156"/>
      <c r="AM156"/>
      <c r="AN156"/>
      <c r="AO156" t="s">
        <v>136</v>
      </c>
      <c r="AP156" t="s">
        <v>137</v>
      </c>
      <c r="AQ156"/>
      <c r="AR156"/>
      <c r="AS156"/>
      <c r="AT156" t="s">
        <v>198</v>
      </c>
      <c r="AU156">
        <v>2019</v>
      </c>
      <c r="AV156">
        <v>23</v>
      </c>
      <c r="AW156">
        <v>5</v>
      </c>
      <c r="AX156"/>
      <c r="AY156"/>
      <c r="AZ156"/>
      <c r="BA156"/>
      <c r="BB156">
        <v>1062</v>
      </c>
      <c r="BC156">
        <v>1076</v>
      </c>
      <c r="BD156"/>
      <c r="BE156" t="s">
        <v>1196</v>
      </c>
      <c r="BF156" t="str">
        <f>HYPERLINK("http://dx.doi.org/10.1111/jiec.12844","http://dx.doi.org/10.1111/jiec.12844")</f>
        <v>http://dx.doi.org/10.1111/jiec.12844</v>
      </c>
      <c r="BG156"/>
      <c r="BH156"/>
      <c r="BI156"/>
      <c r="BJ156" t="s">
        <v>139</v>
      </c>
      <c r="BK156"/>
      <c r="BL156"/>
      <c r="BM156"/>
      <c r="BN156"/>
      <c r="BO156"/>
      <c r="BP156"/>
      <c r="BQ156"/>
      <c r="BR156"/>
      <c r="BS156"/>
      <c r="BT156" t="str">
        <f>HYPERLINK("https%3A%2F%2Fwww.webofscience.com%2Fwos%2Fwoscc%2Ffull-record%2F","View Full Record in Web of Science")</f>
        <v>View Full Record in Web of Science</v>
      </c>
    </row>
    <row r="157" spans="1:72" customHeight="1" ht="12.75">
      <c r="A157" t="s">
        <v>72</v>
      </c>
      <c r="B157" t="s">
        <v>1197</v>
      </c>
      <c r="C157"/>
      <c r="D157"/>
      <c r="E157"/>
      <c r="F157" t="s">
        <v>1198</v>
      </c>
      <c r="G157"/>
      <c r="H157"/>
      <c r="I157" t="s">
        <v>1199</v>
      </c>
      <c r="J157" t="s">
        <v>587</v>
      </c>
      <c r="K157"/>
      <c r="L157"/>
      <c r="M157"/>
      <c r="N157" t="s">
        <v>112</v>
      </c>
      <c r="O157"/>
      <c r="P157"/>
      <c r="Q157"/>
      <c r="R157"/>
      <c r="S157"/>
      <c r="T157" t="s">
        <v>1200</v>
      </c>
      <c r="U157" t="s">
        <v>1201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>
        <v>42</v>
      </c>
      <c r="AI157">
        <v>49</v>
      </c>
      <c r="AJ157"/>
      <c r="AK157"/>
      <c r="AL157"/>
      <c r="AM157"/>
      <c r="AN157"/>
      <c r="AO157" t="s">
        <v>590</v>
      </c>
      <c r="AP157" t="s">
        <v>591</v>
      </c>
      <c r="AQ157"/>
      <c r="AR157"/>
      <c r="AS157"/>
      <c r="AT157" t="s">
        <v>688</v>
      </c>
      <c r="AU157">
        <v>2016</v>
      </c>
      <c r="AV157">
        <v>133</v>
      </c>
      <c r="AW157"/>
      <c r="AX157"/>
      <c r="AY157"/>
      <c r="AZ157"/>
      <c r="BA157"/>
      <c r="BB157">
        <v>391</v>
      </c>
      <c r="BC157">
        <v>401</v>
      </c>
      <c r="BD157"/>
      <c r="BE157" t="s">
        <v>1202</v>
      </c>
      <c r="BF157" t="str">
        <f>HYPERLINK("http://dx.doi.org/10.1016/j.jclepro.2016.05.174","http://dx.doi.org/10.1016/j.jclepro.2016.05.174")</f>
        <v>http://dx.doi.org/10.1016/j.jclepro.2016.05.174</v>
      </c>
      <c r="BG157"/>
      <c r="BH157"/>
      <c r="BI157"/>
      <c r="BJ157" t="s">
        <v>139</v>
      </c>
      <c r="BK157"/>
      <c r="BL157"/>
      <c r="BM157"/>
      <c r="BN157"/>
      <c r="BO157"/>
      <c r="BP157"/>
      <c r="BQ157"/>
      <c r="BR157"/>
      <c r="BS157"/>
      <c r="BT157" t="str">
        <f>HYPERLINK("https%3A%2F%2Fwww.webofscience.com%2Fwos%2Fwoscc%2Ffull-record%2F","View Full Record in Web of Science")</f>
        <v>View Full Record in Web of Science</v>
      </c>
    </row>
    <row r="158" spans="1:72" customHeight="1" ht="12.75">
      <c r="A158" t="s">
        <v>72</v>
      </c>
      <c r="B158" t="s">
        <v>1203</v>
      </c>
      <c r="C158"/>
      <c r="D158"/>
      <c r="E158"/>
      <c r="F158" t="s">
        <v>1204</v>
      </c>
      <c r="G158"/>
      <c r="H158"/>
      <c r="I158" t="s">
        <v>1205</v>
      </c>
      <c r="J158" t="s">
        <v>1206</v>
      </c>
      <c r="K158"/>
      <c r="L158"/>
      <c r="M158"/>
      <c r="N158" t="s">
        <v>112</v>
      </c>
      <c r="O158"/>
      <c r="P158"/>
      <c r="Q158"/>
      <c r="R158"/>
      <c r="S158"/>
      <c r="T158" t="s">
        <v>1207</v>
      </c>
      <c r="U158" t="s">
        <v>1208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9</v>
      </c>
      <c r="AI158">
        <v>9</v>
      </c>
      <c r="AJ158"/>
      <c r="AK158"/>
      <c r="AL158"/>
      <c r="AM158"/>
      <c r="AN158"/>
      <c r="AO158" t="s">
        <v>1209</v>
      </c>
      <c r="AP158"/>
      <c r="AQ158"/>
      <c r="AR158"/>
      <c r="AS158"/>
      <c r="AT158"/>
      <c r="AU158">
        <v>2014</v>
      </c>
      <c r="AV158">
        <v>5</v>
      </c>
      <c r="AW158">
        <v>2</v>
      </c>
      <c r="AX158"/>
      <c r="AY158"/>
      <c r="AZ158"/>
      <c r="BA158"/>
      <c r="BB158">
        <v>163</v>
      </c>
      <c r="BC158">
        <v>175</v>
      </c>
      <c r="BD158"/>
      <c r="BE158" t="s">
        <v>1210</v>
      </c>
      <c r="BF158" t="str">
        <f>HYPERLINK("http://dx.doi.org/10.2166/wcc.2013.188","http://dx.doi.org/10.2166/wcc.2013.188")</f>
        <v>http://dx.doi.org/10.2166/wcc.2013.188</v>
      </c>
      <c r="BG158"/>
      <c r="BH158"/>
      <c r="BI158"/>
      <c r="BJ158" t="s">
        <v>1211</v>
      </c>
      <c r="BK158"/>
      <c r="BL158"/>
      <c r="BM158"/>
      <c r="BN158"/>
      <c r="BO158"/>
      <c r="BP158"/>
      <c r="BQ158"/>
      <c r="BR158"/>
      <c r="BS158"/>
      <c r="BT158" t="str">
        <f>HYPERLINK("https%3A%2F%2Fwww.webofscience.com%2Fwos%2Fwoscc%2Ffull-record%2F","View Full Record in Web of Science")</f>
        <v>View Full Record in Web of Science</v>
      </c>
    </row>
    <row r="159" spans="1:72" customHeight="1" ht="12.75">
      <c r="A159" t="s">
        <v>72</v>
      </c>
      <c r="B159" t="s">
        <v>1212</v>
      </c>
      <c r="C159"/>
      <c r="D159"/>
      <c r="E159"/>
      <c r="F159" t="s">
        <v>1213</v>
      </c>
      <c r="G159"/>
      <c r="H159"/>
      <c r="I159" t="s">
        <v>1214</v>
      </c>
      <c r="J159" t="s">
        <v>1215</v>
      </c>
      <c r="K159"/>
      <c r="L159"/>
      <c r="M159"/>
      <c r="N159" t="s">
        <v>112</v>
      </c>
      <c r="O159"/>
      <c r="P159"/>
      <c r="Q159"/>
      <c r="R159"/>
      <c r="S159"/>
      <c r="T159" t="s">
        <v>1216</v>
      </c>
      <c r="U159" t="s">
        <v>1217</v>
      </c>
      <c r="V159"/>
      <c r="W159"/>
      <c r="X159"/>
      <c r="Y159"/>
      <c r="Z159"/>
      <c r="AA159"/>
      <c r="AB159"/>
      <c r="AC159"/>
      <c r="AD159"/>
      <c r="AE159"/>
      <c r="AF159"/>
      <c r="AG159"/>
      <c r="AH159">
        <v>8</v>
      </c>
      <c r="AI159">
        <v>8</v>
      </c>
      <c r="AJ159"/>
      <c r="AK159"/>
      <c r="AL159"/>
      <c r="AM159"/>
      <c r="AN159"/>
      <c r="AO159" t="s">
        <v>1218</v>
      </c>
      <c r="AP159" t="s">
        <v>1219</v>
      </c>
      <c r="AQ159"/>
      <c r="AR159"/>
      <c r="AS159"/>
      <c r="AT159" t="s">
        <v>394</v>
      </c>
      <c r="AU159">
        <v>2015</v>
      </c>
      <c r="AV159">
        <v>25</v>
      </c>
      <c r="AW159">
        <v>1</v>
      </c>
      <c r="AX159"/>
      <c r="AY159"/>
      <c r="AZ159"/>
      <c r="BA159"/>
      <c r="BB159">
        <v>113</v>
      </c>
      <c r="BC159">
        <v>123</v>
      </c>
      <c r="BD159"/>
      <c r="BE159" t="s">
        <v>1220</v>
      </c>
      <c r="BF159" t="str">
        <f>HYPERLINK("http://dx.doi.org/10.1007/s11769-014-0680-7","http://dx.doi.org/10.1007/s11769-014-0680-7")</f>
        <v>http://dx.doi.org/10.1007/s11769-014-0680-7</v>
      </c>
      <c r="BG159"/>
      <c r="BH159"/>
      <c r="BI159"/>
      <c r="BJ159" t="s">
        <v>224</v>
      </c>
      <c r="BK159"/>
      <c r="BL159"/>
      <c r="BM159"/>
      <c r="BN159"/>
      <c r="BO159"/>
      <c r="BP159"/>
      <c r="BQ159"/>
      <c r="BR159"/>
      <c r="BS159"/>
      <c r="BT159" t="str">
        <f>HYPERLINK("https%3A%2F%2Fwww.webofscience.com%2Fwos%2Fwoscc%2Ffull-record%2F","View Full Record in Web of Science")</f>
        <v>View Full Record in Web of Science</v>
      </c>
    </row>
    <row r="160" spans="1:72" customHeight="1" ht="12.75">
      <c r="A160" t="s">
        <v>72</v>
      </c>
      <c r="B160" t="s">
        <v>1221</v>
      </c>
      <c r="C160"/>
      <c r="D160"/>
      <c r="E160"/>
      <c r="F160" t="s">
        <v>1222</v>
      </c>
      <c r="G160"/>
      <c r="H160"/>
      <c r="I160" t="s">
        <v>1223</v>
      </c>
      <c r="J160" t="s">
        <v>133</v>
      </c>
      <c r="K160"/>
      <c r="L160"/>
      <c r="M160"/>
      <c r="N160" t="s">
        <v>112</v>
      </c>
      <c r="O160"/>
      <c r="P160"/>
      <c r="Q160"/>
      <c r="R160"/>
      <c r="S160"/>
      <c r="T160" t="s">
        <v>1224</v>
      </c>
      <c r="U160" t="s">
        <v>1225</v>
      </c>
      <c r="V160"/>
      <c r="W160"/>
      <c r="X160"/>
      <c r="Y160"/>
      <c r="Z160"/>
      <c r="AA160"/>
      <c r="AB160"/>
      <c r="AC160"/>
      <c r="AD160"/>
      <c r="AE160"/>
      <c r="AF160"/>
      <c r="AG160"/>
      <c r="AH160">
        <v>17</v>
      </c>
      <c r="AI160">
        <v>20</v>
      </c>
      <c r="AJ160"/>
      <c r="AK160"/>
      <c r="AL160"/>
      <c r="AM160"/>
      <c r="AN160"/>
      <c r="AO160" t="s">
        <v>136</v>
      </c>
      <c r="AP160" t="s">
        <v>137</v>
      </c>
      <c r="AQ160"/>
      <c r="AR160"/>
      <c r="AS160"/>
      <c r="AT160" t="s">
        <v>128</v>
      </c>
      <c r="AU160">
        <v>2012</v>
      </c>
      <c r="AV160">
        <v>16</v>
      </c>
      <c r="AW160">
        <v>6</v>
      </c>
      <c r="AX160"/>
      <c r="AY160"/>
      <c r="AZ160" t="s">
        <v>222</v>
      </c>
      <c r="BA160"/>
      <c r="BB160">
        <v>862</v>
      </c>
      <c r="BC160">
        <v>874</v>
      </c>
      <c r="BD160"/>
      <c r="BE160" t="s">
        <v>1226</v>
      </c>
      <c r="BF160" t="str">
        <f>HYPERLINK("http://dx.doi.org/10.1111/j.1530-9290.2012.00567.x","http://dx.doi.org/10.1111/j.1530-9290.2012.00567.x")</f>
        <v>http://dx.doi.org/10.1111/j.1530-9290.2012.00567.x</v>
      </c>
      <c r="BG160"/>
      <c r="BH160"/>
      <c r="BI160"/>
      <c r="BJ160" t="s">
        <v>139</v>
      </c>
      <c r="BK160"/>
      <c r="BL160"/>
      <c r="BM160"/>
      <c r="BN160"/>
      <c r="BO160"/>
      <c r="BP160"/>
      <c r="BQ160"/>
      <c r="BR160"/>
      <c r="BS160"/>
      <c r="BT160" t="str">
        <f>HYPERLINK("https%3A%2F%2Fwww.webofscience.com%2Fwos%2Fwoscc%2Ffull-record%2F","View Full Record in Web of Science")</f>
        <v>View Full Record in Web of Science</v>
      </c>
    </row>
    <row r="161" spans="1:72" customHeight="1" ht="12.75">
      <c r="A161" t="s">
        <v>72</v>
      </c>
      <c r="B161" t="s">
        <v>1227</v>
      </c>
      <c r="C161"/>
      <c r="D161"/>
      <c r="E161"/>
      <c r="F161" t="s">
        <v>1228</v>
      </c>
      <c r="G161"/>
      <c r="H161"/>
      <c r="I161" t="s">
        <v>1229</v>
      </c>
      <c r="J161" t="s">
        <v>1230</v>
      </c>
      <c r="K161"/>
      <c r="L161"/>
      <c r="M161"/>
      <c r="N161" t="s">
        <v>77</v>
      </c>
      <c r="O161"/>
      <c r="P161"/>
      <c r="Q161"/>
      <c r="R161"/>
      <c r="S161"/>
      <c r="T161" t="s">
        <v>1231</v>
      </c>
      <c r="U161" t="s">
        <v>1232</v>
      </c>
      <c r="V161"/>
      <c r="W161"/>
      <c r="X161"/>
      <c r="Y161"/>
      <c r="Z161"/>
      <c r="AA161"/>
      <c r="AB161"/>
      <c r="AC161"/>
      <c r="AD161"/>
      <c r="AE161"/>
      <c r="AF161"/>
      <c r="AG161"/>
      <c r="AH161">
        <v>3</v>
      </c>
      <c r="AI161">
        <v>3</v>
      </c>
      <c r="AJ161"/>
      <c r="AK161"/>
      <c r="AL161"/>
      <c r="AM161"/>
      <c r="AN161"/>
      <c r="AO161"/>
      <c r="AP161" t="s">
        <v>1233</v>
      </c>
      <c r="AQ161"/>
      <c r="AR161"/>
      <c r="AS161"/>
      <c r="AT161" t="s">
        <v>404</v>
      </c>
      <c r="AU161">
        <v>2023</v>
      </c>
      <c r="AV161">
        <v>10</v>
      </c>
      <c r="AW161">
        <v>1</v>
      </c>
      <c r="AX161"/>
      <c r="AY161"/>
      <c r="AZ161"/>
      <c r="BA161"/>
      <c r="BB161"/>
      <c r="BC161"/>
      <c r="BD161">
        <v>13</v>
      </c>
      <c r="BE161" t="s">
        <v>1234</v>
      </c>
      <c r="BF161" t="str">
        <f>HYPERLINK("http://dx.doi.org/10.3390/environments10010013","http://dx.doi.org/10.3390/environments10010013")</f>
        <v>http://dx.doi.org/10.3390/environments10010013</v>
      </c>
      <c r="BG161"/>
      <c r="BH161"/>
      <c r="BI161"/>
      <c r="BJ161" t="s">
        <v>224</v>
      </c>
      <c r="BK161"/>
      <c r="BL161"/>
      <c r="BM161"/>
      <c r="BN161"/>
      <c r="BO161"/>
      <c r="BP161"/>
      <c r="BQ161"/>
      <c r="BR161"/>
      <c r="BS161"/>
      <c r="BT161" t="str">
        <f>HYPERLINK("https%3A%2F%2Fwww.webofscience.com%2Fwos%2Fwoscc%2Ffull-record%2F","View Full Record in Web of Science")</f>
        <v>View Full Record in Web of Science</v>
      </c>
    </row>
    <row r="162" spans="1:72" customHeight="1" ht="12.75">
      <c r="A162" t="s">
        <v>72</v>
      </c>
      <c r="B162" t="s">
        <v>982</v>
      </c>
      <c r="C162"/>
      <c r="D162"/>
      <c r="E162"/>
      <c r="F162" t="s">
        <v>983</v>
      </c>
      <c r="G162"/>
      <c r="H162"/>
      <c r="I162" t="s">
        <v>1235</v>
      </c>
      <c r="J162" t="s">
        <v>133</v>
      </c>
      <c r="K162"/>
      <c r="L162"/>
      <c r="M162"/>
      <c r="N162" t="s">
        <v>112</v>
      </c>
      <c r="O162"/>
      <c r="P162"/>
      <c r="Q162"/>
      <c r="R162"/>
      <c r="S162"/>
      <c r="T162" t="s">
        <v>1236</v>
      </c>
      <c r="U162" t="s">
        <v>1237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>
        <v>5</v>
      </c>
      <c r="AI162">
        <v>5</v>
      </c>
      <c r="AJ162"/>
      <c r="AK162"/>
      <c r="AL162"/>
      <c r="AM162"/>
      <c r="AN162"/>
      <c r="AO162" t="s">
        <v>136</v>
      </c>
      <c r="AP162" t="s">
        <v>137</v>
      </c>
      <c r="AQ162"/>
      <c r="AR162"/>
      <c r="AS162"/>
      <c r="AT162" t="s">
        <v>145</v>
      </c>
      <c r="AU162">
        <v>2017</v>
      </c>
      <c r="AV162">
        <v>21</v>
      </c>
      <c r="AW162">
        <v>2</v>
      </c>
      <c r="AX162"/>
      <c r="AY162"/>
      <c r="AZ162"/>
      <c r="BA162"/>
      <c r="BB162">
        <v>282</v>
      </c>
      <c r="BC162">
        <v>293</v>
      </c>
      <c r="BD162"/>
      <c r="BE162" t="s">
        <v>1238</v>
      </c>
      <c r="BF162" t="str">
        <f>HYPERLINK("http://dx.doi.org/10.1111/jiec.12429","http://dx.doi.org/10.1111/jiec.12429")</f>
        <v>http://dx.doi.org/10.1111/jiec.12429</v>
      </c>
      <c r="BG162"/>
      <c r="BH162"/>
      <c r="BI162"/>
      <c r="BJ162" t="s">
        <v>139</v>
      </c>
      <c r="BK162"/>
      <c r="BL162"/>
      <c r="BM162"/>
      <c r="BN162"/>
      <c r="BO162"/>
      <c r="BP162"/>
      <c r="BQ162"/>
      <c r="BR162"/>
      <c r="BS162"/>
      <c r="BT162" t="str">
        <f>HYPERLINK("https%3A%2F%2Fwww.webofscience.com%2Fwos%2Fwoscc%2Ffull-record%2F","View Full Record in Web of Science")</f>
        <v>View Full Record in Web of Science</v>
      </c>
    </row>
    <row r="163" spans="1:72" customHeight="1" ht="12.75">
      <c r="A163" t="s">
        <v>72</v>
      </c>
      <c r="B163" t="s">
        <v>396</v>
      </c>
      <c r="C163"/>
      <c r="D163"/>
      <c r="E163"/>
      <c r="F163" t="s">
        <v>397</v>
      </c>
      <c r="G163"/>
      <c r="H163"/>
      <c r="I163" t="s">
        <v>1239</v>
      </c>
      <c r="J163" t="s">
        <v>133</v>
      </c>
      <c r="K163"/>
      <c r="L163"/>
      <c r="M163"/>
      <c r="N163" t="s">
        <v>112</v>
      </c>
      <c r="O163"/>
      <c r="P163"/>
      <c r="Q163"/>
      <c r="R163"/>
      <c r="S163"/>
      <c r="T163" t="s">
        <v>1240</v>
      </c>
      <c r="U163" t="s">
        <v>1241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>
        <v>48</v>
      </c>
      <c r="AI163">
        <v>52</v>
      </c>
      <c r="AJ163"/>
      <c r="AK163"/>
      <c r="AL163"/>
      <c r="AM163"/>
      <c r="AN163"/>
      <c r="AO163" t="s">
        <v>136</v>
      </c>
      <c r="AP163"/>
      <c r="AQ163"/>
      <c r="AR163"/>
      <c r="AS163"/>
      <c r="AT163" t="s">
        <v>362</v>
      </c>
      <c r="AU163">
        <v>2011</v>
      </c>
      <c r="AV163">
        <v>15</v>
      </c>
      <c r="AW163">
        <v>3</v>
      </c>
      <c r="AX163"/>
      <c r="AY163"/>
      <c r="AZ163"/>
      <c r="BA163"/>
      <c r="BB163">
        <v>420</v>
      </c>
      <c r="BC163">
        <v>434</v>
      </c>
      <c r="BD163"/>
      <c r="BE163" t="s">
        <v>1242</v>
      </c>
      <c r="BF163" t="str">
        <f>HYPERLINK("http://dx.doi.org/10.1111/j.1530-9290.2011.00343.x","http://dx.doi.org/10.1111/j.1530-9290.2011.00343.x")</f>
        <v>http://dx.doi.org/10.1111/j.1530-9290.2011.00343.x</v>
      </c>
      <c r="BG163"/>
      <c r="BH163"/>
      <c r="BI163"/>
      <c r="BJ163" t="s">
        <v>139</v>
      </c>
      <c r="BK163"/>
      <c r="BL163"/>
      <c r="BM163"/>
      <c r="BN163"/>
      <c r="BO163"/>
      <c r="BP163"/>
      <c r="BQ163"/>
      <c r="BR163"/>
      <c r="BS163"/>
      <c r="BT163" t="str">
        <f>HYPERLINK("https%3A%2F%2Fwww.webofscience.com%2Fwos%2Fwoscc%2Ffull-record%2F","View Full Record in Web of Science")</f>
        <v>View Full Record in Web of Science</v>
      </c>
    </row>
    <row r="164" spans="1:72" customHeight="1" ht="12.75">
      <c r="A164" t="s">
        <v>72</v>
      </c>
      <c r="B164" t="s">
        <v>1243</v>
      </c>
      <c r="C164"/>
      <c r="D164"/>
      <c r="E164"/>
      <c r="F164" t="s">
        <v>1244</v>
      </c>
      <c r="G164"/>
      <c r="H164"/>
      <c r="I164" t="s">
        <v>1245</v>
      </c>
      <c r="J164" t="s">
        <v>457</v>
      </c>
      <c r="K164"/>
      <c r="L164"/>
      <c r="M164"/>
      <c r="N164" t="s">
        <v>77</v>
      </c>
      <c r="O164"/>
      <c r="P164"/>
      <c r="Q164"/>
      <c r="R164"/>
      <c r="S164"/>
      <c r="T164" t="s">
        <v>1246</v>
      </c>
      <c r="U164" t="s">
        <v>1247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>
        <v>29</v>
      </c>
      <c r="AI164">
        <v>30</v>
      </c>
      <c r="AJ164"/>
      <c r="AK164"/>
      <c r="AL164"/>
      <c r="AM164"/>
      <c r="AN164"/>
      <c r="AO164"/>
      <c r="AP164" t="s">
        <v>458</v>
      </c>
      <c r="AQ164"/>
      <c r="AR164"/>
      <c r="AS164"/>
      <c r="AT164" t="s">
        <v>128</v>
      </c>
      <c r="AU164">
        <v>2017</v>
      </c>
      <c r="AV164">
        <v>9</v>
      </c>
      <c r="AW164">
        <v>12</v>
      </c>
      <c r="AX164"/>
      <c r="AY164"/>
      <c r="AZ164"/>
      <c r="BA164"/>
      <c r="BB164"/>
      <c r="BC164"/>
      <c r="BD164">
        <v>2341</v>
      </c>
      <c r="BE164" t="s">
        <v>1248</v>
      </c>
      <c r="BF164" t="str">
        <f>HYPERLINK("http://dx.doi.org/10.3390/su9122341","http://dx.doi.org/10.3390/su9122341")</f>
        <v>http://dx.doi.org/10.3390/su9122341</v>
      </c>
      <c r="BG164"/>
      <c r="BH164"/>
      <c r="BI164"/>
      <c r="BJ164" t="s">
        <v>460</v>
      </c>
      <c r="BK164"/>
      <c r="BL164"/>
      <c r="BM164"/>
      <c r="BN164"/>
      <c r="BO164"/>
      <c r="BP164"/>
      <c r="BQ164"/>
      <c r="BR164"/>
      <c r="BS164"/>
      <c r="BT164" t="str">
        <f>HYPERLINK("https%3A%2F%2Fwww.webofscience.com%2Fwos%2Fwoscc%2Ffull-record%2F","View Full Record in Web of Science")</f>
        <v>View Full Record in Web of Science</v>
      </c>
    </row>
    <row r="165" spans="1:72" customHeight="1" ht="12.75">
      <c r="A165" t="s">
        <v>72</v>
      </c>
      <c r="B165" t="s">
        <v>1249</v>
      </c>
      <c r="C165"/>
      <c r="D165"/>
      <c r="E165"/>
      <c r="F165" t="s">
        <v>1250</v>
      </c>
      <c r="G165"/>
      <c r="H165"/>
      <c r="I165" t="s">
        <v>1251</v>
      </c>
      <c r="J165" t="s">
        <v>133</v>
      </c>
      <c r="K165"/>
      <c r="L165"/>
      <c r="M165"/>
      <c r="N165" t="s">
        <v>325</v>
      </c>
      <c r="O165"/>
      <c r="P165"/>
      <c r="Q165"/>
      <c r="R165"/>
      <c r="S165"/>
      <c r="T165" t="s">
        <v>1252</v>
      </c>
      <c r="U165" t="s">
        <v>1253</v>
      </c>
      <c r="V165"/>
      <c r="W165"/>
      <c r="X165"/>
      <c r="Y165"/>
      <c r="Z165"/>
      <c r="AA165"/>
      <c r="AB165"/>
      <c r="AC165"/>
      <c r="AD165"/>
      <c r="AE165"/>
      <c r="AF165"/>
      <c r="AG165"/>
      <c r="AH165">
        <v>0.0</v>
      </c>
      <c r="AI165">
        <v>0.0</v>
      </c>
      <c r="AJ165"/>
      <c r="AK165"/>
      <c r="AL165"/>
      <c r="AM165"/>
      <c r="AN165"/>
      <c r="AO165" t="s">
        <v>136</v>
      </c>
      <c r="AP165" t="s">
        <v>137</v>
      </c>
      <c r="AQ165"/>
      <c r="AR165"/>
      <c r="AS165"/>
      <c r="AT165" t="s">
        <v>328</v>
      </c>
      <c r="AU165">
        <v>2023</v>
      </c>
      <c r="AV165">
        <v>27</v>
      </c>
      <c r="AW165">
        <v>5</v>
      </c>
      <c r="AX165"/>
      <c r="AY165"/>
      <c r="AZ165"/>
      <c r="BA165"/>
      <c r="BB165">
        <v>1304</v>
      </c>
      <c r="BC165">
        <v>1318</v>
      </c>
      <c r="BD165"/>
      <c r="BE165" t="s">
        <v>1254</v>
      </c>
      <c r="BF165" t="str">
        <f>HYPERLINK("http://dx.doi.org/10.1111/jiec.13424","http://dx.doi.org/10.1111/jiec.13424")</f>
        <v>http://dx.doi.org/10.1111/jiec.13424</v>
      </c>
      <c r="BG165"/>
      <c r="BH165" t="s">
        <v>330</v>
      </c>
      <c r="BI165"/>
      <c r="BJ165" t="s">
        <v>139</v>
      </c>
      <c r="BK165"/>
      <c r="BL165"/>
      <c r="BM165"/>
      <c r="BN165"/>
      <c r="BO165"/>
      <c r="BP165"/>
      <c r="BQ165"/>
      <c r="BR165"/>
      <c r="BS165"/>
      <c r="BT165" t="str">
        <f>HYPERLINK("https%3A%2F%2Fwww.webofscience.com%2Fwos%2Fwoscc%2Ffull-record%2F","View Full Record in Web of Science")</f>
        <v>View Full Record in Web of Science</v>
      </c>
    </row>
    <row r="166" spans="1:72" customHeight="1" ht="12.75">
      <c r="A166" t="s">
        <v>72</v>
      </c>
      <c r="B166" t="s">
        <v>1255</v>
      </c>
      <c r="C166"/>
      <c r="D166"/>
      <c r="E166"/>
      <c r="F166" t="s">
        <v>1256</v>
      </c>
      <c r="G166"/>
      <c r="H166"/>
      <c r="I166" t="s">
        <v>1257</v>
      </c>
      <c r="J166" t="s">
        <v>1258</v>
      </c>
      <c r="K166"/>
      <c r="L166"/>
      <c r="M166"/>
      <c r="N166" t="s">
        <v>112</v>
      </c>
      <c r="O166"/>
      <c r="P166"/>
      <c r="Q166"/>
      <c r="R166"/>
      <c r="S166"/>
      <c r="T166" t="s">
        <v>1259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>
        <v>2</v>
      </c>
      <c r="AI166">
        <v>2</v>
      </c>
      <c r="AJ166"/>
      <c r="AK166"/>
      <c r="AL166"/>
      <c r="AM166"/>
      <c r="AN166"/>
      <c r="AO166" t="s">
        <v>1260</v>
      </c>
      <c r="AP166" t="s">
        <v>1261</v>
      </c>
      <c r="AQ166"/>
      <c r="AR166"/>
      <c r="AS166"/>
      <c r="AT166" t="s">
        <v>128</v>
      </c>
      <c r="AU166">
        <v>2019</v>
      </c>
      <c r="AV166">
        <v>7</v>
      </c>
      <c r="AW166">
        <v>6</v>
      </c>
      <c r="AX166"/>
      <c r="AY166"/>
      <c r="AZ166"/>
      <c r="BA166"/>
      <c r="BB166">
        <v>10</v>
      </c>
      <c r="BC166">
        <v>23</v>
      </c>
      <c r="BD166"/>
      <c r="BE166" t="s">
        <v>1262</v>
      </c>
      <c r="BF166" t="str">
        <f>HYPERLINK("http://dx.doi.org/10.15302/J-LAF-1-020015","http://dx.doi.org/10.15302/J-LAF-1-020015")</f>
        <v>http://dx.doi.org/10.15302/J-LAF-1-020015</v>
      </c>
      <c r="BG166"/>
      <c r="BH166"/>
      <c r="BI166"/>
      <c r="BJ166" t="s">
        <v>233</v>
      </c>
      <c r="BK166"/>
      <c r="BL166"/>
      <c r="BM166"/>
      <c r="BN166"/>
      <c r="BO166"/>
      <c r="BP166"/>
      <c r="BQ166"/>
      <c r="BR166"/>
      <c r="BS166"/>
      <c r="BT166" t="str">
        <f>HYPERLINK("https%3A%2F%2Fwww.webofscience.com%2Fwos%2Fwoscc%2Ffull-record%2F","View Full Record in Web of Science")</f>
        <v>View Full Record in Web of Science</v>
      </c>
    </row>
    <row r="167" spans="1:72" customHeight="1" ht="12.75">
      <c r="A167" t="s">
        <v>72</v>
      </c>
      <c r="B167" t="s">
        <v>1263</v>
      </c>
      <c r="C167"/>
      <c r="D167"/>
      <c r="E167"/>
      <c r="F167" t="s">
        <v>1264</v>
      </c>
      <c r="G167"/>
      <c r="H167"/>
      <c r="I167" t="s">
        <v>1265</v>
      </c>
      <c r="J167" t="s">
        <v>587</v>
      </c>
      <c r="K167"/>
      <c r="L167"/>
      <c r="M167"/>
      <c r="N167" t="s">
        <v>77</v>
      </c>
      <c r="O167"/>
      <c r="P167"/>
      <c r="Q167"/>
      <c r="R167"/>
      <c r="S167"/>
      <c r="T167" t="s">
        <v>1266</v>
      </c>
      <c r="U167" t="s">
        <v>1267</v>
      </c>
      <c r="V167"/>
      <c r="W167"/>
      <c r="X167"/>
      <c r="Y167"/>
      <c r="Z167"/>
      <c r="AA167"/>
      <c r="AB167"/>
      <c r="AC167"/>
      <c r="AD167"/>
      <c r="AE167"/>
      <c r="AF167"/>
      <c r="AG167"/>
      <c r="AH167">
        <v>20</v>
      </c>
      <c r="AI167">
        <v>22</v>
      </c>
      <c r="AJ167"/>
      <c r="AK167"/>
      <c r="AL167"/>
      <c r="AM167"/>
      <c r="AN167"/>
      <c r="AO167" t="s">
        <v>590</v>
      </c>
      <c r="AP167" t="s">
        <v>591</v>
      </c>
      <c r="AQ167"/>
      <c r="AR167"/>
      <c r="AS167"/>
      <c r="AT167" t="s">
        <v>1268</v>
      </c>
      <c r="AU167">
        <v>2020</v>
      </c>
      <c r="AV167">
        <v>256</v>
      </c>
      <c r="AW167"/>
      <c r="AX167"/>
      <c r="AY167"/>
      <c r="AZ167"/>
      <c r="BA167"/>
      <c r="BB167"/>
      <c r="BC167"/>
      <c r="BD167">
        <v>120310</v>
      </c>
      <c r="BE167" t="s">
        <v>1269</v>
      </c>
      <c r="BF167" t="str">
        <f>HYPERLINK("http://dx.doi.org/10.1016/j.jclepro.2020.120310","http://dx.doi.org/10.1016/j.jclepro.2020.120310")</f>
        <v>http://dx.doi.org/10.1016/j.jclepro.2020.120310</v>
      </c>
      <c r="BG167"/>
      <c r="BH167"/>
      <c r="BI167"/>
      <c r="BJ167" t="s">
        <v>139</v>
      </c>
      <c r="BK167"/>
      <c r="BL167"/>
      <c r="BM167"/>
      <c r="BN167"/>
      <c r="BO167"/>
      <c r="BP167"/>
      <c r="BQ167"/>
      <c r="BR167"/>
      <c r="BS167"/>
      <c r="BT167" t="str">
        <f>HYPERLINK("https%3A%2F%2Fwww.webofscience.com%2Fwos%2Fwoscc%2Ffull-record%2F","View Full Record in Web of Science")</f>
        <v>View Full Record in Web of Science</v>
      </c>
    </row>
    <row r="168" spans="1:72" customHeight="1" ht="12.75">
      <c r="A168" t="s">
        <v>72</v>
      </c>
      <c r="B168" t="s">
        <v>1270</v>
      </c>
      <c r="C168"/>
      <c r="D168"/>
      <c r="E168"/>
      <c r="F168" t="s">
        <v>1271</v>
      </c>
      <c r="G168"/>
      <c r="H168"/>
      <c r="I168" t="s">
        <v>1272</v>
      </c>
      <c r="J168" t="s">
        <v>650</v>
      </c>
      <c r="K168"/>
      <c r="L168"/>
      <c r="M168"/>
      <c r="N168" t="s">
        <v>77</v>
      </c>
      <c r="O168"/>
      <c r="P168"/>
      <c r="Q168"/>
      <c r="R168"/>
      <c r="S168"/>
      <c r="T168"/>
      <c r="U168" t="s">
        <v>1273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>
        <v>63</v>
      </c>
      <c r="AI168">
        <v>73</v>
      </c>
      <c r="AJ168"/>
      <c r="AK168"/>
      <c r="AL168"/>
      <c r="AM168"/>
      <c r="AN168"/>
      <c r="AO168" t="s">
        <v>652</v>
      </c>
      <c r="AP168" t="s">
        <v>1274</v>
      </c>
      <c r="AQ168"/>
      <c r="AR168"/>
      <c r="AS168"/>
      <c r="AT168" t="s">
        <v>154</v>
      </c>
      <c r="AU168">
        <v>2010</v>
      </c>
      <c r="AV168">
        <v>2</v>
      </c>
      <c r="AW168">
        <v>3</v>
      </c>
      <c r="AX168"/>
      <c r="AY168"/>
      <c r="AZ168"/>
      <c r="BA168"/>
      <c r="BB168">
        <v>136</v>
      </c>
      <c r="BC168">
        <v>143</v>
      </c>
      <c r="BD168"/>
      <c r="BE168" t="s">
        <v>1275</v>
      </c>
      <c r="BF168" t="str">
        <f>HYPERLINK("http://dx.doi.org/10.1016/j.cosust.2010.06.004","http://dx.doi.org/10.1016/j.cosust.2010.06.004")</f>
        <v>http://dx.doi.org/10.1016/j.cosust.2010.06.004</v>
      </c>
      <c r="BG168"/>
      <c r="BH168"/>
      <c r="BI168"/>
      <c r="BJ168" t="s">
        <v>654</v>
      </c>
      <c r="BK168"/>
      <c r="BL168"/>
      <c r="BM168"/>
      <c r="BN168"/>
      <c r="BO168"/>
      <c r="BP168"/>
      <c r="BQ168"/>
      <c r="BR168"/>
      <c r="BS168"/>
      <c r="BT168" t="str">
        <f>HYPERLINK("https%3A%2F%2Fwww.webofscience.com%2Fwos%2Fwoscc%2Ffull-record%2F","View Full Record in Web of Science")</f>
        <v>View Full Record in Web of Science</v>
      </c>
    </row>
    <row r="169" spans="1:72" customHeight="1" ht="12.75">
      <c r="A169" t="s">
        <v>72</v>
      </c>
      <c r="B169" t="s">
        <v>1276</v>
      </c>
      <c r="C169"/>
      <c r="D169"/>
      <c r="E169"/>
      <c r="F169" t="s">
        <v>1277</v>
      </c>
      <c r="G169"/>
      <c r="H169"/>
      <c r="I169" t="s">
        <v>1278</v>
      </c>
      <c r="J169" t="s">
        <v>457</v>
      </c>
      <c r="K169"/>
      <c r="L169"/>
      <c r="M169"/>
      <c r="N169" t="s">
        <v>112</v>
      </c>
      <c r="O169"/>
      <c r="P169"/>
      <c r="Q169"/>
      <c r="R169"/>
      <c r="S169"/>
      <c r="T169" t="s">
        <v>1279</v>
      </c>
      <c r="U169" t="s">
        <v>1280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>
        <v>3</v>
      </c>
      <c r="AI169">
        <v>3</v>
      </c>
      <c r="AJ169"/>
      <c r="AK169"/>
      <c r="AL169"/>
      <c r="AM169"/>
      <c r="AN169"/>
      <c r="AO169"/>
      <c r="AP169" t="s">
        <v>458</v>
      </c>
      <c r="AQ169"/>
      <c r="AR169"/>
      <c r="AS169"/>
      <c r="AT169" t="s">
        <v>92</v>
      </c>
      <c r="AU169">
        <v>2021</v>
      </c>
      <c r="AV169">
        <v>13</v>
      </c>
      <c r="AW169">
        <v>22</v>
      </c>
      <c r="AX169"/>
      <c r="AY169"/>
      <c r="AZ169"/>
      <c r="BA169"/>
      <c r="BB169"/>
      <c r="BC169"/>
      <c r="BD169">
        <v>12724</v>
      </c>
      <c r="BE169" t="s">
        <v>1281</v>
      </c>
      <c r="BF169" t="str">
        <f>HYPERLINK("http://dx.doi.org/10.3390/su132212724","http://dx.doi.org/10.3390/su132212724")</f>
        <v>http://dx.doi.org/10.3390/su132212724</v>
      </c>
      <c r="BG169"/>
      <c r="BH169"/>
      <c r="BI169"/>
      <c r="BJ169" t="s">
        <v>460</v>
      </c>
      <c r="BK169"/>
      <c r="BL169"/>
      <c r="BM169"/>
      <c r="BN169"/>
      <c r="BO169"/>
      <c r="BP169"/>
      <c r="BQ169"/>
      <c r="BR169"/>
      <c r="BS169"/>
      <c r="BT169" t="str">
        <f>HYPERLINK("https%3A%2F%2Fwww.webofscience.com%2Fwos%2Fwoscc%2Ffull-record%2F","View Full Record in Web of Science")</f>
        <v>View Full Record in Web of Science</v>
      </c>
    </row>
    <row r="170" spans="1:72" customHeight="1" ht="12.75">
      <c r="A170" t="s">
        <v>72</v>
      </c>
      <c r="B170" t="s">
        <v>1282</v>
      </c>
      <c r="C170"/>
      <c r="D170"/>
      <c r="E170"/>
      <c r="F170" t="s">
        <v>1283</v>
      </c>
      <c r="G170"/>
      <c r="H170"/>
      <c r="I170" t="s">
        <v>1284</v>
      </c>
      <c r="J170" t="s">
        <v>409</v>
      </c>
      <c r="K170"/>
      <c r="L170"/>
      <c r="M170"/>
      <c r="N170" t="s">
        <v>325</v>
      </c>
      <c r="O170"/>
      <c r="P170"/>
      <c r="Q170"/>
      <c r="R170"/>
      <c r="S170"/>
      <c r="T170" t="s">
        <v>1285</v>
      </c>
      <c r="U170" t="s">
        <v>1286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7</v>
      </c>
      <c r="AI170">
        <v>8</v>
      </c>
      <c r="AJ170"/>
      <c r="AK170"/>
      <c r="AL170"/>
      <c r="AM170"/>
      <c r="AN170"/>
      <c r="AO170" t="s">
        <v>1080</v>
      </c>
      <c r="AP170" t="s">
        <v>1081</v>
      </c>
      <c r="AQ170"/>
      <c r="AR170"/>
      <c r="AS170"/>
      <c r="AT170" t="s">
        <v>1287</v>
      </c>
      <c r="AU170">
        <v>2021</v>
      </c>
      <c r="AV170">
        <v>118</v>
      </c>
      <c r="AW170"/>
      <c r="AX170"/>
      <c r="AY170"/>
      <c r="AZ170"/>
      <c r="BA170"/>
      <c r="BB170"/>
      <c r="BC170"/>
      <c r="BD170">
        <v>103336</v>
      </c>
      <c r="BE170" t="s">
        <v>1288</v>
      </c>
      <c r="BF170" t="str">
        <f>HYPERLINK("http://dx.doi.org/10.1016/j.cities.2021.103336","http://dx.doi.org/10.1016/j.cities.2021.103336")</f>
        <v>http://dx.doi.org/10.1016/j.cities.2021.103336</v>
      </c>
      <c r="BG170"/>
      <c r="BH170" t="s">
        <v>1289</v>
      </c>
      <c r="BI170"/>
      <c r="BJ170" t="s">
        <v>243</v>
      </c>
      <c r="BK170"/>
      <c r="BL170"/>
      <c r="BM170"/>
      <c r="BN170"/>
      <c r="BO170"/>
      <c r="BP170"/>
      <c r="BQ170"/>
      <c r="BR170"/>
      <c r="BS170"/>
      <c r="BT170" t="str">
        <f>HYPERLINK("https%3A%2F%2Fwww.webofscience.com%2Fwos%2Fwoscc%2Ffull-record%2F","View Full Record in Web of Science")</f>
        <v>View Full Record in Web of Science</v>
      </c>
    </row>
    <row r="171" spans="1:72" customHeight="1" ht="12.75">
      <c r="A171" t="s">
        <v>72</v>
      </c>
      <c r="B171" t="s">
        <v>1290</v>
      </c>
      <c r="C171"/>
      <c r="D171"/>
      <c r="E171"/>
      <c r="F171" t="s">
        <v>1291</v>
      </c>
      <c r="G171"/>
      <c r="H171"/>
      <c r="I171" t="s">
        <v>1292</v>
      </c>
      <c r="J171" t="s">
        <v>133</v>
      </c>
      <c r="K171"/>
      <c r="L171"/>
      <c r="M171"/>
      <c r="N171" t="s">
        <v>112</v>
      </c>
      <c r="O171"/>
      <c r="P171"/>
      <c r="Q171"/>
      <c r="R171"/>
      <c r="S171"/>
      <c r="T171" t="s">
        <v>1293</v>
      </c>
      <c r="U171" t="s">
        <v>1294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>
        <v>30</v>
      </c>
      <c r="AI171">
        <v>33</v>
      </c>
      <c r="AJ171"/>
      <c r="AK171"/>
      <c r="AL171"/>
      <c r="AM171"/>
      <c r="AN171"/>
      <c r="AO171" t="s">
        <v>136</v>
      </c>
      <c r="AP171" t="s">
        <v>137</v>
      </c>
      <c r="AQ171"/>
      <c r="AR171"/>
      <c r="AS171"/>
      <c r="AT171" t="s">
        <v>128</v>
      </c>
      <c r="AU171">
        <v>2012</v>
      </c>
      <c r="AV171">
        <v>16</v>
      </c>
      <c r="AW171">
        <v>6</v>
      </c>
      <c r="AX171"/>
      <c r="AY171"/>
      <c r="AZ171" t="s">
        <v>222</v>
      </c>
      <c r="BA171"/>
      <c r="BB171">
        <v>889</v>
      </c>
      <c r="BC171">
        <v>900</v>
      </c>
      <c r="BD171"/>
      <c r="BE171" t="s">
        <v>1295</v>
      </c>
      <c r="BF171" t="str">
        <f>HYPERLINK("http://dx.doi.org/10.1111/j.1530-9290.2012.00486.x","http://dx.doi.org/10.1111/j.1530-9290.2012.00486.x")</f>
        <v>http://dx.doi.org/10.1111/j.1530-9290.2012.00486.x</v>
      </c>
      <c r="BG171"/>
      <c r="BH171"/>
      <c r="BI171"/>
      <c r="BJ171" t="s">
        <v>139</v>
      </c>
      <c r="BK171"/>
      <c r="BL171"/>
      <c r="BM171"/>
      <c r="BN171"/>
      <c r="BO171"/>
      <c r="BP171"/>
      <c r="BQ171"/>
      <c r="BR171"/>
      <c r="BS171"/>
      <c r="BT171" t="str">
        <f>HYPERLINK("https%3A%2F%2Fwww.webofscience.com%2Fwos%2Fwoscc%2Ffull-record%2F","View Full Record in Web of Science")</f>
        <v>View Full Record in Web of Science</v>
      </c>
    </row>
    <row r="172" spans="1:72" customHeight="1" ht="12.75">
      <c r="A172" t="s">
        <v>72</v>
      </c>
      <c r="B172" t="s">
        <v>1296</v>
      </c>
      <c r="C172"/>
      <c r="D172"/>
      <c r="E172"/>
      <c r="F172" t="s">
        <v>1297</v>
      </c>
      <c r="G172"/>
      <c r="H172"/>
      <c r="I172" t="s">
        <v>1298</v>
      </c>
      <c r="J172" t="s">
        <v>1299</v>
      </c>
      <c r="K172"/>
      <c r="L172"/>
      <c r="M172"/>
      <c r="N172" t="s">
        <v>77</v>
      </c>
      <c r="O172"/>
      <c r="P172"/>
      <c r="Q172"/>
      <c r="R172"/>
      <c r="S172"/>
      <c r="T172"/>
      <c r="U172" t="s">
        <v>1300</v>
      </c>
      <c r="V172"/>
      <c r="W172"/>
      <c r="X172"/>
      <c r="Y172"/>
      <c r="Z172"/>
      <c r="AA172"/>
      <c r="AB172"/>
      <c r="AC172"/>
      <c r="AD172"/>
      <c r="AE172"/>
      <c r="AF172"/>
      <c r="AG172"/>
      <c r="AH172">
        <v>88</v>
      </c>
      <c r="AI172">
        <v>100</v>
      </c>
      <c r="AJ172"/>
      <c r="AK172"/>
      <c r="AL172"/>
      <c r="AM172"/>
      <c r="AN172"/>
      <c r="AO172" t="s">
        <v>1301</v>
      </c>
      <c r="AP172" t="s">
        <v>1302</v>
      </c>
      <c r="AQ172"/>
      <c r="AR172"/>
      <c r="AS172"/>
      <c r="AT172" t="s">
        <v>1303</v>
      </c>
      <c r="AU172">
        <v>2015</v>
      </c>
      <c r="AV172">
        <v>49</v>
      </c>
      <c r="AW172">
        <v>19</v>
      </c>
      <c r="AX172"/>
      <c r="AY172"/>
      <c r="AZ172"/>
      <c r="BA172"/>
      <c r="BB172">
        <v>11247</v>
      </c>
      <c r="BC172">
        <v>11263</v>
      </c>
      <c r="BD172"/>
      <c r="BE172" t="s">
        <v>1304</v>
      </c>
      <c r="BF172" t="str">
        <f>HYPERLINK("http://dx.doi.org/10.1021/acs.est.5b03060","http://dx.doi.org/10.1021/acs.est.5b03060")</f>
        <v>http://dx.doi.org/10.1021/acs.est.5b03060</v>
      </c>
      <c r="BG172"/>
      <c r="BH172"/>
      <c r="BI172"/>
      <c r="BJ172" t="s">
        <v>119</v>
      </c>
      <c r="BK172"/>
      <c r="BL172"/>
      <c r="BM172"/>
      <c r="BN172"/>
      <c r="BO172"/>
      <c r="BP172"/>
      <c r="BQ172"/>
      <c r="BR172"/>
      <c r="BS172"/>
      <c r="BT172" t="str">
        <f>HYPERLINK("https%3A%2F%2Fwww.webofscience.com%2Fwos%2Fwoscc%2Ffull-record%2F","View Full Record in Web of Science")</f>
        <v>View Full Record in Web of Science</v>
      </c>
    </row>
    <row r="173" spans="1:72" customHeight="1" ht="12.75">
      <c r="A173" t="s">
        <v>72</v>
      </c>
      <c r="B173" t="s">
        <v>1305</v>
      </c>
      <c r="C173"/>
      <c r="D173"/>
      <c r="E173"/>
      <c r="F173" t="s">
        <v>1306</v>
      </c>
      <c r="G173"/>
      <c r="H173"/>
      <c r="I173" t="s">
        <v>1307</v>
      </c>
      <c r="J173" t="s">
        <v>1308</v>
      </c>
      <c r="K173"/>
      <c r="L173"/>
      <c r="M173"/>
      <c r="N173" t="s">
        <v>112</v>
      </c>
      <c r="O173"/>
      <c r="P173"/>
      <c r="Q173"/>
      <c r="R173"/>
      <c r="S173"/>
      <c r="T173" t="s">
        <v>1309</v>
      </c>
      <c r="U173" t="s">
        <v>1310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>
        <v>3</v>
      </c>
      <c r="AI173">
        <v>3</v>
      </c>
      <c r="AJ173"/>
      <c r="AK173"/>
      <c r="AL173"/>
      <c r="AM173"/>
      <c r="AN173"/>
      <c r="AO173" t="s">
        <v>1311</v>
      </c>
      <c r="AP173"/>
      <c r="AQ173"/>
      <c r="AR173"/>
      <c r="AS173"/>
      <c r="AT173" t="s">
        <v>190</v>
      </c>
      <c r="AU173">
        <v>2023</v>
      </c>
      <c r="AV173">
        <v>11</v>
      </c>
      <c r="AW173">
        <v>1</v>
      </c>
      <c r="AX173"/>
      <c r="AY173"/>
      <c r="AZ173"/>
      <c r="BA173"/>
      <c r="BB173"/>
      <c r="BC173"/>
      <c r="BD173">
        <v>1100432</v>
      </c>
      <c r="BE173" t="s">
        <v>1312</v>
      </c>
      <c r="BF173" t="str">
        <f>HYPERLINK("http://dx.doi.org/10.13044/j.sdewes.d10.0432","http://dx.doi.org/10.13044/j.sdewes.d10.0432")</f>
        <v>http://dx.doi.org/10.13044/j.sdewes.d10.0432</v>
      </c>
      <c r="BG173"/>
      <c r="BH173"/>
      <c r="BI173"/>
      <c r="BJ173" t="s">
        <v>224</v>
      </c>
      <c r="BK173"/>
      <c r="BL173"/>
      <c r="BM173"/>
      <c r="BN173"/>
      <c r="BO173"/>
      <c r="BP173"/>
      <c r="BQ173"/>
      <c r="BR173"/>
      <c r="BS173"/>
      <c r="BT173" t="str">
        <f>HYPERLINK("https%3A%2F%2Fwww.webofscience.com%2Fwos%2Fwoscc%2Ffull-record%2F","View Full Record in Web of Science")</f>
        <v>View Full Record in Web of Science</v>
      </c>
    </row>
    <row r="174" spans="1:72" customHeight="1" ht="12.75">
      <c r="A174" t="s">
        <v>72</v>
      </c>
      <c r="B174" t="s">
        <v>1313</v>
      </c>
      <c r="C174"/>
      <c r="D174"/>
      <c r="E174"/>
      <c r="F174" t="s">
        <v>1314</v>
      </c>
      <c r="G174"/>
      <c r="H174"/>
      <c r="I174" t="s">
        <v>1315</v>
      </c>
      <c r="J174" t="s">
        <v>457</v>
      </c>
      <c r="K174"/>
      <c r="L174"/>
      <c r="M174"/>
      <c r="N174" t="s">
        <v>215</v>
      </c>
      <c r="O174"/>
      <c r="P174"/>
      <c r="Q174"/>
      <c r="R174"/>
      <c r="S174"/>
      <c r="T174" t="s">
        <v>1316</v>
      </c>
      <c r="U174" t="s">
        <v>1317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19</v>
      </c>
      <c r="AI174">
        <v>19</v>
      </c>
      <c r="AJ174"/>
      <c r="AK174"/>
      <c r="AL174"/>
      <c r="AM174"/>
      <c r="AN174"/>
      <c r="AO174"/>
      <c r="AP174" t="s">
        <v>458</v>
      </c>
      <c r="AQ174"/>
      <c r="AR174"/>
      <c r="AS174"/>
      <c r="AT174" t="s">
        <v>190</v>
      </c>
      <c r="AU174">
        <v>2016</v>
      </c>
      <c r="AV174">
        <v>8</v>
      </c>
      <c r="AW174">
        <v>3</v>
      </c>
      <c r="AX174"/>
      <c r="AY174"/>
      <c r="AZ174"/>
      <c r="BA174"/>
      <c r="BB174"/>
      <c r="BC174"/>
      <c r="BD174">
        <v>275</v>
      </c>
      <c r="BE174" t="s">
        <v>1318</v>
      </c>
      <c r="BF174" t="str">
        <f>HYPERLINK("http://dx.doi.org/10.3390/su8030275","http://dx.doi.org/10.3390/su8030275")</f>
        <v>http://dx.doi.org/10.3390/su8030275</v>
      </c>
      <c r="BG174"/>
      <c r="BH174"/>
      <c r="BI174"/>
      <c r="BJ174" t="s">
        <v>460</v>
      </c>
      <c r="BK174"/>
      <c r="BL174"/>
      <c r="BM174"/>
      <c r="BN174"/>
      <c r="BO174"/>
      <c r="BP174"/>
      <c r="BQ174"/>
      <c r="BR174"/>
      <c r="BS174"/>
      <c r="BT174" t="str">
        <f>HYPERLINK("https%3A%2F%2Fwww.webofscience.com%2Fwos%2Fwoscc%2Ffull-record%2F","View Full Record in Web of Science")</f>
        <v>View Full Record in Web of Science</v>
      </c>
    </row>
    <row r="175" spans="1:72" customHeight="1" ht="12.75">
      <c r="A175" t="s">
        <v>72</v>
      </c>
      <c r="B175" t="s">
        <v>1319</v>
      </c>
      <c r="C175"/>
      <c r="D175"/>
      <c r="E175"/>
      <c r="F175" t="s">
        <v>1320</v>
      </c>
      <c r="G175"/>
      <c r="H175"/>
      <c r="I175" t="s">
        <v>1321</v>
      </c>
      <c r="J175" t="s">
        <v>133</v>
      </c>
      <c r="K175"/>
      <c r="L175"/>
      <c r="M175"/>
      <c r="N175" t="s">
        <v>112</v>
      </c>
      <c r="O175"/>
      <c r="P175"/>
      <c r="Q175"/>
      <c r="R175"/>
      <c r="S175"/>
      <c r="T175" t="s">
        <v>1322</v>
      </c>
      <c r="U175" t="s">
        <v>1323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31</v>
      </c>
      <c r="AI175">
        <v>33</v>
      </c>
      <c r="AJ175"/>
      <c r="AK175"/>
      <c r="AL175"/>
      <c r="AM175"/>
      <c r="AN175"/>
      <c r="AO175" t="s">
        <v>136</v>
      </c>
      <c r="AP175" t="s">
        <v>137</v>
      </c>
      <c r="AQ175"/>
      <c r="AR175"/>
      <c r="AS175"/>
      <c r="AT175" t="s">
        <v>198</v>
      </c>
      <c r="AU175">
        <v>2017</v>
      </c>
      <c r="AV175">
        <v>21</v>
      </c>
      <c r="AW175">
        <v>5</v>
      </c>
      <c r="AX175"/>
      <c r="AY175"/>
      <c r="AZ175"/>
      <c r="BA175"/>
      <c r="BB175">
        <v>1262</v>
      </c>
      <c r="BC175">
        <v>1276</v>
      </c>
      <c r="BD175"/>
      <c r="BE175" t="s">
        <v>1324</v>
      </c>
      <c r="BF175" t="str">
        <f>HYPERLINK("http://dx.doi.org/10.1111/jiec.12517","http://dx.doi.org/10.1111/jiec.12517")</f>
        <v>http://dx.doi.org/10.1111/jiec.12517</v>
      </c>
      <c r="BG175"/>
      <c r="BH175"/>
      <c r="BI175"/>
      <c r="BJ175" t="s">
        <v>139</v>
      </c>
      <c r="BK175"/>
      <c r="BL175"/>
      <c r="BM175"/>
      <c r="BN175"/>
      <c r="BO175"/>
      <c r="BP175"/>
      <c r="BQ175"/>
      <c r="BR175"/>
      <c r="BS175"/>
      <c r="BT175" t="str">
        <f>HYPERLINK("https%3A%2F%2Fwww.webofscience.com%2Fwos%2Fwoscc%2Ffull-record%2F","View Full Record in Web of Science")</f>
        <v>View Full Record in Web of Science</v>
      </c>
    </row>
    <row r="176" spans="1:72" customHeight="1" ht="12.75">
      <c r="A176" t="s">
        <v>72</v>
      </c>
      <c r="B176" t="s">
        <v>1325</v>
      </c>
      <c r="C176"/>
      <c r="D176"/>
      <c r="E176"/>
      <c r="F176" t="s">
        <v>1326</v>
      </c>
      <c r="G176"/>
      <c r="H176"/>
      <c r="I176" t="s">
        <v>1327</v>
      </c>
      <c r="J176" t="s">
        <v>1328</v>
      </c>
      <c r="K176"/>
      <c r="L176"/>
      <c r="M176"/>
      <c r="N176" t="s">
        <v>112</v>
      </c>
      <c r="O176"/>
      <c r="P176"/>
      <c r="Q176"/>
      <c r="R176"/>
      <c r="S176"/>
      <c r="T176" t="s">
        <v>1329</v>
      </c>
      <c r="U176" t="s">
        <v>1330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0.0</v>
      </c>
      <c r="AI176">
        <v>0.0</v>
      </c>
      <c r="AJ176"/>
      <c r="AK176"/>
      <c r="AL176"/>
      <c r="AM176"/>
      <c r="AN176"/>
      <c r="AO176" t="s">
        <v>1331</v>
      </c>
      <c r="AP176" t="s">
        <v>1332</v>
      </c>
      <c r="AQ176"/>
      <c r="AR176"/>
      <c r="AS176"/>
      <c r="AT176" t="s">
        <v>1333</v>
      </c>
      <c r="AU176">
        <v>2022</v>
      </c>
      <c r="AV176">
        <v>18</v>
      </c>
      <c r="AW176">
        <v>53</v>
      </c>
      <c r="AX176"/>
      <c r="AY176"/>
      <c r="AZ176"/>
      <c r="BA176"/>
      <c r="BB176"/>
      <c r="BC176"/>
      <c r="BD176"/>
      <c r="BE176" t="s">
        <v>1334</v>
      </c>
      <c r="BF176" t="str">
        <f>HYPERLINK("http://dx.doi.org/10.3895/1s.v1853.15721","http://dx.doi.org/10.3895/1s.v1853.15721")</f>
        <v>http://dx.doi.org/10.3895/1s.v1853.15721</v>
      </c>
      <c r="BG176"/>
      <c r="BH176"/>
      <c r="BI176"/>
      <c r="BJ176" t="s">
        <v>1335</v>
      </c>
      <c r="BK176"/>
      <c r="BL176"/>
      <c r="BM176"/>
      <c r="BN176"/>
      <c r="BO176"/>
      <c r="BP176"/>
      <c r="BQ176"/>
      <c r="BR176"/>
      <c r="BS176"/>
      <c r="BT176" t="str">
        <f>HYPERLINK("https%3A%2F%2Fwww.webofscience.com%2Fwos%2Fwoscc%2Ffull-record%2F","View Full Record in Web of Science")</f>
        <v>View Full Record in Web of Science</v>
      </c>
    </row>
    <row r="177" spans="1:72" customHeight="1" ht="12.75">
      <c r="A177" t="s">
        <v>72</v>
      </c>
      <c r="B177" t="s">
        <v>1336</v>
      </c>
      <c r="C177"/>
      <c r="D177"/>
      <c r="E177"/>
      <c r="F177" t="s">
        <v>1337</v>
      </c>
      <c r="G177"/>
      <c r="H177"/>
      <c r="I177" t="s">
        <v>1338</v>
      </c>
      <c r="J177" t="s">
        <v>1339</v>
      </c>
      <c r="K177"/>
      <c r="L177"/>
      <c r="M177"/>
      <c r="N177" t="s">
        <v>112</v>
      </c>
      <c r="O177"/>
      <c r="P177"/>
      <c r="Q177"/>
      <c r="R177"/>
      <c r="S177"/>
      <c r="T177" t="s">
        <v>1340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>
        <v>0.0</v>
      </c>
      <c r="AI177">
        <v>0.0</v>
      </c>
      <c r="AJ177"/>
      <c r="AK177"/>
      <c r="AL177"/>
      <c r="AM177"/>
      <c r="AN177"/>
      <c r="AO177" t="s">
        <v>1341</v>
      </c>
      <c r="AP177" t="s">
        <v>1342</v>
      </c>
      <c r="AQ177"/>
      <c r="AR177"/>
      <c r="AS177"/>
      <c r="AT177" t="s">
        <v>1343</v>
      </c>
      <c r="AU177">
        <v>2022</v>
      </c>
      <c r="AV177">
        <v>51</v>
      </c>
      <c r="AW177">
        <v>4</v>
      </c>
      <c r="AX177"/>
      <c r="AY177"/>
      <c r="AZ177" t="s">
        <v>222</v>
      </c>
      <c r="BA177"/>
      <c r="BB177">
        <v>45</v>
      </c>
      <c r="BC177">
        <v>67</v>
      </c>
      <c r="BD177"/>
      <c r="BE177" t="s">
        <v>1344</v>
      </c>
      <c r="BF177" t="str">
        <f>HYPERLINK("http://dx.doi.org/10.1080/0377919X.2022.2133969","http://dx.doi.org/10.1080/0377919X.2022.2133969")</f>
        <v>http://dx.doi.org/10.1080/0377919X.2022.2133969</v>
      </c>
      <c r="BG177"/>
      <c r="BH177"/>
      <c r="BI177"/>
      <c r="BJ177" t="s">
        <v>1345</v>
      </c>
      <c r="BK177"/>
      <c r="BL177"/>
      <c r="BM177"/>
      <c r="BN177"/>
      <c r="BO177"/>
      <c r="BP177"/>
      <c r="BQ177"/>
      <c r="BR177"/>
      <c r="BS177"/>
      <c r="BT177" t="str">
        <f>HYPERLINK("https%3A%2F%2Fwww.webofscience.com%2Fwos%2Fwoscc%2Ffull-record%2F","View Full Record in Web of Science")</f>
        <v>View Full Record in Web of Science</v>
      </c>
    </row>
    <row r="178" spans="1:72" customHeight="1" ht="12.75">
      <c r="A178" t="s">
        <v>72</v>
      </c>
      <c r="B178" t="s">
        <v>1346</v>
      </c>
      <c r="C178"/>
      <c r="D178"/>
      <c r="E178"/>
      <c r="F178" t="s">
        <v>1347</v>
      </c>
      <c r="G178"/>
      <c r="H178"/>
      <c r="I178" t="s">
        <v>1348</v>
      </c>
      <c r="J178" t="s">
        <v>1230</v>
      </c>
      <c r="K178"/>
      <c r="L178"/>
      <c r="M178"/>
      <c r="N178" t="s">
        <v>112</v>
      </c>
      <c r="O178"/>
      <c r="P178"/>
      <c r="Q178"/>
      <c r="R178"/>
      <c r="S178"/>
      <c r="T178" t="s">
        <v>1349</v>
      </c>
      <c r="U178" t="s">
        <v>1350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>
        <v>1</v>
      </c>
      <c r="AI178">
        <v>1</v>
      </c>
      <c r="AJ178"/>
      <c r="AK178"/>
      <c r="AL178"/>
      <c r="AM178"/>
      <c r="AN178"/>
      <c r="AO178"/>
      <c r="AP178" t="s">
        <v>1233</v>
      </c>
      <c r="AQ178"/>
      <c r="AR178"/>
      <c r="AS178"/>
      <c r="AT178" t="s">
        <v>394</v>
      </c>
      <c r="AU178">
        <v>2023</v>
      </c>
      <c r="AV178">
        <v>10</v>
      </c>
      <c r="AW178">
        <v>2</v>
      </c>
      <c r="AX178"/>
      <c r="AY178"/>
      <c r="AZ178"/>
      <c r="BA178"/>
      <c r="BB178"/>
      <c r="BC178"/>
      <c r="BD178">
        <v>14</v>
      </c>
      <c r="BE178" t="s">
        <v>1351</v>
      </c>
      <c r="BF178" t="str">
        <f>HYPERLINK("http://dx.doi.org/10.3390/environments10020014","http://dx.doi.org/10.3390/environments10020014")</f>
        <v>http://dx.doi.org/10.3390/environments10020014</v>
      </c>
      <c r="BG178"/>
      <c r="BH178"/>
      <c r="BI178"/>
      <c r="BJ178" t="s">
        <v>224</v>
      </c>
      <c r="BK178"/>
      <c r="BL178"/>
      <c r="BM178"/>
      <c r="BN178"/>
      <c r="BO178"/>
      <c r="BP178"/>
      <c r="BQ178"/>
      <c r="BR178"/>
      <c r="BS178"/>
      <c r="BT178" t="str">
        <f>HYPERLINK("https%3A%2F%2Fwww.webofscience.com%2Fwos%2Fwoscc%2Ffull-record%2F","View Full Record in Web of Science")</f>
        <v>View Full Record in Web of Science</v>
      </c>
    </row>
    <row r="179" spans="1:72" customHeight="1" ht="12.75">
      <c r="A179" t="s">
        <v>72</v>
      </c>
      <c r="B179" t="s">
        <v>1352</v>
      </c>
      <c r="C179"/>
      <c r="D179"/>
      <c r="E179"/>
      <c r="F179" t="s">
        <v>1353</v>
      </c>
      <c r="G179"/>
      <c r="H179"/>
      <c r="I179" t="s">
        <v>1354</v>
      </c>
      <c r="J179" t="s">
        <v>133</v>
      </c>
      <c r="K179"/>
      <c r="L179"/>
      <c r="M179"/>
      <c r="N179" t="s">
        <v>112</v>
      </c>
      <c r="O179"/>
      <c r="P179"/>
      <c r="Q179"/>
      <c r="R179"/>
      <c r="S179"/>
      <c r="T179" t="s">
        <v>1355</v>
      </c>
      <c r="U179" t="s">
        <v>947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36</v>
      </c>
      <c r="AI179">
        <v>41</v>
      </c>
      <c r="AJ179"/>
      <c r="AK179"/>
      <c r="AL179"/>
      <c r="AM179"/>
      <c r="AN179"/>
      <c r="AO179" t="s">
        <v>136</v>
      </c>
      <c r="AP179" t="s">
        <v>137</v>
      </c>
      <c r="AQ179"/>
      <c r="AR179"/>
      <c r="AS179"/>
      <c r="AT179" t="s">
        <v>198</v>
      </c>
      <c r="AU179">
        <v>2015</v>
      </c>
      <c r="AV179">
        <v>19</v>
      </c>
      <c r="AW179">
        <v>5</v>
      </c>
      <c r="AX179"/>
      <c r="AY179"/>
      <c r="AZ179" t="s">
        <v>222</v>
      </c>
      <c r="BA179"/>
      <c r="BB179">
        <v>837</v>
      </c>
      <c r="BC179">
        <v>852</v>
      </c>
      <c r="BD179"/>
      <c r="BE179" t="s">
        <v>1356</v>
      </c>
      <c r="BF179" t="str">
        <f>HYPERLINK("http://dx.doi.org/10.1111/jiec.12336","http://dx.doi.org/10.1111/jiec.12336")</f>
        <v>http://dx.doi.org/10.1111/jiec.12336</v>
      </c>
      <c r="BG179"/>
      <c r="BH179"/>
      <c r="BI179"/>
      <c r="BJ179" t="s">
        <v>139</v>
      </c>
      <c r="BK179"/>
      <c r="BL179"/>
      <c r="BM179"/>
      <c r="BN179"/>
      <c r="BO179"/>
      <c r="BP179"/>
      <c r="BQ179"/>
      <c r="BR179"/>
      <c r="BS179"/>
      <c r="BT179" t="str">
        <f>HYPERLINK("https%3A%2F%2Fwww.webofscience.com%2Fwos%2Fwoscc%2Ffull-record%2F","View Full Record in Web of Science")</f>
        <v>View Full Record in Web of Science</v>
      </c>
    </row>
    <row r="180" spans="1:72" customHeight="1" ht="12.75">
      <c r="A180" t="s">
        <v>72</v>
      </c>
      <c r="B180" t="s">
        <v>1357</v>
      </c>
      <c r="C180"/>
      <c r="D180"/>
      <c r="E180"/>
      <c r="F180" t="s">
        <v>1358</v>
      </c>
      <c r="G180"/>
      <c r="H180"/>
      <c r="I180" t="s">
        <v>1359</v>
      </c>
      <c r="J180" t="s">
        <v>1360</v>
      </c>
      <c r="K180"/>
      <c r="L180"/>
      <c r="M180"/>
      <c r="N180" t="s">
        <v>325</v>
      </c>
      <c r="O180"/>
      <c r="P180"/>
      <c r="Q180"/>
      <c r="R180"/>
      <c r="S180"/>
      <c r="T180" t="s">
        <v>1361</v>
      </c>
      <c r="U180" t="s">
        <v>1362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>
        <v>9</v>
      </c>
      <c r="AI180">
        <v>10</v>
      </c>
      <c r="AJ180"/>
      <c r="AK180"/>
      <c r="AL180"/>
      <c r="AM180"/>
      <c r="AN180"/>
      <c r="AO180" t="s">
        <v>1363</v>
      </c>
      <c r="AP180" t="s">
        <v>1364</v>
      </c>
      <c r="AQ180"/>
      <c r="AR180"/>
      <c r="AS180"/>
      <c r="AT180" t="s">
        <v>1365</v>
      </c>
      <c r="AU180">
        <v>2021</v>
      </c>
      <c r="AV180">
        <v>300</v>
      </c>
      <c r="AW180"/>
      <c r="AX180"/>
      <c r="AY180"/>
      <c r="AZ180"/>
      <c r="BA180"/>
      <c r="BB180"/>
      <c r="BC180"/>
      <c r="BD180">
        <v>117254</v>
      </c>
      <c r="BE180" t="s">
        <v>1366</v>
      </c>
      <c r="BF180" t="str">
        <f>HYPERLINK("http://dx.doi.org/10.1016/j.apenergy.2021.117254","http://dx.doi.org/10.1016/j.apenergy.2021.117254")</f>
        <v>http://dx.doi.org/10.1016/j.apenergy.2021.117254</v>
      </c>
      <c r="BG180"/>
      <c r="BH180" t="s">
        <v>1289</v>
      </c>
      <c r="BI180"/>
      <c r="BJ180" t="s">
        <v>1367</v>
      </c>
      <c r="BK180"/>
      <c r="BL180"/>
      <c r="BM180"/>
      <c r="BN180"/>
      <c r="BO180"/>
      <c r="BP180"/>
      <c r="BQ180"/>
      <c r="BR180"/>
      <c r="BS180"/>
      <c r="BT180" t="str">
        <f>HYPERLINK("https%3A%2F%2Fwww.webofscience.com%2Fwos%2Fwoscc%2Ffull-record%2F","View Full Record in Web of Science")</f>
        <v>View Full Record in Web of Science</v>
      </c>
    </row>
    <row r="181" spans="1:72" customHeight="1" ht="12.75">
      <c r="A181" t="s">
        <v>72</v>
      </c>
      <c r="B181" t="s">
        <v>1368</v>
      </c>
      <c r="C181"/>
      <c r="D181"/>
      <c r="E181"/>
      <c r="F181" t="s">
        <v>1369</v>
      </c>
      <c r="G181"/>
      <c r="H181"/>
      <c r="I181" t="s">
        <v>1370</v>
      </c>
      <c r="J181" t="s">
        <v>457</v>
      </c>
      <c r="K181"/>
      <c r="L181"/>
      <c r="M181"/>
      <c r="N181" t="s">
        <v>77</v>
      </c>
      <c r="O181"/>
      <c r="P181"/>
      <c r="Q181"/>
      <c r="R181"/>
      <c r="S181"/>
      <c r="T181" t="s">
        <v>1371</v>
      </c>
      <c r="U181" t="s">
        <v>1372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>
        <v>0.0</v>
      </c>
      <c r="AI181">
        <v>0.0</v>
      </c>
      <c r="AJ181"/>
      <c r="AK181"/>
      <c r="AL181"/>
      <c r="AM181"/>
      <c r="AN181"/>
      <c r="AO181"/>
      <c r="AP181" t="s">
        <v>458</v>
      </c>
      <c r="AQ181"/>
      <c r="AR181"/>
      <c r="AS181"/>
      <c r="AT181" t="s">
        <v>394</v>
      </c>
      <c r="AU181">
        <v>2023</v>
      </c>
      <c r="AV181">
        <v>15</v>
      </c>
      <c r="AW181">
        <v>3</v>
      </c>
      <c r="AX181"/>
      <c r="AY181"/>
      <c r="AZ181"/>
      <c r="BA181"/>
      <c r="BB181"/>
      <c r="BC181"/>
      <c r="BD181">
        <v>1826</v>
      </c>
      <c r="BE181" t="s">
        <v>1373</v>
      </c>
      <c r="BF181" t="str">
        <f>HYPERLINK("http://dx.doi.org/10.3390/su15031826","http://dx.doi.org/10.3390/su15031826")</f>
        <v>http://dx.doi.org/10.3390/su15031826</v>
      </c>
      <c r="BG181"/>
      <c r="BH181"/>
      <c r="BI181"/>
      <c r="BJ181" t="s">
        <v>460</v>
      </c>
      <c r="BK181"/>
      <c r="BL181"/>
      <c r="BM181"/>
      <c r="BN181"/>
      <c r="BO181"/>
      <c r="BP181"/>
      <c r="BQ181"/>
      <c r="BR181"/>
      <c r="BS181"/>
      <c r="BT181" t="str">
        <f>HYPERLINK("https%3A%2F%2Fwww.webofscience.com%2Fwos%2Fwoscc%2Ffull-record%2F","View Full Record in Web of Science")</f>
        <v>View Full Record in Web of Science</v>
      </c>
    </row>
    <row r="182" spans="1:72" customHeight="1" ht="12.75">
      <c r="A182" t="s">
        <v>72</v>
      </c>
      <c r="B182" t="s">
        <v>1374</v>
      </c>
      <c r="C182"/>
      <c r="D182"/>
      <c r="E182"/>
      <c r="F182" t="s">
        <v>1375</v>
      </c>
      <c r="G182"/>
      <c r="H182"/>
      <c r="I182" t="s">
        <v>1376</v>
      </c>
      <c r="J182" t="s">
        <v>457</v>
      </c>
      <c r="K182"/>
      <c r="L182"/>
      <c r="M182"/>
      <c r="N182" t="s">
        <v>112</v>
      </c>
      <c r="O182"/>
      <c r="P182"/>
      <c r="Q182"/>
      <c r="R182"/>
      <c r="S182"/>
      <c r="T182" t="s">
        <v>1377</v>
      </c>
      <c r="U182" t="s">
        <v>1378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>
        <v>6</v>
      </c>
      <c r="AI182">
        <v>6</v>
      </c>
      <c r="AJ182"/>
      <c r="AK182"/>
      <c r="AL182"/>
      <c r="AM182"/>
      <c r="AN182"/>
      <c r="AO182"/>
      <c r="AP182" t="s">
        <v>458</v>
      </c>
      <c r="AQ182"/>
      <c r="AR182"/>
      <c r="AS182"/>
      <c r="AT182" t="s">
        <v>198</v>
      </c>
      <c r="AU182">
        <v>2016</v>
      </c>
      <c r="AV182">
        <v>8</v>
      </c>
      <c r="AW182">
        <v>10</v>
      </c>
      <c r="AX182"/>
      <c r="AY182"/>
      <c r="AZ182"/>
      <c r="BA182"/>
      <c r="BB182"/>
      <c r="BC182"/>
      <c r="BD182">
        <v>1004</v>
      </c>
      <c r="BE182" t="s">
        <v>1379</v>
      </c>
      <c r="BF182" t="str">
        <f>HYPERLINK("http://dx.doi.org/10.3390/su8101004","http://dx.doi.org/10.3390/su8101004")</f>
        <v>http://dx.doi.org/10.3390/su8101004</v>
      </c>
      <c r="BG182"/>
      <c r="BH182"/>
      <c r="BI182"/>
      <c r="BJ182" t="s">
        <v>460</v>
      </c>
      <c r="BK182"/>
      <c r="BL182"/>
      <c r="BM182"/>
      <c r="BN182"/>
      <c r="BO182"/>
      <c r="BP182"/>
      <c r="BQ182"/>
      <c r="BR182"/>
      <c r="BS182"/>
      <c r="BT182" t="str">
        <f>HYPERLINK("https%3A%2F%2Fwww.webofscience.com%2Fwos%2Fwoscc%2Ffull-record%2F","View Full Record in Web of Science")</f>
        <v>View Full Record in Web of Science</v>
      </c>
    </row>
    <row r="183" spans="1:72" customHeight="1" ht="12.75">
      <c r="A183" t="s">
        <v>72</v>
      </c>
      <c r="B183" t="s">
        <v>1380</v>
      </c>
      <c r="C183"/>
      <c r="D183"/>
      <c r="E183"/>
      <c r="F183" t="s">
        <v>1381</v>
      </c>
      <c r="G183"/>
      <c r="H183"/>
      <c r="I183" t="s">
        <v>1382</v>
      </c>
      <c r="J183" t="s">
        <v>587</v>
      </c>
      <c r="K183"/>
      <c r="L183"/>
      <c r="M183"/>
      <c r="N183" t="s">
        <v>112</v>
      </c>
      <c r="O183"/>
      <c r="P183"/>
      <c r="Q183"/>
      <c r="R183"/>
      <c r="S183"/>
      <c r="T183" t="s">
        <v>1383</v>
      </c>
      <c r="U183" t="s">
        <v>1384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>
        <v>27</v>
      </c>
      <c r="AI183">
        <v>29</v>
      </c>
      <c r="AJ183"/>
      <c r="AK183"/>
      <c r="AL183"/>
      <c r="AM183"/>
      <c r="AN183"/>
      <c r="AO183" t="s">
        <v>590</v>
      </c>
      <c r="AP183" t="s">
        <v>591</v>
      </c>
      <c r="AQ183"/>
      <c r="AR183"/>
      <c r="AS183"/>
      <c r="AT183" t="s">
        <v>708</v>
      </c>
      <c r="AU183">
        <v>2016</v>
      </c>
      <c r="AV183">
        <v>114</v>
      </c>
      <c r="AW183"/>
      <c r="AX183"/>
      <c r="AY183"/>
      <c r="AZ183"/>
      <c r="BA183"/>
      <c r="BB183">
        <v>160</v>
      </c>
      <c r="BC183">
        <v>170</v>
      </c>
      <c r="BD183"/>
      <c r="BE183" t="s">
        <v>1385</v>
      </c>
      <c r="BF183" t="str">
        <f>HYPERLINK("http://dx.doi.org/10.1016/j.jclepro.2015.05.099","http://dx.doi.org/10.1016/j.jclepro.2015.05.099")</f>
        <v>http://dx.doi.org/10.1016/j.jclepro.2015.05.099</v>
      </c>
      <c r="BG183"/>
      <c r="BH183"/>
      <c r="BI183"/>
      <c r="BJ183" t="s">
        <v>139</v>
      </c>
      <c r="BK183"/>
      <c r="BL183"/>
      <c r="BM183"/>
      <c r="BN183"/>
      <c r="BO183"/>
      <c r="BP183"/>
      <c r="BQ183"/>
      <c r="BR183"/>
      <c r="BS183"/>
      <c r="BT183" t="str">
        <f>HYPERLINK("https%3A%2F%2Fwww.webofscience.com%2Fwos%2Fwoscc%2Ffull-record%2F","View Full Record in Web of Science")</f>
        <v>View Full Record in Web of Science</v>
      </c>
    </row>
    <row r="184" spans="1:72" customHeight="1" ht="12.75">
      <c r="A184" t="s">
        <v>72</v>
      </c>
      <c r="B184" t="s">
        <v>1386</v>
      </c>
      <c r="C184"/>
      <c r="D184"/>
      <c r="E184"/>
      <c r="F184" t="s">
        <v>1387</v>
      </c>
      <c r="G184"/>
      <c r="H184"/>
      <c r="I184" t="s">
        <v>1388</v>
      </c>
      <c r="J184" t="s">
        <v>1389</v>
      </c>
      <c r="K184"/>
      <c r="L184"/>
      <c r="M184"/>
      <c r="N184" t="s">
        <v>112</v>
      </c>
      <c r="O184"/>
      <c r="P184"/>
      <c r="Q184"/>
      <c r="R184"/>
      <c r="S184"/>
      <c r="T184" t="s">
        <v>1390</v>
      </c>
      <c r="U184" t="s">
        <v>1391</v>
      </c>
      <c r="V184"/>
      <c r="W184"/>
      <c r="X184"/>
      <c r="Y184"/>
      <c r="Z184"/>
      <c r="AA184"/>
      <c r="AB184"/>
      <c r="AC184"/>
      <c r="AD184"/>
      <c r="AE184"/>
      <c r="AF184"/>
      <c r="AG184"/>
      <c r="AH184">
        <v>1</v>
      </c>
      <c r="AI184">
        <v>1</v>
      </c>
      <c r="AJ184"/>
      <c r="AK184"/>
      <c r="AL184"/>
      <c r="AM184"/>
      <c r="AN184"/>
      <c r="AO184" t="s">
        <v>1392</v>
      </c>
      <c r="AP184" t="s">
        <v>1393</v>
      </c>
      <c r="AQ184"/>
      <c r="AR184"/>
      <c r="AS184"/>
      <c r="AT184" t="s">
        <v>1394</v>
      </c>
      <c r="AU184">
        <v>2020</v>
      </c>
      <c r="AV184">
        <v>25</v>
      </c>
      <c r="AW184">
        <v>5</v>
      </c>
      <c r="AX184"/>
      <c r="AY184"/>
      <c r="AZ184"/>
      <c r="BA184"/>
      <c r="BB184">
        <v>727</v>
      </c>
      <c r="BC184">
        <v>737</v>
      </c>
      <c r="BD184"/>
      <c r="BE184" t="s">
        <v>1395</v>
      </c>
      <c r="BF184" t="str">
        <f>HYPERLINK("http://dx.doi.org/10.1590/S1413-41522020191392","http://dx.doi.org/10.1590/S1413-41522020191392")</f>
        <v>http://dx.doi.org/10.1590/S1413-41522020191392</v>
      </c>
      <c r="BG184"/>
      <c r="BH184"/>
      <c r="BI184"/>
      <c r="BJ184" t="s">
        <v>1211</v>
      </c>
      <c r="BK184"/>
      <c r="BL184"/>
      <c r="BM184"/>
      <c r="BN184"/>
      <c r="BO184"/>
      <c r="BP184"/>
      <c r="BQ184"/>
      <c r="BR184"/>
      <c r="BS184"/>
      <c r="BT184" t="str">
        <f>HYPERLINK("https%3A%2F%2Fwww.webofscience.com%2Fwos%2Fwoscc%2Ffull-record%2F","View Full Record in Web of Science")</f>
        <v>View Full Record in Web of Science</v>
      </c>
    </row>
    <row r="185" spans="1:72" customHeight="1" ht="12.75">
      <c r="A185" t="s">
        <v>72</v>
      </c>
      <c r="B185" t="s">
        <v>1396</v>
      </c>
      <c r="C185"/>
      <c r="D185"/>
      <c r="E185"/>
      <c r="F185" t="s">
        <v>1397</v>
      </c>
      <c r="G185"/>
      <c r="H185"/>
      <c r="I185" t="s">
        <v>1398</v>
      </c>
      <c r="J185" t="s">
        <v>448</v>
      </c>
      <c r="K185"/>
      <c r="L185"/>
      <c r="M185"/>
      <c r="N185" t="s">
        <v>112</v>
      </c>
      <c r="O185"/>
      <c r="P185"/>
      <c r="Q185"/>
      <c r="R185"/>
      <c r="S185"/>
      <c r="T185" t="s">
        <v>1399</v>
      </c>
      <c r="U185" t="s">
        <v>1400</v>
      </c>
      <c r="V185"/>
      <c r="W185"/>
      <c r="X185"/>
      <c r="Y185"/>
      <c r="Z185"/>
      <c r="AA185"/>
      <c r="AB185"/>
      <c r="AC185"/>
      <c r="AD185"/>
      <c r="AE185"/>
      <c r="AF185"/>
      <c r="AG185"/>
      <c r="AH185">
        <v>124</v>
      </c>
      <c r="AI185">
        <v>131</v>
      </c>
      <c r="AJ185"/>
      <c r="AK185"/>
      <c r="AL185"/>
      <c r="AM185"/>
      <c r="AN185"/>
      <c r="AO185" t="s">
        <v>451</v>
      </c>
      <c r="AP185"/>
      <c r="AQ185"/>
      <c r="AR185"/>
      <c r="AS185"/>
      <c r="AT185" t="s">
        <v>1401</v>
      </c>
      <c r="AU185">
        <v>2013</v>
      </c>
      <c r="AV185">
        <v>8</v>
      </c>
      <c r="AW185">
        <v>3</v>
      </c>
      <c r="AX185"/>
      <c r="AY185"/>
      <c r="AZ185"/>
      <c r="BA185"/>
      <c r="BB185"/>
      <c r="BC185"/>
      <c r="BD185">
        <v>35024</v>
      </c>
      <c r="BE185" t="s">
        <v>1402</v>
      </c>
      <c r="BF185" t="str">
        <f>HYPERLINK("http://dx.doi.org/10.1088/1748-9326/8/3/035024","http://dx.doi.org/10.1088/1748-9326/8/3/035024")</f>
        <v>http://dx.doi.org/10.1088/1748-9326/8/3/035024</v>
      </c>
      <c r="BG185"/>
      <c r="BH185"/>
      <c r="BI185"/>
      <c r="BJ185" t="s">
        <v>453</v>
      </c>
      <c r="BK185"/>
      <c r="BL185"/>
      <c r="BM185"/>
      <c r="BN185"/>
      <c r="BO185"/>
      <c r="BP185"/>
      <c r="BQ185"/>
      <c r="BR185"/>
      <c r="BS185"/>
      <c r="BT185" t="str">
        <f>HYPERLINK("https%3A%2F%2Fwww.webofscience.com%2Fwos%2Fwoscc%2Ffull-record%2F","View Full Record in Web of Science")</f>
        <v>View Full Record in Web of Science</v>
      </c>
    </row>
    <row r="186" spans="1:72" customHeight="1" ht="12.75">
      <c r="A186" t="s">
        <v>72</v>
      </c>
      <c r="B186" t="s">
        <v>1403</v>
      </c>
      <c r="C186"/>
      <c r="D186"/>
      <c r="E186"/>
      <c r="F186" t="s">
        <v>1404</v>
      </c>
      <c r="G186"/>
      <c r="H186"/>
      <c r="I186" t="s">
        <v>1405</v>
      </c>
      <c r="J186" t="s">
        <v>457</v>
      </c>
      <c r="K186"/>
      <c r="L186"/>
      <c r="M186"/>
      <c r="N186" t="s">
        <v>77</v>
      </c>
      <c r="O186"/>
      <c r="P186"/>
      <c r="Q186"/>
      <c r="R186"/>
      <c r="S186"/>
      <c r="T186" t="s">
        <v>1406</v>
      </c>
      <c r="U186" t="s">
        <v>1407</v>
      </c>
      <c r="V186"/>
      <c r="W186"/>
      <c r="X186"/>
      <c r="Y186"/>
      <c r="Z186"/>
      <c r="AA186"/>
      <c r="AB186"/>
      <c r="AC186"/>
      <c r="AD186"/>
      <c r="AE186"/>
      <c r="AF186"/>
      <c r="AG186"/>
      <c r="AH186">
        <v>19</v>
      </c>
      <c r="AI186">
        <v>20</v>
      </c>
      <c r="AJ186"/>
      <c r="AK186"/>
      <c r="AL186"/>
      <c r="AM186"/>
      <c r="AN186"/>
      <c r="AO186"/>
      <c r="AP186" t="s">
        <v>458</v>
      </c>
      <c r="AQ186"/>
      <c r="AR186"/>
      <c r="AS186"/>
      <c r="AT186" t="s">
        <v>362</v>
      </c>
      <c r="AU186">
        <v>2018</v>
      </c>
      <c r="AV186">
        <v>10</v>
      </c>
      <c r="AW186">
        <v>6</v>
      </c>
      <c r="AX186"/>
      <c r="AY186"/>
      <c r="AZ186"/>
      <c r="BA186"/>
      <c r="BB186"/>
      <c r="BC186"/>
      <c r="BD186">
        <v>1875</v>
      </c>
      <c r="BE186" t="s">
        <v>1408</v>
      </c>
      <c r="BF186" t="str">
        <f>HYPERLINK("http://dx.doi.org/10.3390/su10061875","http://dx.doi.org/10.3390/su10061875")</f>
        <v>http://dx.doi.org/10.3390/su10061875</v>
      </c>
      <c r="BG186"/>
      <c r="BH186"/>
      <c r="BI186"/>
      <c r="BJ186" t="s">
        <v>460</v>
      </c>
      <c r="BK186"/>
      <c r="BL186"/>
      <c r="BM186"/>
      <c r="BN186"/>
      <c r="BO186"/>
      <c r="BP186"/>
      <c r="BQ186"/>
      <c r="BR186"/>
      <c r="BS186"/>
      <c r="BT186" t="str">
        <f>HYPERLINK("https%3A%2F%2Fwww.webofscience.com%2Fwos%2Fwoscc%2Ffull-record%2F","View Full Record in Web of Science")</f>
        <v>View Full Record in Web of Science</v>
      </c>
    </row>
    <row r="187" spans="1:72" customHeight="1" ht="12.75">
      <c r="A187" t="s">
        <v>72</v>
      </c>
      <c r="B187" t="s">
        <v>1409</v>
      </c>
      <c r="C187"/>
      <c r="D187"/>
      <c r="E187"/>
      <c r="F187" t="s">
        <v>1410</v>
      </c>
      <c r="G187"/>
      <c r="H187"/>
      <c r="I187" t="s">
        <v>1411</v>
      </c>
      <c r="J187" t="s">
        <v>133</v>
      </c>
      <c r="K187"/>
      <c r="L187"/>
      <c r="M187"/>
      <c r="N187" t="s">
        <v>215</v>
      </c>
      <c r="O187"/>
      <c r="P187"/>
      <c r="Q187"/>
      <c r="R187"/>
      <c r="S187"/>
      <c r="T187" t="s">
        <v>1412</v>
      </c>
      <c r="U187" t="s">
        <v>1413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149</v>
      </c>
      <c r="AI187">
        <v>169</v>
      </c>
      <c r="AJ187"/>
      <c r="AK187"/>
      <c r="AL187"/>
      <c r="AM187"/>
      <c r="AN187"/>
      <c r="AO187" t="s">
        <v>136</v>
      </c>
      <c r="AP187" t="s">
        <v>137</v>
      </c>
      <c r="AQ187"/>
      <c r="AR187"/>
      <c r="AS187"/>
      <c r="AT187" t="s">
        <v>381</v>
      </c>
      <c r="AU187">
        <v>2007</v>
      </c>
      <c r="AV187">
        <v>11</v>
      </c>
      <c r="AW187">
        <v>2</v>
      </c>
      <c r="AX187"/>
      <c r="AY187"/>
      <c r="AZ187"/>
      <c r="BA187"/>
      <c r="BB187">
        <v>133</v>
      </c>
      <c r="BC187">
        <v>144</v>
      </c>
      <c r="BD187"/>
      <c r="BE187" t="s">
        <v>1414</v>
      </c>
      <c r="BF187" t="str">
        <f>HYPERLINK("http://dx.doi.org/10.1162/jie.2007.1220","http://dx.doi.org/10.1162/jie.2007.1220")</f>
        <v>http://dx.doi.org/10.1162/jie.2007.1220</v>
      </c>
      <c r="BG187"/>
      <c r="BH187"/>
      <c r="BI187"/>
      <c r="BJ187" t="s">
        <v>139</v>
      </c>
      <c r="BK187"/>
      <c r="BL187"/>
      <c r="BM187"/>
      <c r="BN187"/>
      <c r="BO187"/>
      <c r="BP187"/>
      <c r="BQ187"/>
      <c r="BR187"/>
      <c r="BS187"/>
      <c r="BT187" t="str">
        <f>HYPERLINK("https%3A%2F%2Fwww.webofscience.com%2Fwos%2Fwoscc%2Ffull-record%2F","View Full Record in Web of Science")</f>
        <v>View Full Record in Web of Science</v>
      </c>
    </row>
    <row r="188" spans="1:72" customHeight="1" ht="12.75">
      <c r="A188" t="s">
        <v>72</v>
      </c>
      <c r="B188" t="s">
        <v>1415</v>
      </c>
      <c r="C188"/>
      <c r="D188"/>
      <c r="E188"/>
      <c r="F188" t="s">
        <v>1416</v>
      </c>
      <c r="G188"/>
      <c r="H188"/>
      <c r="I188" t="s">
        <v>1417</v>
      </c>
      <c r="J188" t="s">
        <v>457</v>
      </c>
      <c r="K188"/>
      <c r="L188"/>
      <c r="M188"/>
      <c r="N188" t="s">
        <v>112</v>
      </c>
      <c r="O188"/>
      <c r="P188"/>
      <c r="Q188"/>
      <c r="R188"/>
      <c r="S188"/>
      <c r="T188" t="s">
        <v>1418</v>
      </c>
      <c r="U188" t="s">
        <v>1419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>
        <v>16</v>
      </c>
      <c r="AI188">
        <v>17</v>
      </c>
      <c r="AJ188"/>
      <c r="AK188"/>
      <c r="AL188"/>
      <c r="AM188"/>
      <c r="AN188"/>
      <c r="AO188"/>
      <c r="AP188" t="s">
        <v>458</v>
      </c>
      <c r="AQ188"/>
      <c r="AR188"/>
      <c r="AS188"/>
      <c r="AT188" t="s">
        <v>1420</v>
      </c>
      <c r="AU188">
        <v>2019</v>
      </c>
      <c r="AV188">
        <v>11</v>
      </c>
      <c r="AW188">
        <v>7</v>
      </c>
      <c r="AX188"/>
      <c r="AY188"/>
      <c r="AZ188"/>
      <c r="BA188"/>
      <c r="BB188"/>
      <c r="BC188"/>
      <c r="BD188">
        <v>2101</v>
      </c>
      <c r="BE188" t="s">
        <v>1421</v>
      </c>
      <c r="BF188" t="str">
        <f>HYPERLINK("http://dx.doi.org/10.3390/su11072101","http://dx.doi.org/10.3390/su11072101")</f>
        <v>http://dx.doi.org/10.3390/su11072101</v>
      </c>
      <c r="BG188"/>
      <c r="BH188"/>
      <c r="BI188"/>
      <c r="BJ188" t="s">
        <v>460</v>
      </c>
      <c r="BK188"/>
      <c r="BL188"/>
      <c r="BM188"/>
      <c r="BN188"/>
      <c r="BO188"/>
      <c r="BP188"/>
      <c r="BQ188"/>
      <c r="BR188"/>
      <c r="BS188"/>
      <c r="BT188" t="str">
        <f>HYPERLINK("https%3A%2F%2Fwww.webofscience.com%2Fwos%2Fwoscc%2Ffull-record%2F","View Full Record in Web of Science")</f>
        <v>View Full Record in Web of Science</v>
      </c>
    </row>
    <row r="189" spans="1:72" customHeight="1" ht="12.75">
      <c r="A189" t="s">
        <v>72</v>
      </c>
      <c r="B189" t="s">
        <v>1422</v>
      </c>
      <c r="C189"/>
      <c r="D189"/>
      <c r="E189"/>
      <c r="F189" t="s">
        <v>1423</v>
      </c>
      <c r="G189"/>
      <c r="H189"/>
      <c r="I189" t="s">
        <v>1424</v>
      </c>
      <c r="J189" t="s">
        <v>1425</v>
      </c>
      <c r="K189"/>
      <c r="L189"/>
      <c r="M189"/>
      <c r="N189" t="s">
        <v>325</v>
      </c>
      <c r="O189"/>
      <c r="P189"/>
      <c r="Q189"/>
      <c r="R189"/>
      <c r="S189"/>
      <c r="T189" t="s">
        <v>1426</v>
      </c>
      <c r="U189" t="s">
        <v>1427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>
        <v>7</v>
      </c>
      <c r="AI189">
        <v>7</v>
      </c>
      <c r="AJ189"/>
      <c r="AK189"/>
      <c r="AL189"/>
      <c r="AM189"/>
      <c r="AN189"/>
      <c r="AO189" t="s">
        <v>1428</v>
      </c>
      <c r="AP189" t="s">
        <v>1429</v>
      </c>
      <c r="AQ189"/>
      <c r="AR189"/>
      <c r="AS189"/>
      <c r="AT189" t="s">
        <v>1430</v>
      </c>
      <c r="AU189">
        <v>2022</v>
      </c>
      <c r="AV189">
        <v>112</v>
      </c>
      <c r="AW189">
        <v>4</v>
      </c>
      <c r="AX189"/>
      <c r="AY189"/>
      <c r="AZ189"/>
      <c r="BA189"/>
      <c r="BB189">
        <v>1159</v>
      </c>
      <c r="BC189">
        <v>1178</v>
      </c>
      <c r="BD189"/>
      <c r="BE189" t="s">
        <v>1431</v>
      </c>
      <c r="BF189" t="str">
        <f>HYPERLINK("http://dx.doi.org/10.1080/24694452.2021.1956875","http://dx.doi.org/10.1080/24694452.2021.1956875")</f>
        <v>http://dx.doi.org/10.1080/24694452.2021.1956875</v>
      </c>
      <c r="BG189"/>
      <c r="BH189" t="s">
        <v>1432</v>
      </c>
      <c r="BI189"/>
      <c r="BJ189" t="s">
        <v>83</v>
      </c>
      <c r="BK189"/>
      <c r="BL189"/>
      <c r="BM189"/>
      <c r="BN189"/>
      <c r="BO189"/>
      <c r="BP189"/>
      <c r="BQ189"/>
      <c r="BR189"/>
      <c r="BS189"/>
      <c r="BT189" t="str">
        <f>HYPERLINK("https%3A%2F%2Fwww.webofscience.com%2Fwos%2Fwoscc%2Ffull-record%2F","View Full Record in Web of Science")</f>
        <v>View Full Record in Web of Science</v>
      </c>
    </row>
    <row r="190" spans="1:72" customHeight="1" ht="12.75">
      <c r="A190" t="s">
        <v>72</v>
      </c>
      <c r="B190" t="s">
        <v>1433</v>
      </c>
      <c r="C190"/>
      <c r="D190"/>
      <c r="E190"/>
      <c r="F190" t="s">
        <v>1434</v>
      </c>
      <c r="G190"/>
      <c r="H190"/>
      <c r="I190" t="s">
        <v>1435</v>
      </c>
      <c r="J190" t="s">
        <v>1360</v>
      </c>
      <c r="K190"/>
      <c r="L190"/>
      <c r="M190"/>
      <c r="N190" t="s">
        <v>112</v>
      </c>
      <c r="O190"/>
      <c r="P190"/>
      <c r="Q190"/>
      <c r="R190"/>
      <c r="S190"/>
      <c r="T190" t="s">
        <v>1436</v>
      </c>
      <c r="U190" t="s">
        <v>1437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>
        <v>54</v>
      </c>
      <c r="AI190">
        <v>56</v>
      </c>
      <c r="AJ190"/>
      <c r="AK190"/>
      <c r="AL190"/>
      <c r="AM190"/>
      <c r="AN190"/>
      <c r="AO190" t="s">
        <v>1363</v>
      </c>
      <c r="AP190" t="s">
        <v>1364</v>
      </c>
      <c r="AQ190"/>
      <c r="AR190"/>
      <c r="AS190"/>
      <c r="AT190" t="s">
        <v>1438</v>
      </c>
      <c r="AU190">
        <v>2017</v>
      </c>
      <c r="AV190">
        <v>194</v>
      </c>
      <c r="AW190"/>
      <c r="AX190"/>
      <c r="AY190"/>
      <c r="AZ190"/>
      <c r="BA190"/>
      <c r="BB190">
        <v>774</v>
      </c>
      <c r="BC190">
        <v>783</v>
      </c>
      <c r="BD190"/>
      <c r="BE190" t="s">
        <v>1439</v>
      </c>
      <c r="BF190" t="str">
        <f>HYPERLINK("http://dx.doi.org/10.1016/j.apenergy.2016.10.069","http://dx.doi.org/10.1016/j.apenergy.2016.10.069")</f>
        <v>http://dx.doi.org/10.1016/j.apenergy.2016.10.069</v>
      </c>
      <c r="BG190"/>
      <c r="BH190"/>
      <c r="BI190"/>
      <c r="BJ190" t="s">
        <v>1367</v>
      </c>
      <c r="BK190"/>
      <c r="BL190"/>
      <c r="BM190"/>
      <c r="BN190"/>
      <c r="BO190"/>
      <c r="BP190"/>
      <c r="BQ190"/>
      <c r="BR190"/>
      <c r="BS190"/>
      <c r="BT190" t="str">
        <f>HYPERLINK("https%3A%2F%2Fwww.webofscience.com%2Fwos%2Fwoscc%2Ffull-record%2F","View Full Record in Web of Science")</f>
        <v>View Full Record in Web of Science</v>
      </c>
    </row>
    <row r="191" spans="1:72" customHeight="1" ht="12.75">
      <c r="A191" t="s">
        <v>72</v>
      </c>
      <c r="B191" t="s">
        <v>1440</v>
      </c>
      <c r="C191"/>
      <c r="D191"/>
      <c r="E191"/>
      <c r="F191" t="s">
        <v>1441</v>
      </c>
      <c r="G191"/>
      <c r="H191"/>
      <c r="I191" t="s">
        <v>1442</v>
      </c>
      <c r="J191" t="s">
        <v>1443</v>
      </c>
      <c r="K191"/>
      <c r="L191"/>
      <c r="M191"/>
      <c r="N191" t="s">
        <v>112</v>
      </c>
      <c r="O191"/>
      <c r="P191"/>
      <c r="Q191"/>
      <c r="R191"/>
      <c r="S191"/>
      <c r="T191"/>
      <c r="U191" t="s">
        <v>1444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>
        <v>111</v>
      </c>
      <c r="AI191">
        <v>125</v>
      </c>
      <c r="AJ191"/>
      <c r="AK191"/>
      <c r="AL191"/>
      <c r="AM191"/>
      <c r="AN191"/>
      <c r="AO191" t="s">
        <v>1445</v>
      </c>
      <c r="AP191" t="s">
        <v>1446</v>
      </c>
      <c r="AQ191"/>
      <c r="AR191"/>
      <c r="AS191"/>
      <c r="AT191" t="s">
        <v>190</v>
      </c>
      <c r="AU191">
        <v>2008</v>
      </c>
      <c r="AV191">
        <v>134</v>
      </c>
      <c r="AW191">
        <v>1</v>
      </c>
      <c r="AX191"/>
      <c r="AY191"/>
      <c r="AZ191"/>
      <c r="BA191"/>
      <c r="BB191">
        <v>21</v>
      </c>
      <c r="BC191">
        <v>31</v>
      </c>
      <c r="BD191"/>
      <c r="BE191" t="s">
        <v>1447</v>
      </c>
      <c r="BF191" t="str">
        <f>HYPERLINK("http://dx.doi.org/10.1061/(ASCE)0733-9488(2008)134:1(21)","http://dx.doi.org/10.1061/(ASCE)0733-9488(2008)134:1(21)")</f>
        <v>http://dx.doi.org/10.1061/(ASCE)0733-9488(2008)134:1(21)</v>
      </c>
      <c r="BG191"/>
      <c r="BH191"/>
      <c r="BI191"/>
      <c r="BJ191" t="s">
        <v>1448</v>
      </c>
      <c r="BK191"/>
      <c r="BL191"/>
      <c r="BM191"/>
      <c r="BN191"/>
      <c r="BO191"/>
      <c r="BP191"/>
      <c r="BQ191"/>
      <c r="BR191"/>
      <c r="BS191"/>
      <c r="BT191" t="str">
        <f>HYPERLINK("https%3A%2F%2Fwww.webofscience.com%2Fwos%2Fwoscc%2Ffull-record%2F","View Full Record in Web of Science")</f>
        <v>View Full Record in Web of Science</v>
      </c>
    </row>
    <row r="192" spans="1:72" customHeight="1" ht="12.75">
      <c r="A192" t="s">
        <v>72</v>
      </c>
      <c r="B192" t="s">
        <v>1449</v>
      </c>
      <c r="C192"/>
      <c r="D192"/>
      <c r="E192"/>
      <c r="F192" t="s">
        <v>1450</v>
      </c>
      <c r="G192"/>
      <c r="H192"/>
      <c r="I192" t="s">
        <v>1451</v>
      </c>
      <c r="J192" t="s">
        <v>1452</v>
      </c>
      <c r="K192"/>
      <c r="L192"/>
      <c r="M192"/>
      <c r="N192" t="s">
        <v>112</v>
      </c>
      <c r="O192"/>
      <c r="P192"/>
      <c r="Q192"/>
      <c r="R192"/>
      <c r="S192"/>
      <c r="T192" t="s">
        <v>1453</v>
      </c>
      <c r="U192" t="s">
        <v>1454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>
        <v>10</v>
      </c>
      <c r="AI192">
        <v>10</v>
      </c>
      <c r="AJ192"/>
      <c r="AK192"/>
      <c r="AL192"/>
      <c r="AM192"/>
      <c r="AN192"/>
      <c r="AO192" t="s">
        <v>1455</v>
      </c>
      <c r="AP192" t="s">
        <v>1456</v>
      </c>
      <c r="AQ192"/>
      <c r="AR192"/>
      <c r="AS192"/>
      <c r="AT192" t="s">
        <v>1457</v>
      </c>
      <c r="AU192">
        <v>2015</v>
      </c>
      <c r="AV192">
        <v>58</v>
      </c>
      <c r="AW192">
        <v>10</v>
      </c>
      <c r="AX192"/>
      <c r="AY192"/>
      <c r="AZ192"/>
      <c r="BA192"/>
      <c r="BB192">
        <v>1749</v>
      </c>
      <c r="BC192">
        <v>1769</v>
      </c>
      <c r="BD192"/>
      <c r="BE192" t="s">
        <v>1458</v>
      </c>
      <c r="BF192" t="str">
        <f>HYPERLINK("http://dx.doi.org/10.1080/09640568.2014.951115","http://dx.doi.org/10.1080/09640568.2014.951115")</f>
        <v>http://dx.doi.org/10.1080/09640568.2014.951115</v>
      </c>
      <c r="BG192"/>
      <c r="BH192"/>
      <c r="BI192"/>
      <c r="BJ192" t="s">
        <v>1459</v>
      </c>
      <c r="BK192"/>
      <c r="BL192"/>
      <c r="BM192"/>
      <c r="BN192"/>
      <c r="BO192"/>
      <c r="BP192"/>
      <c r="BQ192"/>
      <c r="BR192"/>
      <c r="BS192"/>
      <c r="BT192" t="str">
        <f>HYPERLINK("https%3A%2F%2Fwww.webofscience.com%2Fwos%2Fwoscc%2Ffull-record%2F","View Full Record in Web of Science")</f>
        <v>View Full Record in Web of Science</v>
      </c>
    </row>
    <row r="193" spans="1:72" customHeight="1" ht="12.75">
      <c r="A193" t="s">
        <v>72</v>
      </c>
      <c r="B193" t="s">
        <v>1460</v>
      </c>
      <c r="C193"/>
      <c r="D193"/>
      <c r="E193"/>
      <c r="F193" t="s">
        <v>1461</v>
      </c>
      <c r="G193"/>
      <c r="H193"/>
      <c r="I193" t="s">
        <v>1462</v>
      </c>
      <c r="J193" t="s">
        <v>87</v>
      </c>
      <c r="K193"/>
      <c r="L193"/>
      <c r="M193"/>
      <c r="N193" t="s">
        <v>112</v>
      </c>
      <c r="O193"/>
      <c r="P193"/>
      <c r="Q193"/>
      <c r="R193"/>
      <c r="S193"/>
      <c r="T193" t="s">
        <v>1463</v>
      </c>
      <c r="U193" t="s">
        <v>1464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38</v>
      </c>
      <c r="AI193">
        <v>44</v>
      </c>
      <c r="AJ193"/>
      <c r="AK193"/>
      <c r="AL193"/>
      <c r="AM193"/>
      <c r="AN193"/>
      <c r="AO193" t="s">
        <v>90</v>
      </c>
      <c r="AP193" t="s">
        <v>91</v>
      </c>
      <c r="AQ193"/>
      <c r="AR193"/>
      <c r="AS193"/>
      <c r="AT193" t="s">
        <v>117</v>
      </c>
      <c r="AU193">
        <v>2020</v>
      </c>
      <c r="AV193">
        <v>112</v>
      </c>
      <c r="AW193"/>
      <c r="AX193"/>
      <c r="AY193"/>
      <c r="AZ193"/>
      <c r="BA193"/>
      <c r="BB193"/>
      <c r="BC193"/>
      <c r="BD193">
        <v>106074</v>
      </c>
      <c r="BE193" t="s">
        <v>1465</v>
      </c>
      <c r="BF193" t="str">
        <f>HYPERLINK("http://dx.doi.org/10.1016/j.ecolind.2020.106074","http://dx.doi.org/10.1016/j.ecolind.2020.106074")</f>
        <v>http://dx.doi.org/10.1016/j.ecolind.2020.106074</v>
      </c>
      <c r="BG193"/>
      <c r="BH193"/>
      <c r="BI193"/>
      <c r="BJ193" t="s">
        <v>94</v>
      </c>
      <c r="BK193"/>
      <c r="BL193"/>
      <c r="BM193"/>
      <c r="BN193"/>
      <c r="BO193"/>
      <c r="BP193"/>
      <c r="BQ193"/>
      <c r="BR193"/>
      <c r="BS193"/>
      <c r="BT193" t="str">
        <f>HYPERLINK("https%3A%2F%2Fwww.webofscience.com%2Fwos%2Fwoscc%2Ffull-record%2F","View Full Record in Web of Science")</f>
        <v>View Full Record in Web of Science</v>
      </c>
    </row>
    <row r="194" spans="1:72" customHeight="1" ht="12.75">
      <c r="A194" t="s">
        <v>72</v>
      </c>
      <c r="B194" t="s">
        <v>1466</v>
      </c>
      <c r="C194"/>
      <c r="D194"/>
      <c r="E194"/>
      <c r="F194" t="s">
        <v>1467</v>
      </c>
      <c r="G194"/>
      <c r="H194"/>
      <c r="I194" t="s">
        <v>1468</v>
      </c>
      <c r="J194" t="s">
        <v>254</v>
      </c>
      <c r="K194"/>
      <c r="L194"/>
      <c r="M194"/>
      <c r="N194" t="s">
        <v>167</v>
      </c>
      <c r="O194"/>
      <c r="P194"/>
      <c r="Q194"/>
      <c r="R194"/>
      <c r="S194"/>
      <c r="T194" t="s">
        <v>1469</v>
      </c>
      <c r="U194" t="s">
        <v>1470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1</v>
      </c>
      <c r="AI194">
        <v>1</v>
      </c>
      <c r="AJ194"/>
      <c r="AK194"/>
      <c r="AL194"/>
      <c r="AM194"/>
      <c r="AN194"/>
      <c r="AO194" t="s">
        <v>257</v>
      </c>
      <c r="AP194"/>
      <c r="AQ194"/>
      <c r="AR194"/>
      <c r="AS194"/>
      <c r="AT194"/>
      <c r="AU194">
        <v>2019</v>
      </c>
      <c r="AV194">
        <v>4</v>
      </c>
      <c r="AW194">
        <v>1</v>
      </c>
      <c r="AX194"/>
      <c r="AY194"/>
      <c r="AZ194"/>
      <c r="BA194"/>
      <c r="BB194">
        <v>106</v>
      </c>
      <c r="BC194">
        <v>112</v>
      </c>
      <c r="BD194"/>
      <c r="BE194" t="s">
        <v>1471</v>
      </c>
      <c r="BF194" t="str">
        <f>HYPERLINK("http://dx.doi.org/10.17645/up.v4i1.1988","http://dx.doi.org/10.17645/up.v4i1.1988")</f>
        <v>http://dx.doi.org/10.17645/up.v4i1.1988</v>
      </c>
      <c r="BG194"/>
      <c r="BH194"/>
      <c r="BI194"/>
      <c r="BJ194" t="s">
        <v>243</v>
      </c>
      <c r="BK194"/>
      <c r="BL194"/>
      <c r="BM194"/>
      <c r="BN194"/>
      <c r="BO194"/>
      <c r="BP194"/>
      <c r="BQ194"/>
      <c r="BR194"/>
      <c r="BS194"/>
      <c r="BT194" t="str">
        <f>HYPERLINK("https%3A%2F%2Fwww.webofscience.com%2Fwos%2Fwoscc%2Ffull-record%2F","View Full Record in Web of Science")</f>
        <v>View Full Record in Web of Science</v>
      </c>
    </row>
    <row r="195" spans="1:72" customHeight="1" ht="12.75">
      <c r="A195" t="s">
        <v>72</v>
      </c>
      <c r="B195" t="s">
        <v>1472</v>
      </c>
      <c r="C195"/>
      <c r="D195"/>
      <c r="E195"/>
      <c r="F195" t="s">
        <v>1473</v>
      </c>
      <c r="G195"/>
      <c r="H195"/>
      <c r="I195" t="s">
        <v>1474</v>
      </c>
      <c r="J195" t="s">
        <v>457</v>
      </c>
      <c r="K195"/>
      <c r="L195"/>
      <c r="M195"/>
      <c r="N195" t="s">
        <v>112</v>
      </c>
      <c r="O195"/>
      <c r="P195"/>
      <c r="Q195"/>
      <c r="R195"/>
      <c r="S195"/>
      <c r="T195" t="s">
        <v>1475</v>
      </c>
      <c r="U195" t="s">
        <v>1476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>
        <v>7</v>
      </c>
      <c r="AI195">
        <v>7</v>
      </c>
      <c r="AJ195"/>
      <c r="AK195"/>
      <c r="AL195"/>
      <c r="AM195"/>
      <c r="AN195"/>
      <c r="AO195" t="s">
        <v>458</v>
      </c>
      <c r="AP195"/>
      <c r="AQ195"/>
      <c r="AR195"/>
      <c r="AS195"/>
      <c r="AT195" t="s">
        <v>385</v>
      </c>
      <c r="AU195">
        <v>2016</v>
      </c>
      <c r="AV195">
        <v>8</v>
      </c>
      <c r="AW195">
        <v>7</v>
      </c>
      <c r="AX195"/>
      <c r="AY195"/>
      <c r="AZ195"/>
      <c r="BA195"/>
      <c r="BB195"/>
      <c r="BC195"/>
      <c r="BD195">
        <v>635</v>
      </c>
      <c r="BE195" t="s">
        <v>1477</v>
      </c>
      <c r="BF195" t="str">
        <f>HYPERLINK("http://dx.doi.org/10.3390/su8070635","http://dx.doi.org/10.3390/su8070635")</f>
        <v>http://dx.doi.org/10.3390/su8070635</v>
      </c>
      <c r="BG195"/>
      <c r="BH195"/>
      <c r="BI195"/>
      <c r="BJ195" t="s">
        <v>460</v>
      </c>
      <c r="BK195"/>
      <c r="BL195"/>
      <c r="BM195"/>
      <c r="BN195"/>
      <c r="BO195"/>
      <c r="BP195"/>
      <c r="BQ195"/>
      <c r="BR195"/>
      <c r="BS195"/>
      <c r="BT195" t="str">
        <f>HYPERLINK("https%3A%2F%2Fwww.webofscience.com%2Fwos%2Fwoscc%2Ffull-record%2F","View Full Record in Web of Science")</f>
        <v>View Full Record in Web of Science</v>
      </c>
    </row>
    <row r="196" spans="1:72" customHeight="1" ht="12.75">
      <c r="A196" t="s">
        <v>72</v>
      </c>
      <c r="B196" t="s">
        <v>1478</v>
      </c>
      <c r="C196"/>
      <c r="D196"/>
      <c r="E196"/>
      <c r="F196" t="s">
        <v>1479</v>
      </c>
      <c r="G196"/>
      <c r="H196"/>
      <c r="I196" t="s">
        <v>1480</v>
      </c>
      <c r="J196" t="s">
        <v>1067</v>
      </c>
      <c r="K196"/>
      <c r="L196"/>
      <c r="M196"/>
      <c r="N196" t="s">
        <v>112</v>
      </c>
      <c r="O196"/>
      <c r="P196"/>
      <c r="Q196"/>
      <c r="R196"/>
      <c r="S196"/>
      <c r="T196" t="s">
        <v>1481</v>
      </c>
      <c r="U196" t="s">
        <v>1482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46</v>
      </c>
      <c r="AI196">
        <v>48</v>
      </c>
      <c r="AJ196"/>
      <c r="AK196"/>
      <c r="AL196"/>
      <c r="AM196"/>
      <c r="AN196"/>
      <c r="AO196" t="s">
        <v>1070</v>
      </c>
      <c r="AP196" t="s">
        <v>1071</v>
      </c>
      <c r="AQ196"/>
      <c r="AR196"/>
      <c r="AS196"/>
      <c r="AT196" t="s">
        <v>708</v>
      </c>
      <c r="AU196">
        <v>2017</v>
      </c>
      <c r="AV196">
        <v>580</v>
      </c>
      <c r="AW196"/>
      <c r="AX196"/>
      <c r="AY196"/>
      <c r="AZ196"/>
      <c r="BA196"/>
      <c r="BB196">
        <v>755</v>
      </c>
      <c r="BC196">
        <v>769</v>
      </c>
      <c r="BD196"/>
      <c r="BE196" t="s">
        <v>1483</v>
      </c>
      <c r="BF196" t="str">
        <f>HYPERLINK("http://dx.doi.org/10.1016/j.scitotenv.2016.12.022","http://dx.doi.org/10.1016/j.scitotenv.2016.12.022")</f>
        <v>http://dx.doi.org/10.1016/j.scitotenv.2016.12.022</v>
      </c>
      <c r="BG196"/>
      <c r="BH196"/>
      <c r="BI196"/>
      <c r="BJ196" t="s">
        <v>224</v>
      </c>
      <c r="BK196"/>
      <c r="BL196"/>
      <c r="BM196"/>
      <c r="BN196"/>
      <c r="BO196"/>
      <c r="BP196"/>
      <c r="BQ196"/>
      <c r="BR196"/>
      <c r="BS196"/>
      <c r="BT196" t="str">
        <f>HYPERLINK("https%3A%2F%2Fwww.webofscience.com%2Fwos%2Fwoscc%2Ffull-record%2F","View Full Record in Web of Science")</f>
        <v>View Full Record in Web of Science</v>
      </c>
    </row>
    <row r="197" spans="1:72" customHeight="1" ht="12.75">
      <c r="A197" t="s">
        <v>72</v>
      </c>
      <c r="B197" t="s">
        <v>1484</v>
      </c>
      <c r="C197"/>
      <c r="D197"/>
      <c r="E197"/>
      <c r="F197" t="s">
        <v>1485</v>
      </c>
      <c r="G197"/>
      <c r="H197"/>
      <c r="I197" t="s">
        <v>1486</v>
      </c>
      <c r="J197" t="s">
        <v>133</v>
      </c>
      <c r="K197"/>
      <c r="L197"/>
      <c r="M197"/>
      <c r="N197" t="s">
        <v>112</v>
      </c>
      <c r="O197"/>
      <c r="P197"/>
      <c r="Q197"/>
      <c r="R197"/>
      <c r="S197"/>
      <c r="T197" t="s">
        <v>1487</v>
      </c>
      <c r="U197" t="s">
        <v>1488</v>
      </c>
      <c r="V197"/>
      <c r="W197"/>
      <c r="X197"/>
      <c r="Y197"/>
      <c r="Z197"/>
      <c r="AA197"/>
      <c r="AB197"/>
      <c r="AC197"/>
      <c r="AD197"/>
      <c r="AE197"/>
      <c r="AF197"/>
      <c r="AG197"/>
      <c r="AH197">
        <v>9</v>
      </c>
      <c r="AI197">
        <v>11</v>
      </c>
      <c r="AJ197"/>
      <c r="AK197"/>
      <c r="AL197"/>
      <c r="AM197"/>
      <c r="AN197"/>
      <c r="AO197" t="s">
        <v>136</v>
      </c>
      <c r="AP197" t="s">
        <v>137</v>
      </c>
      <c r="AQ197"/>
      <c r="AR197"/>
      <c r="AS197"/>
      <c r="AT197" t="s">
        <v>198</v>
      </c>
      <c r="AU197">
        <v>2016</v>
      </c>
      <c r="AV197">
        <v>20</v>
      </c>
      <c r="AW197">
        <v>5</v>
      </c>
      <c r="AX197"/>
      <c r="AY197"/>
      <c r="AZ197"/>
      <c r="BA197"/>
      <c r="BB197">
        <v>1134</v>
      </c>
      <c r="BC197">
        <v>1147</v>
      </c>
      <c r="BD197"/>
      <c r="BE197" t="s">
        <v>1489</v>
      </c>
      <c r="BF197" t="str">
        <f>HYPERLINK("http://dx.doi.org/10.1111/jiec.12359","http://dx.doi.org/10.1111/jiec.12359")</f>
        <v>http://dx.doi.org/10.1111/jiec.12359</v>
      </c>
      <c r="BG197"/>
      <c r="BH197"/>
      <c r="BI197"/>
      <c r="BJ197" t="s">
        <v>139</v>
      </c>
      <c r="BK197"/>
      <c r="BL197"/>
      <c r="BM197"/>
      <c r="BN197"/>
      <c r="BO197"/>
      <c r="BP197"/>
      <c r="BQ197"/>
      <c r="BR197"/>
      <c r="BS197"/>
      <c r="BT197" t="str">
        <f>HYPERLINK("https%3A%2F%2Fwww.webofscience.com%2Fwos%2Fwoscc%2Ffull-record%2F","View Full Record in Web of Science")</f>
        <v>View Full Record in Web of Science</v>
      </c>
    </row>
    <row r="198" spans="1:72" customHeight="1" ht="12.75">
      <c r="A198" t="s">
        <v>72</v>
      </c>
      <c r="B198" t="s">
        <v>1490</v>
      </c>
      <c r="C198"/>
      <c r="D198"/>
      <c r="E198"/>
      <c r="F198" t="s">
        <v>1491</v>
      </c>
      <c r="G198"/>
      <c r="H198"/>
      <c r="I198" t="s">
        <v>1492</v>
      </c>
      <c r="J198" t="s">
        <v>185</v>
      </c>
      <c r="K198"/>
      <c r="L198"/>
      <c r="M198"/>
      <c r="N198" t="s">
        <v>112</v>
      </c>
      <c r="O198"/>
      <c r="P198"/>
      <c r="Q198"/>
      <c r="R198"/>
      <c r="S198"/>
      <c r="T198" t="s">
        <v>1493</v>
      </c>
      <c r="U198" t="s">
        <v>1494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>
        <v>27</v>
      </c>
      <c r="AI198">
        <v>29</v>
      </c>
      <c r="AJ198"/>
      <c r="AK198"/>
      <c r="AL198"/>
      <c r="AM198"/>
      <c r="AN198"/>
      <c r="AO198" t="s">
        <v>188</v>
      </c>
      <c r="AP198" t="s">
        <v>189</v>
      </c>
      <c r="AQ198"/>
      <c r="AR198"/>
      <c r="AS198"/>
      <c r="AT198" t="s">
        <v>404</v>
      </c>
      <c r="AU198">
        <v>2020</v>
      </c>
      <c r="AV198">
        <v>167</v>
      </c>
      <c r="AW198"/>
      <c r="AX198"/>
      <c r="AY198"/>
      <c r="AZ198"/>
      <c r="BA198"/>
      <c r="BB198"/>
      <c r="BC198"/>
      <c r="BD198">
        <v>106447</v>
      </c>
      <c r="BE198" t="s">
        <v>1495</v>
      </c>
      <c r="BF198" t="str">
        <f>HYPERLINK("http://dx.doi.org/10.1016/j.ecolecon.2019.106447","http://dx.doi.org/10.1016/j.ecolecon.2019.106447")</f>
        <v>http://dx.doi.org/10.1016/j.ecolecon.2019.106447</v>
      </c>
      <c r="BG198"/>
      <c r="BH198"/>
      <c r="BI198"/>
      <c r="BJ198" t="s">
        <v>192</v>
      </c>
      <c r="BK198"/>
      <c r="BL198"/>
      <c r="BM198"/>
      <c r="BN198"/>
      <c r="BO198"/>
      <c r="BP198"/>
      <c r="BQ198"/>
      <c r="BR198"/>
      <c r="BS198"/>
      <c r="BT198" t="str">
        <f>HYPERLINK("https%3A%2F%2Fwww.webofscience.com%2Fwos%2Fwoscc%2Ffull-record%2F","View Full Record in Web of Science")</f>
        <v>View Full Record in Web of Science</v>
      </c>
    </row>
    <row r="199" spans="1:72" customHeight="1" ht="12.75">
      <c r="A199" t="s">
        <v>72</v>
      </c>
      <c r="B199" t="s">
        <v>1496</v>
      </c>
      <c r="C199"/>
      <c r="D199"/>
      <c r="E199"/>
      <c r="F199" t="s">
        <v>1497</v>
      </c>
      <c r="G199"/>
      <c r="H199"/>
      <c r="I199" t="s">
        <v>1498</v>
      </c>
      <c r="J199" t="s">
        <v>133</v>
      </c>
      <c r="K199"/>
      <c r="L199"/>
      <c r="M199"/>
      <c r="N199" t="s">
        <v>112</v>
      </c>
      <c r="O199"/>
      <c r="P199"/>
      <c r="Q199"/>
      <c r="R199"/>
      <c r="S199"/>
      <c r="T199" t="s">
        <v>1499</v>
      </c>
      <c r="U199" t="s">
        <v>1500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>
        <v>9</v>
      </c>
      <c r="AI199">
        <v>9</v>
      </c>
      <c r="AJ199"/>
      <c r="AK199"/>
      <c r="AL199"/>
      <c r="AM199"/>
      <c r="AN199"/>
      <c r="AO199" t="s">
        <v>136</v>
      </c>
      <c r="AP199" t="s">
        <v>137</v>
      </c>
      <c r="AQ199"/>
      <c r="AR199"/>
      <c r="AS199"/>
      <c r="AT199" t="s">
        <v>198</v>
      </c>
      <c r="AU199">
        <v>2015</v>
      </c>
      <c r="AV199">
        <v>19</v>
      </c>
      <c r="AW199">
        <v>5</v>
      </c>
      <c r="AX199"/>
      <c r="AY199"/>
      <c r="AZ199" t="s">
        <v>222</v>
      </c>
      <c r="BA199"/>
      <c r="BB199">
        <v>695</v>
      </c>
      <c r="BC199">
        <v>702</v>
      </c>
      <c r="BD199"/>
      <c r="BE199" t="s">
        <v>1501</v>
      </c>
      <c r="BF199" t="str">
        <f>HYPERLINK("http://dx.doi.org/10.1111/jiec.12320","http://dx.doi.org/10.1111/jiec.12320")</f>
        <v>http://dx.doi.org/10.1111/jiec.12320</v>
      </c>
      <c r="BG199"/>
      <c r="BH199"/>
      <c r="BI199"/>
      <c r="BJ199" t="s">
        <v>139</v>
      </c>
      <c r="BK199"/>
      <c r="BL199"/>
      <c r="BM199"/>
      <c r="BN199"/>
      <c r="BO199"/>
      <c r="BP199"/>
      <c r="BQ199"/>
      <c r="BR199"/>
      <c r="BS199"/>
      <c r="BT199" t="str">
        <f>HYPERLINK("https%3A%2F%2Fwww.webofscience.com%2Fwos%2Fwoscc%2Ffull-record%2F","View Full Record in Web of Science")</f>
        <v>View Full Record in Web of Science</v>
      </c>
    </row>
    <row r="200" spans="1:72" customHeight="1" ht="12.75">
      <c r="A200" t="s">
        <v>72</v>
      </c>
      <c r="B200" t="s">
        <v>1502</v>
      </c>
      <c r="C200"/>
      <c r="D200"/>
      <c r="E200"/>
      <c r="F200" t="s">
        <v>1503</v>
      </c>
      <c r="G200"/>
      <c r="H200"/>
      <c r="I200" t="s">
        <v>1504</v>
      </c>
      <c r="J200" t="s">
        <v>133</v>
      </c>
      <c r="K200"/>
      <c r="L200"/>
      <c r="M200"/>
      <c r="N200" t="s">
        <v>112</v>
      </c>
      <c r="O200"/>
      <c r="P200"/>
      <c r="Q200"/>
      <c r="R200"/>
      <c r="S200"/>
      <c r="T200" t="s">
        <v>1505</v>
      </c>
      <c r="U200" t="s">
        <v>1506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>
        <v>10</v>
      </c>
      <c r="AI200">
        <v>11</v>
      </c>
      <c r="AJ200"/>
      <c r="AK200"/>
      <c r="AL200"/>
      <c r="AM200"/>
      <c r="AN200"/>
      <c r="AO200" t="s">
        <v>136</v>
      </c>
      <c r="AP200" t="s">
        <v>137</v>
      </c>
      <c r="AQ200"/>
      <c r="AR200"/>
      <c r="AS200"/>
      <c r="AT200" t="s">
        <v>198</v>
      </c>
      <c r="AU200">
        <v>2019</v>
      </c>
      <c r="AV200">
        <v>23</v>
      </c>
      <c r="AW200">
        <v>5</v>
      </c>
      <c r="AX200"/>
      <c r="AY200"/>
      <c r="AZ200"/>
      <c r="BA200"/>
      <c r="BB200">
        <v>1121</v>
      </c>
      <c r="BC200">
        <v>1132</v>
      </c>
      <c r="BD200"/>
      <c r="BE200" t="s">
        <v>1507</v>
      </c>
      <c r="BF200" t="str">
        <f>HYPERLINK("http://dx.doi.org/10.1111/jiec.12849","http://dx.doi.org/10.1111/jiec.12849")</f>
        <v>http://dx.doi.org/10.1111/jiec.12849</v>
      </c>
      <c r="BG200"/>
      <c r="BH200"/>
      <c r="BI200"/>
      <c r="BJ200" t="s">
        <v>139</v>
      </c>
      <c r="BK200"/>
      <c r="BL200"/>
      <c r="BM200"/>
      <c r="BN200"/>
      <c r="BO200"/>
      <c r="BP200"/>
      <c r="BQ200"/>
      <c r="BR200"/>
      <c r="BS200"/>
      <c r="BT200" t="str">
        <f>HYPERLINK("https%3A%2F%2Fwww.webofscience.com%2Fwos%2Fwoscc%2Ffull-record%2F","View Full Record in Web of Science")</f>
        <v>View Full Record in Web of Science</v>
      </c>
    </row>
    <row r="201" spans="1:72" customHeight="1" ht="12.75">
      <c r="A201" t="s">
        <v>72</v>
      </c>
      <c r="B201" t="s">
        <v>1508</v>
      </c>
      <c r="C201"/>
      <c r="D201"/>
      <c r="E201"/>
      <c r="F201" t="s">
        <v>1509</v>
      </c>
      <c r="G201"/>
      <c r="H201"/>
      <c r="I201" t="s">
        <v>1510</v>
      </c>
      <c r="J201" t="s">
        <v>409</v>
      </c>
      <c r="K201"/>
      <c r="L201"/>
      <c r="M201"/>
      <c r="N201" t="s">
        <v>112</v>
      </c>
      <c r="O201"/>
      <c r="P201"/>
      <c r="Q201"/>
      <c r="R201"/>
      <c r="S201"/>
      <c r="T201" t="s">
        <v>1511</v>
      </c>
      <c r="U201" t="s">
        <v>1512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>
        <v>39</v>
      </c>
      <c r="AI201">
        <v>42</v>
      </c>
      <c r="AJ201"/>
      <c r="AK201"/>
      <c r="AL201"/>
      <c r="AM201"/>
      <c r="AN201"/>
      <c r="AO201" t="s">
        <v>1080</v>
      </c>
      <c r="AP201" t="s">
        <v>1081</v>
      </c>
      <c r="AQ201"/>
      <c r="AR201"/>
      <c r="AS201"/>
      <c r="AT201" t="s">
        <v>394</v>
      </c>
      <c r="AU201">
        <v>2017</v>
      </c>
      <c r="AV201">
        <v>62</v>
      </c>
      <c r="AW201"/>
      <c r="AX201"/>
      <c r="AY201"/>
      <c r="AZ201"/>
      <c r="BA201"/>
      <c r="BB201">
        <v>107</v>
      </c>
      <c r="BC201">
        <v>119</v>
      </c>
      <c r="BD201"/>
      <c r="BE201" t="s">
        <v>1513</v>
      </c>
      <c r="BF201" t="str">
        <f>HYPERLINK("http://dx.doi.org/10.1016/j.cities.2016.12.018","http://dx.doi.org/10.1016/j.cities.2016.12.018")</f>
        <v>http://dx.doi.org/10.1016/j.cities.2016.12.018</v>
      </c>
      <c r="BG201"/>
      <c r="BH201"/>
      <c r="BI201"/>
      <c r="BJ201" t="s">
        <v>243</v>
      </c>
      <c r="BK201"/>
      <c r="BL201"/>
      <c r="BM201"/>
      <c r="BN201"/>
      <c r="BO201"/>
      <c r="BP201"/>
      <c r="BQ201"/>
      <c r="BR201"/>
      <c r="BS201"/>
      <c r="BT201" t="str">
        <f>HYPERLINK("https%3A%2F%2Fwww.webofscience.com%2Fwos%2Fwoscc%2Ffull-record%2F","View Full Record in Web of Science")</f>
        <v>View Full Record in Web of Science</v>
      </c>
    </row>
    <row r="202" spans="1:72" customHeight="1" ht="12.75">
      <c r="A202" t="s">
        <v>72</v>
      </c>
      <c r="B202" t="s">
        <v>1514</v>
      </c>
      <c r="C202"/>
      <c r="D202"/>
      <c r="E202"/>
      <c r="F202" t="s">
        <v>1515</v>
      </c>
      <c r="G202"/>
      <c r="H202"/>
      <c r="I202" t="s">
        <v>1516</v>
      </c>
      <c r="J202" t="s">
        <v>1517</v>
      </c>
      <c r="K202"/>
      <c r="L202"/>
      <c r="M202"/>
      <c r="N202" t="s">
        <v>112</v>
      </c>
      <c r="O202"/>
      <c r="P202"/>
      <c r="Q202"/>
      <c r="R202"/>
      <c r="S202"/>
      <c r="T202" t="s">
        <v>1518</v>
      </c>
      <c r="U202" t="s">
        <v>1519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>
        <v>0.0</v>
      </c>
      <c r="AI202">
        <v>0.0</v>
      </c>
      <c r="AJ202"/>
      <c r="AK202"/>
      <c r="AL202"/>
      <c r="AM202"/>
      <c r="AN202"/>
      <c r="AO202" t="s">
        <v>1520</v>
      </c>
      <c r="AP202" t="s">
        <v>1521</v>
      </c>
      <c r="AQ202"/>
      <c r="AR202"/>
      <c r="AS202"/>
      <c r="AT202" t="s">
        <v>1522</v>
      </c>
      <c r="AU202">
        <v>2020</v>
      </c>
      <c r="AV202">
        <v>22</v>
      </c>
      <c r="AW202">
        <v>2</v>
      </c>
      <c r="AX202"/>
      <c r="AY202"/>
      <c r="AZ202"/>
      <c r="BA202"/>
      <c r="BB202">
        <v>94</v>
      </c>
      <c r="BC202">
        <v>105</v>
      </c>
      <c r="BD202"/>
      <c r="BE202" t="s">
        <v>1523</v>
      </c>
      <c r="BF202" t="str">
        <f>HYPERLINK("http://dx.doi.org/10.14718/RevArq.2020.2551","http://dx.doi.org/10.14718/RevArq.2020.2551")</f>
        <v>http://dx.doi.org/10.14718/RevArq.2020.2551</v>
      </c>
      <c r="BG202"/>
      <c r="BH202"/>
      <c r="BI202"/>
      <c r="BJ202" t="s">
        <v>233</v>
      </c>
      <c r="BK202"/>
      <c r="BL202"/>
      <c r="BM202"/>
      <c r="BN202"/>
      <c r="BO202"/>
      <c r="BP202"/>
      <c r="BQ202"/>
      <c r="BR202"/>
      <c r="BS202"/>
      <c r="BT202" t="str">
        <f>HYPERLINK("https%3A%2F%2Fwww.webofscience.com%2Fwos%2Fwoscc%2Ffull-record%2F","View Full Record in Web of Science")</f>
        <v>View Full Record in Web of Science</v>
      </c>
    </row>
    <row r="203" spans="1:72" customHeight="1" ht="12.75">
      <c r="A203" t="s">
        <v>72</v>
      </c>
      <c r="B203" t="s">
        <v>1524</v>
      </c>
      <c r="C203"/>
      <c r="D203"/>
      <c r="E203"/>
      <c r="F203" t="s">
        <v>1525</v>
      </c>
      <c r="G203"/>
      <c r="H203"/>
      <c r="I203" t="s">
        <v>1526</v>
      </c>
      <c r="J203" t="s">
        <v>98</v>
      </c>
      <c r="K203"/>
      <c r="L203"/>
      <c r="M203"/>
      <c r="N203" t="s">
        <v>112</v>
      </c>
      <c r="O203"/>
      <c r="P203"/>
      <c r="Q203"/>
      <c r="R203"/>
      <c r="S203"/>
      <c r="T203" t="s">
        <v>1527</v>
      </c>
      <c r="U203" t="s">
        <v>1528</v>
      </c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32</v>
      </c>
      <c r="AI203">
        <v>35</v>
      </c>
      <c r="AJ203"/>
      <c r="AK203"/>
      <c r="AL203"/>
      <c r="AM203"/>
      <c r="AN203"/>
      <c r="AO203" t="s">
        <v>102</v>
      </c>
      <c r="AP203" t="s">
        <v>103</v>
      </c>
      <c r="AQ203"/>
      <c r="AR203"/>
      <c r="AS203"/>
      <c r="AT203" t="s">
        <v>404</v>
      </c>
      <c r="AU203">
        <v>2014</v>
      </c>
      <c r="AV203">
        <v>121</v>
      </c>
      <c r="AW203"/>
      <c r="AX203"/>
      <c r="AY203"/>
      <c r="AZ203"/>
      <c r="BA203"/>
      <c r="BB203">
        <v>19</v>
      </c>
      <c r="BC203">
        <v>33</v>
      </c>
      <c r="BD203"/>
      <c r="BE203" t="s">
        <v>1529</v>
      </c>
      <c r="BF203" t="str">
        <f>HYPERLINK("http://dx.doi.org/10.1016/j.landurbplan.2013.09.004","http://dx.doi.org/10.1016/j.landurbplan.2013.09.004")</f>
        <v>http://dx.doi.org/10.1016/j.landurbplan.2013.09.004</v>
      </c>
      <c r="BG203"/>
      <c r="BH203"/>
      <c r="BI203"/>
      <c r="BJ203" t="s">
        <v>107</v>
      </c>
      <c r="BK203"/>
      <c r="BL203"/>
      <c r="BM203"/>
      <c r="BN203"/>
      <c r="BO203"/>
      <c r="BP203"/>
      <c r="BQ203"/>
      <c r="BR203"/>
      <c r="BS203"/>
      <c r="BT203" t="str">
        <f>HYPERLINK("https%3A%2F%2Fwww.webofscience.com%2Fwos%2Fwoscc%2Ffull-record%2F","View Full Record in Web of Science")</f>
        <v>View Full Record in Web of Science</v>
      </c>
    </row>
    <row r="204" spans="1:72" customHeight="1" ht="12.75">
      <c r="A204" t="s">
        <v>72</v>
      </c>
      <c r="B204" t="s">
        <v>130</v>
      </c>
      <c r="C204"/>
      <c r="D204"/>
      <c r="E204"/>
      <c r="F204" t="s">
        <v>131</v>
      </c>
      <c r="G204"/>
      <c r="H204"/>
      <c r="I204" t="s">
        <v>1530</v>
      </c>
      <c r="J204" t="s">
        <v>1531</v>
      </c>
      <c r="K204"/>
      <c r="L204"/>
      <c r="M204"/>
      <c r="N204" t="s">
        <v>112</v>
      </c>
      <c r="O204"/>
      <c r="P204"/>
      <c r="Q204"/>
      <c r="R204"/>
      <c r="S204"/>
      <c r="T204"/>
      <c r="U204" t="s">
        <v>1532</v>
      </c>
      <c r="V204"/>
      <c r="W204"/>
      <c r="X204"/>
      <c r="Y204"/>
      <c r="Z204"/>
      <c r="AA204"/>
      <c r="AB204"/>
      <c r="AC204"/>
      <c r="AD204"/>
      <c r="AE204"/>
      <c r="AF204"/>
      <c r="AG204"/>
      <c r="AH204">
        <v>2</v>
      </c>
      <c r="AI204">
        <v>3</v>
      </c>
      <c r="AJ204"/>
      <c r="AK204"/>
      <c r="AL204"/>
      <c r="AM204"/>
      <c r="AN204"/>
      <c r="AO204" t="s">
        <v>1533</v>
      </c>
      <c r="AP204"/>
      <c r="AQ204"/>
      <c r="AR204"/>
      <c r="AS204"/>
      <c r="AT204" t="s">
        <v>1534</v>
      </c>
      <c r="AU204">
        <v>2020</v>
      </c>
      <c r="AV204">
        <v>6</v>
      </c>
      <c r="AW204">
        <v>3</v>
      </c>
      <c r="AX204"/>
      <c r="AY204"/>
      <c r="AZ204"/>
      <c r="BA204"/>
      <c r="BB204"/>
      <c r="BC204"/>
      <c r="BD204">
        <v>4020011.0</v>
      </c>
      <c r="BE204" t="s">
        <v>1535</v>
      </c>
      <c r="BF204" t="str">
        <f>HYPERLINK("http://dx.doi.org/10.1061/JSWBAY.0000916","http://dx.doi.org/10.1061/JSWBAY.0000916")</f>
        <v>http://dx.doi.org/10.1061/JSWBAY.0000916</v>
      </c>
      <c r="BG204"/>
      <c r="BH204"/>
      <c r="BI204"/>
      <c r="BJ204" t="s">
        <v>1211</v>
      </c>
      <c r="BK204"/>
      <c r="BL204"/>
      <c r="BM204"/>
      <c r="BN204"/>
      <c r="BO204"/>
      <c r="BP204"/>
      <c r="BQ204"/>
      <c r="BR204"/>
      <c r="BS204"/>
      <c r="BT204" t="str">
        <f>HYPERLINK("https%3A%2F%2Fwww.webofscience.com%2Fwos%2Fwoscc%2Ffull-record%2F","View Full Record in Web of Science")</f>
        <v>View Full Record in Web of Science</v>
      </c>
    </row>
    <row r="205" spans="1:72" customHeight="1" ht="12.75">
      <c r="A205" t="s">
        <v>72</v>
      </c>
      <c r="B205" t="s">
        <v>1536</v>
      </c>
      <c r="C205"/>
      <c r="D205"/>
      <c r="E205"/>
      <c r="F205" t="s">
        <v>1537</v>
      </c>
      <c r="G205"/>
      <c r="H205"/>
      <c r="I205" t="s">
        <v>1538</v>
      </c>
      <c r="J205" t="s">
        <v>283</v>
      </c>
      <c r="K205"/>
      <c r="L205"/>
      <c r="M205"/>
      <c r="N205" t="s">
        <v>112</v>
      </c>
      <c r="O205"/>
      <c r="P205"/>
      <c r="Q205"/>
      <c r="R205"/>
      <c r="S205"/>
      <c r="T205" t="s">
        <v>1539</v>
      </c>
      <c r="U205" t="s">
        <v>1540</v>
      </c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23</v>
      </c>
      <c r="AI205">
        <v>28</v>
      </c>
      <c r="AJ205"/>
      <c r="AK205"/>
      <c r="AL205"/>
      <c r="AM205"/>
      <c r="AN205"/>
      <c r="AO205" t="s">
        <v>286</v>
      </c>
      <c r="AP205" t="s">
        <v>287</v>
      </c>
      <c r="AQ205"/>
      <c r="AR205"/>
      <c r="AS205"/>
      <c r="AT205" t="s">
        <v>385</v>
      </c>
      <c r="AU205">
        <v>2014</v>
      </c>
      <c r="AV205">
        <v>54</v>
      </c>
      <c r="AW205"/>
      <c r="AX205"/>
      <c r="AY205"/>
      <c r="AZ205"/>
      <c r="BA205"/>
      <c r="BB205">
        <v>28</v>
      </c>
      <c r="BC205">
        <v>38</v>
      </c>
      <c r="BD205"/>
      <c r="BE205" t="s">
        <v>1541</v>
      </c>
      <c r="BF205" t="str">
        <f>HYPERLINK("http://dx.doi.org/10.1016/j.geoforum.2014.03.008","http://dx.doi.org/10.1016/j.geoforum.2014.03.008")</f>
        <v>http://dx.doi.org/10.1016/j.geoforum.2014.03.008</v>
      </c>
      <c r="BG205"/>
      <c r="BH205"/>
      <c r="BI205"/>
      <c r="BJ205" t="s">
        <v>83</v>
      </c>
      <c r="BK205"/>
      <c r="BL205"/>
      <c r="BM205"/>
      <c r="BN205"/>
      <c r="BO205"/>
      <c r="BP205"/>
      <c r="BQ205"/>
      <c r="BR205"/>
      <c r="BS205"/>
      <c r="BT205" t="str">
        <f>HYPERLINK("https%3A%2F%2Fwww.webofscience.com%2Fwos%2Fwoscc%2Ffull-record%2F","View Full Record in Web of Science")</f>
        <v>View Full Record in Web of Science</v>
      </c>
    </row>
    <row r="206" spans="1:72" customHeight="1" ht="12.75">
      <c r="A206" t="s">
        <v>72</v>
      </c>
      <c r="B206" t="s">
        <v>1542</v>
      </c>
      <c r="C206"/>
      <c r="D206"/>
      <c r="E206"/>
      <c r="F206" t="s">
        <v>1543</v>
      </c>
      <c r="G206"/>
      <c r="H206"/>
      <c r="I206" t="s">
        <v>1544</v>
      </c>
      <c r="J206" t="s">
        <v>111</v>
      </c>
      <c r="K206"/>
      <c r="L206"/>
      <c r="M206"/>
      <c r="N206" t="s">
        <v>112</v>
      </c>
      <c r="O206"/>
      <c r="P206"/>
      <c r="Q206"/>
      <c r="R206"/>
      <c r="S206"/>
      <c r="T206" t="s">
        <v>1545</v>
      </c>
      <c r="U206" t="s">
        <v>1546</v>
      </c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26</v>
      </c>
      <c r="AI206">
        <v>27</v>
      </c>
      <c r="AJ206"/>
      <c r="AK206"/>
      <c r="AL206"/>
      <c r="AM206"/>
      <c r="AN206"/>
      <c r="AO206" t="s">
        <v>115</v>
      </c>
      <c r="AP206" t="s">
        <v>116</v>
      </c>
      <c r="AQ206"/>
      <c r="AR206"/>
      <c r="AS206"/>
      <c r="AT206" t="s">
        <v>404</v>
      </c>
      <c r="AU206">
        <v>2018</v>
      </c>
      <c r="AV206">
        <v>128</v>
      </c>
      <c r="AW206"/>
      <c r="AX206"/>
      <c r="AY206"/>
      <c r="AZ206"/>
      <c r="BA206"/>
      <c r="BB206">
        <v>563</v>
      </c>
      <c r="BC206">
        <v>571</v>
      </c>
      <c r="BD206"/>
      <c r="BE206" t="s">
        <v>1547</v>
      </c>
      <c r="BF206" t="str">
        <f>HYPERLINK("http://dx.doi.org/10.1016/j.resconrec.2016.08.019","http://dx.doi.org/10.1016/j.resconrec.2016.08.019")</f>
        <v>http://dx.doi.org/10.1016/j.resconrec.2016.08.019</v>
      </c>
      <c r="BG206"/>
      <c r="BH206"/>
      <c r="BI206"/>
      <c r="BJ206" t="s">
        <v>119</v>
      </c>
      <c r="BK206"/>
      <c r="BL206"/>
      <c r="BM206"/>
      <c r="BN206"/>
      <c r="BO206"/>
      <c r="BP206"/>
      <c r="BQ206"/>
      <c r="BR206"/>
      <c r="BS206"/>
      <c r="BT206" t="str">
        <f>HYPERLINK("https%3A%2F%2Fwww.webofscience.com%2Fwos%2Fwoscc%2Ffull-record%2F","View Full Record in Web of Science")</f>
        <v>View Full Record in Web of Science</v>
      </c>
    </row>
    <row r="207" spans="1:72" customHeight="1" ht="12.75">
      <c r="A207" t="s">
        <v>72</v>
      </c>
      <c r="B207" t="s">
        <v>1548</v>
      </c>
      <c r="C207"/>
      <c r="D207"/>
      <c r="E207"/>
      <c r="F207" t="s">
        <v>1549</v>
      </c>
      <c r="G207"/>
      <c r="H207"/>
      <c r="I207" t="s">
        <v>1550</v>
      </c>
      <c r="J207" t="s">
        <v>722</v>
      </c>
      <c r="K207"/>
      <c r="L207"/>
      <c r="M207"/>
      <c r="N207" t="s">
        <v>77</v>
      </c>
      <c r="O207"/>
      <c r="P207"/>
      <c r="Q207"/>
      <c r="R207"/>
      <c r="S207"/>
      <c r="T207" t="s">
        <v>1551</v>
      </c>
      <c r="U207" t="s">
        <v>1552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95</v>
      </c>
      <c r="AI207">
        <v>101</v>
      </c>
      <c r="AJ207"/>
      <c r="AK207"/>
      <c r="AL207"/>
      <c r="AM207"/>
      <c r="AN207"/>
      <c r="AO207" t="s">
        <v>725</v>
      </c>
      <c r="AP207" t="s">
        <v>726</v>
      </c>
      <c r="AQ207"/>
      <c r="AR207"/>
      <c r="AS207"/>
      <c r="AT207" t="s">
        <v>92</v>
      </c>
      <c r="AU207">
        <v>2012</v>
      </c>
      <c r="AV207">
        <v>41</v>
      </c>
      <c r="AW207">
        <v>7</v>
      </c>
      <c r="AX207"/>
      <c r="AY207"/>
      <c r="AZ207"/>
      <c r="BA207"/>
      <c r="BB207">
        <v>751</v>
      </c>
      <c r="BC207">
        <v>764</v>
      </c>
      <c r="BD207"/>
      <c r="BE207" t="s">
        <v>1553</v>
      </c>
      <c r="BF207" t="str">
        <f>HYPERLINK("http://dx.doi.org/10.1007/s13280-011-0232-7","http://dx.doi.org/10.1007/s13280-011-0232-7")</f>
        <v>http://dx.doi.org/10.1007/s13280-011-0232-7</v>
      </c>
      <c r="BG207"/>
      <c r="BH207"/>
      <c r="BI207"/>
      <c r="BJ207" t="s">
        <v>119</v>
      </c>
      <c r="BK207"/>
      <c r="BL207"/>
      <c r="BM207"/>
      <c r="BN207"/>
      <c r="BO207"/>
      <c r="BP207"/>
      <c r="BQ207"/>
      <c r="BR207"/>
      <c r="BS207"/>
      <c r="BT207" t="str">
        <f>HYPERLINK("https%3A%2F%2Fwww.webofscience.com%2Fwos%2Fwoscc%2Ffull-record%2F","View Full Record in Web of Science")</f>
        <v>View Full Record in Web of Science</v>
      </c>
    </row>
    <row r="208" spans="1:72" customHeight="1" ht="12.75">
      <c r="A208" t="s">
        <v>72</v>
      </c>
      <c r="B208" t="s">
        <v>360</v>
      </c>
      <c r="C208"/>
      <c r="D208"/>
      <c r="E208"/>
      <c r="F208" t="s">
        <v>361</v>
      </c>
      <c r="G208"/>
      <c r="H208"/>
      <c r="I208" t="s">
        <v>1554</v>
      </c>
      <c r="J208" t="s">
        <v>1452</v>
      </c>
      <c r="K208"/>
      <c r="L208"/>
      <c r="M208"/>
      <c r="N208" t="s">
        <v>112</v>
      </c>
      <c r="O208"/>
      <c r="P208"/>
      <c r="Q208"/>
      <c r="R208"/>
      <c r="S208"/>
      <c r="T208" t="s">
        <v>1555</v>
      </c>
      <c r="U208" t="s">
        <v>1556</v>
      </c>
      <c r="V208"/>
      <c r="W208"/>
      <c r="X208"/>
      <c r="Y208"/>
      <c r="Z208"/>
      <c r="AA208"/>
      <c r="AB208"/>
      <c r="AC208"/>
      <c r="AD208"/>
      <c r="AE208"/>
      <c r="AF208"/>
      <c r="AG208"/>
      <c r="AH208">
        <v>138</v>
      </c>
      <c r="AI208">
        <v>154</v>
      </c>
      <c r="AJ208"/>
      <c r="AK208"/>
      <c r="AL208"/>
      <c r="AM208"/>
      <c r="AN208"/>
      <c r="AO208" t="s">
        <v>1455</v>
      </c>
      <c r="AP208" t="s">
        <v>1456</v>
      </c>
      <c r="AQ208"/>
      <c r="AR208"/>
      <c r="AS208"/>
      <c r="AT208"/>
      <c r="AU208">
        <v>2010</v>
      </c>
      <c r="AV208">
        <v>53</v>
      </c>
      <c r="AW208">
        <v>4</v>
      </c>
      <c r="AX208"/>
      <c r="AY208"/>
      <c r="AZ208"/>
      <c r="BA208"/>
      <c r="BB208">
        <v>439</v>
      </c>
      <c r="BC208">
        <v>455</v>
      </c>
      <c r="BD208" t="s">
        <v>1557</v>
      </c>
      <c r="BE208" t="s">
        <v>1558</v>
      </c>
      <c r="BF208" t="str">
        <f>HYPERLINK("http://dx.doi.org/10.1080/09640561003703772","http://dx.doi.org/10.1080/09640561003703772")</f>
        <v>http://dx.doi.org/10.1080/09640561003703772</v>
      </c>
      <c r="BG208"/>
      <c r="BH208"/>
      <c r="BI208"/>
      <c r="BJ208" t="s">
        <v>1459</v>
      </c>
      <c r="BK208"/>
      <c r="BL208"/>
      <c r="BM208"/>
      <c r="BN208"/>
      <c r="BO208"/>
      <c r="BP208"/>
      <c r="BQ208"/>
      <c r="BR208"/>
      <c r="BS208"/>
      <c r="BT208" t="str">
        <f>HYPERLINK("https%3A%2F%2Fwww.webofscience.com%2Fwos%2Fwoscc%2Ffull-record%2F","View Full Record in Web of Science")</f>
        <v>View Full Record in Web of Science</v>
      </c>
    </row>
    <row r="209" spans="1:72" customHeight="1" ht="12.75">
      <c r="A209" t="s">
        <v>689</v>
      </c>
      <c r="B209" t="s">
        <v>1559</v>
      </c>
      <c r="C209"/>
      <c r="D209" t="s">
        <v>1560</v>
      </c>
      <c r="E209"/>
      <c r="F209" t="s">
        <v>1561</v>
      </c>
      <c r="G209"/>
      <c r="H209"/>
      <c r="I209" t="s">
        <v>1562</v>
      </c>
      <c r="J209" t="s">
        <v>1563</v>
      </c>
      <c r="K209" t="s">
        <v>1564</v>
      </c>
      <c r="L209"/>
      <c r="M209"/>
      <c r="N209" t="s">
        <v>1565</v>
      </c>
      <c r="O209"/>
      <c r="P209"/>
      <c r="Q209"/>
      <c r="R209"/>
      <c r="S209"/>
      <c r="T209" t="s">
        <v>1566</v>
      </c>
      <c r="U209" t="s">
        <v>1567</v>
      </c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28</v>
      </c>
      <c r="AI209">
        <v>30</v>
      </c>
      <c r="AJ209"/>
      <c r="AK209"/>
      <c r="AL209"/>
      <c r="AM209"/>
      <c r="AN209"/>
      <c r="AO209" t="s">
        <v>1568</v>
      </c>
      <c r="AP209"/>
      <c r="AQ209" t="s">
        <v>1569</v>
      </c>
      <c r="AR209"/>
      <c r="AS209"/>
      <c r="AT209"/>
      <c r="AU209">
        <v>2014</v>
      </c>
      <c r="AV209">
        <v>39</v>
      </c>
      <c r="AW209"/>
      <c r="AX209"/>
      <c r="AY209"/>
      <c r="AZ209"/>
      <c r="BA209"/>
      <c r="BB209">
        <v>519</v>
      </c>
      <c r="BC209">
        <v>547</v>
      </c>
      <c r="BD209"/>
      <c r="BE209" t="s">
        <v>1570</v>
      </c>
      <c r="BF209" t="str">
        <f>HYPERLINK("http://dx.doi.org/10.1146/annurev-environ-012913-101223","http://dx.doi.org/10.1146/annurev-environ-012913-101223")</f>
        <v>http://dx.doi.org/10.1146/annurev-environ-012913-101223</v>
      </c>
      <c r="BG209"/>
      <c r="BH209"/>
      <c r="BI209"/>
      <c r="BJ209" t="s">
        <v>799</v>
      </c>
      <c r="BK209"/>
      <c r="BL209"/>
      <c r="BM209"/>
      <c r="BN209"/>
      <c r="BO209"/>
      <c r="BP209"/>
      <c r="BQ209"/>
      <c r="BR209"/>
      <c r="BS209"/>
      <c r="BT209" t="str">
        <f>HYPERLINK("https%3A%2F%2Fwww.webofscience.com%2Fwos%2Fwoscc%2Ffull-record%2F","View Full Record in Web of Science")</f>
        <v>View Full Record in Web of Science</v>
      </c>
    </row>
    <row r="210" spans="1:72" customHeight="1" ht="12.75">
      <c r="A210" t="s">
        <v>72</v>
      </c>
      <c r="B210" t="s">
        <v>1571</v>
      </c>
      <c r="C210"/>
      <c r="D210"/>
      <c r="E210"/>
      <c r="F210" t="s">
        <v>1572</v>
      </c>
      <c r="G210"/>
      <c r="H210"/>
      <c r="I210" t="s">
        <v>1573</v>
      </c>
      <c r="J210" t="s">
        <v>1574</v>
      </c>
      <c r="K210"/>
      <c r="L210"/>
      <c r="M210"/>
      <c r="N210" t="s">
        <v>112</v>
      </c>
      <c r="O210"/>
      <c r="P210"/>
      <c r="Q210"/>
      <c r="R210"/>
      <c r="S210"/>
      <c r="T210"/>
      <c r="U210" t="s">
        <v>1575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>
        <v>84</v>
      </c>
      <c r="AI210">
        <v>89</v>
      </c>
      <c r="AJ210"/>
      <c r="AK210"/>
      <c r="AL210"/>
      <c r="AM210"/>
      <c r="AN210"/>
      <c r="AO210" t="s">
        <v>1576</v>
      </c>
      <c r="AP210"/>
      <c r="AQ210"/>
      <c r="AR210"/>
      <c r="AS210"/>
      <c r="AT210" t="s">
        <v>1577</v>
      </c>
      <c r="AU210">
        <v>2020</v>
      </c>
      <c r="AV210">
        <v>11</v>
      </c>
      <c r="AW210">
        <v>1</v>
      </c>
      <c r="AX210"/>
      <c r="AY210"/>
      <c r="AZ210"/>
      <c r="BA210"/>
      <c r="BB210"/>
      <c r="BC210"/>
      <c r="BD210">
        <v>182</v>
      </c>
      <c r="BE210" t="s">
        <v>1578</v>
      </c>
      <c r="BF210" t="str">
        <f>HYPERLINK("http://dx.doi.org/10.1038/s41467-019-13757-3","http://dx.doi.org/10.1038/s41467-019-13757-3")</f>
        <v>http://dx.doi.org/10.1038/s41467-019-13757-3</v>
      </c>
      <c r="BG210"/>
      <c r="BH210"/>
      <c r="BI210"/>
      <c r="BJ210" t="s">
        <v>1579</v>
      </c>
      <c r="BK210"/>
      <c r="BL210"/>
      <c r="BM210"/>
      <c r="BN210"/>
      <c r="BO210"/>
      <c r="BP210"/>
      <c r="BQ210"/>
      <c r="BR210"/>
      <c r="BS210"/>
      <c r="BT210" t="str">
        <f>HYPERLINK("https%3A%2F%2Fwww.webofscience.com%2Fwos%2Fwoscc%2Ffull-record%2F","View Full Record in Web of Science")</f>
        <v>View Full Record in Web of Science</v>
      </c>
    </row>
    <row r="211" spans="1:72" customHeight="1" ht="12.75">
      <c r="A211" t="s">
        <v>72</v>
      </c>
      <c r="B211" t="s">
        <v>1580</v>
      </c>
      <c r="C211"/>
      <c r="D211"/>
      <c r="E211"/>
      <c r="F211" t="s">
        <v>1581</v>
      </c>
      <c r="G211"/>
      <c r="H211"/>
      <c r="I211" t="s">
        <v>1582</v>
      </c>
      <c r="J211" t="s">
        <v>510</v>
      </c>
      <c r="K211"/>
      <c r="L211"/>
      <c r="M211"/>
      <c r="N211" t="s">
        <v>215</v>
      </c>
      <c r="O211"/>
      <c r="P211"/>
      <c r="Q211"/>
      <c r="R211"/>
      <c r="S211"/>
      <c r="T211" t="s">
        <v>1583</v>
      </c>
      <c r="U211" t="s">
        <v>1584</v>
      </c>
      <c r="V211"/>
      <c r="W211"/>
      <c r="X211"/>
      <c r="Y211"/>
      <c r="Z211"/>
      <c r="AA211"/>
      <c r="AB211"/>
      <c r="AC211"/>
      <c r="AD211"/>
      <c r="AE211"/>
      <c r="AF211"/>
      <c r="AG211"/>
      <c r="AH211">
        <v>38</v>
      </c>
      <c r="AI211">
        <v>39</v>
      </c>
      <c r="AJ211"/>
      <c r="AK211"/>
      <c r="AL211"/>
      <c r="AM211"/>
      <c r="AN211"/>
      <c r="AO211" t="s">
        <v>511</v>
      </c>
      <c r="AP211" t="s">
        <v>512</v>
      </c>
      <c r="AQ211"/>
      <c r="AR211"/>
      <c r="AS211"/>
      <c r="AT211" t="s">
        <v>1585</v>
      </c>
      <c r="AU211">
        <v>2018</v>
      </c>
      <c r="AV211">
        <v>383</v>
      </c>
      <c r="AW211"/>
      <c r="AX211"/>
      <c r="AY211"/>
      <c r="AZ211"/>
      <c r="BA211"/>
      <c r="BB211">
        <v>118</v>
      </c>
      <c r="BC211">
        <v>126</v>
      </c>
      <c r="BD211"/>
      <c r="BE211" t="s">
        <v>1586</v>
      </c>
      <c r="BF211" t="str">
        <f>HYPERLINK("http://dx.doi.org/10.1016/j.ecolmodel.2018.05.009","http://dx.doi.org/10.1016/j.ecolmodel.2018.05.009")</f>
        <v>http://dx.doi.org/10.1016/j.ecolmodel.2018.05.009</v>
      </c>
      <c r="BG211"/>
      <c r="BH211"/>
      <c r="BI211"/>
      <c r="BJ211" t="s">
        <v>181</v>
      </c>
      <c r="BK211"/>
      <c r="BL211"/>
      <c r="BM211"/>
      <c r="BN211"/>
      <c r="BO211"/>
      <c r="BP211"/>
      <c r="BQ211"/>
      <c r="BR211"/>
      <c r="BS211"/>
      <c r="BT211" t="str">
        <f>HYPERLINK("https%3A%2F%2Fwww.webofscience.com%2Fwos%2Fwoscc%2Ffull-record%2F","View Full Record in Web of Science")</f>
        <v>View Full Record in Web of Science</v>
      </c>
    </row>
    <row r="212" spans="1:72" customHeight="1" ht="12.75">
      <c r="A212" t="s">
        <v>72</v>
      </c>
      <c r="B212" t="s">
        <v>1587</v>
      </c>
      <c r="C212"/>
      <c r="D212"/>
      <c r="E212"/>
      <c r="F212" t="s">
        <v>1588</v>
      </c>
      <c r="G212"/>
      <c r="H212"/>
      <c r="I212" t="s">
        <v>1589</v>
      </c>
      <c r="J212" t="s">
        <v>1590</v>
      </c>
      <c r="K212"/>
      <c r="L212"/>
      <c r="M212"/>
      <c r="N212" t="s">
        <v>112</v>
      </c>
      <c r="O212"/>
      <c r="P212"/>
      <c r="Q212"/>
      <c r="R212"/>
      <c r="S212"/>
      <c r="T212" t="s">
        <v>1591</v>
      </c>
      <c r="U212" t="s">
        <v>1592</v>
      </c>
      <c r="V212"/>
      <c r="W212"/>
      <c r="X212"/>
      <c r="Y212"/>
      <c r="Z212"/>
      <c r="AA212"/>
      <c r="AB212"/>
      <c r="AC212"/>
      <c r="AD212"/>
      <c r="AE212"/>
      <c r="AF212"/>
      <c r="AG212"/>
      <c r="AH212">
        <v>26</v>
      </c>
      <c r="AI212">
        <v>28</v>
      </c>
      <c r="AJ212"/>
      <c r="AK212"/>
      <c r="AL212"/>
      <c r="AM212"/>
      <c r="AN212"/>
      <c r="AO212" t="s">
        <v>1593</v>
      </c>
      <c r="AP212" t="s">
        <v>1594</v>
      </c>
      <c r="AQ212"/>
      <c r="AR212"/>
      <c r="AS212"/>
      <c r="AT212" t="s">
        <v>352</v>
      </c>
      <c r="AU212">
        <v>2016</v>
      </c>
      <c r="AV212">
        <v>94</v>
      </c>
      <c r="AW212"/>
      <c r="AX212"/>
      <c r="AY212"/>
      <c r="AZ212"/>
      <c r="BA212"/>
      <c r="BB212">
        <v>388</v>
      </c>
      <c r="BC212">
        <v>395</v>
      </c>
      <c r="BD212"/>
      <c r="BE212" t="s">
        <v>1595</v>
      </c>
      <c r="BF212" t="str">
        <f>HYPERLINK("http://dx.doi.org/10.1016/j.envint.2016.04.036","http://dx.doi.org/10.1016/j.envint.2016.04.036")</f>
        <v>http://dx.doi.org/10.1016/j.envint.2016.04.036</v>
      </c>
      <c r="BG212"/>
      <c r="BH212"/>
      <c r="BI212"/>
      <c r="BJ212" t="s">
        <v>224</v>
      </c>
      <c r="BK212"/>
      <c r="BL212"/>
      <c r="BM212"/>
      <c r="BN212"/>
      <c r="BO212"/>
      <c r="BP212"/>
      <c r="BQ212"/>
      <c r="BR212"/>
      <c r="BS212"/>
      <c r="BT212" t="str">
        <f>HYPERLINK("https%3A%2F%2Fwww.webofscience.com%2Fwos%2Fwoscc%2Ffull-record%2F","View Full Record in Web of Science")</f>
        <v>View Full Record in Web of Science</v>
      </c>
    </row>
    <row r="213" spans="1:72" customHeight="1" ht="12.75">
      <c r="A213" t="s">
        <v>72</v>
      </c>
      <c r="B213" t="s">
        <v>1596</v>
      </c>
      <c r="C213"/>
      <c r="D213"/>
      <c r="E213"/>
      <c r="F213" t="s">
        <v>1597</v>
      </c>
      <c r="G213"/>
      <c r="H213"/>
      <c r="I213" t="s">
        <v>1598</v>
      </c>
      <c r="J213" t="s">
        <v>792</v>
      </c>
      <c r="K213"/>
      <c r="L213"/>
      <c r="M213"/>
      <c r="N213" t="s">
        <v>112</v>
      </c>
      <c r="O213"/>
      <c r="P213"/>
      <c r="Q213"/>
      <c r="R213"/>
      <c r="S213"/>
      <c r="T213" t="s">
        <v>1599</v>
      </c>
      <c r="U213" t="s">
        <v>1600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5</v>
      </c>
      <c r="AI213">
        <v>5</v>
      </c>
      <c r="AJ213"/>
      <c r="AK213"/>
      <c r="AL213"/>
      <c r="AM213"/>
      <c r="AN213"/>
      <c r="AO213" t="s">
        <v>795</v>
      </c>
      <c r="AP213"/>
      <c r="AQ213"/>
      <c r="AR213"/>
      <c r="AS213"/>
      <c r="AT213" t="s">
        <v>128</v>
      </c>
      <c r="AU213">
        <v>2021</v>
      </c>
      <c r="AV213">
        <v>12</v>
      </c>
      <c r="AW213"/>
      <c r="AX213"/>
      <c r="AY213"/>
      <c r="AZ213"/>
      <c r="BA213"/>
      <c r="BB213"/>
      <c r="BC213"/>
      <c r="BD213">
        <v>100154</v>
      </c>
      <c r="BE213" t="s">
        <v>1601</v>
      </c>
      <c r="BF213" t="str">
        <f>HYPERLINK("http://dx.doi.org/10.1016/j.indic.2021.100154","http://dx.doi.org/10.1016/j.indic.2021.100154")</f>
        <v>http://dx.doi.org/10.1016/j.indic.2021.100154</v>
      </c>
      <c r="BG213"/>
      <c r="BH213"/>
      <c r="BI213"/>
      <c r="BJ213" t="s">
        <v>799</v>
      </c>
      <c r="BK213"/>
      <c r="BL213"/>
      <c r="BM213"/>
      <c r="BN213"/>
      <c r="BO213"/>
      <c r="BP213"/>
      <c r="BQ213"/>
      <c r="BR213"/>
      <c r="BS213"/>
      <c r="BT213" t="str">
        <f>HYPERLINK("https%3A%2F%2Fwww.webofscience.com%2Fwos%2Fwoscc%2Ffull-record%2F","View Full Record in Web of Science")</f>
        <v>View Full Record in Web of Science</v>
      </c>
    </row>
    <row r="214" spans="1:72" customHeight="1" ht="12.75">
      <c r="A214" t="s">
        <v>72</v>
      </c>
      <c r="B214" t="s">
        <v>1602</v>
      </c>
      <c r="C214"/>
      <c r="D214"/>
      <c r="E214"/>
      <c r="F214" t="s">
        <v>1603</v>
      </c>
      <c r="G214"/>
      <c r="H214"/>
      <c r="I214" t="s">
        <v>1604</v>
      </c>
      <c r="J214" t="s">
        <v>510</v>
      </c>
      <c r="K214"/>
      <c r="L214"/>
      <c r="M214"/>
      <c r="N214" t="s">
        <v>77</v>
      </c>
      <c r="O214"/>
      <c r="P214"/>
      <c r="Q214"/>
      <c r="R214"/>
      <c r="S214"/>
      <c r="T214" t="s">
        <v>1605</v>
      </c>
      <c r="U214" t="s">
        <v>1606</v>
      </c>
      <c r="V214"/>
      <c r="W214"/>
      <c r="X214"/>
      <c r="Y214"/>
      <c r="Z214"/>
      <c r="AA214"/>
      <c r="AB214"/>
      <c r="AC214"/>
      <c r="AD214"/>
      <c r="AE214"/>
      <c r="AF214"/>
      <c r="AG214"/>
      <c r="AH214">
        <v>48</v>
      </c>
      <c r="AI214">
        <v>55</v>
      </c>
      <c r="AJ214"/>
      <c r="AK214"/>
      <c r="AL214"/>
      <c r="AM214"/>
      <c r="AN214"/>
      <c r="AO214" t="s">
        <v>511</v>
      </c>
      <c r="AP214" t="s">
        <v>512</v>
      </c>
      <c r="AQ214"/>
      <c r="AR214"/>
      <c r="AS214"/>
      <c r="AT214" t="s">
        <v>513</v>
      </c>
      <c r="AU214">
        <v>2019</v>
      </c>
      <c r="AV214">
        <v>392</v>
      </c>
      <c r="AW214"/>
      <c r="AX214"/>
      <c r="AY214"/>
      <c r="AZ214"/>
      <c r="BA214"/>
      <c r="BB214">
        <v>128</v>
      </c>
      <c r="BC214">
        <v>136</v>
      </c>
      <c r="BD214"/>
      <c r="BE214" t="s">
        <v>1607</v>
      </c>
      <c r="BF214" t="str">
        <f>HYPERLINK("http://dx.doi.org/10.1016/j.ecolmodel.2018.11.019","http://dx.doi.org/10.1016/j.ecolmodel.2018.11.019")</f>
        <v>http://dx.doi.org/10.1016/j.ecolmodel.2018.11.019</v>
      </c>
      <c r="BG214"/>
      <c r="BH214"/>
      <c r="BI214"/>
      <c r="BJ214" t="s">
        <v>181</v>
      </c>
      <c r="BK214"/>
      <c r="BL214"/>
      <c r="BM214"/>
      <c r="BN214"/>
      <c r="BO214"/>
      <c r="BP214"/>
      <c r="BQ214"/>
      <c r="BR214"/>
      <c r="BS214"/>
      <c r="BT214" t="str">
        <f>HYPERLINK("https%3A%2F%2Fwww.webofscience.com%2Fwos%2Fwoscc%2Ffull-record%2F","View Full Record in Web of Science")</f>
        <v>View Full Record in Web of Science</v>
      </c>
    </row>
    <row r="215" spans="1:72" customHeight="1" ht="12.75">
      <c r="A215" t="s">
        <v>72</v>
      </c>
      <c r="B215" t="s">
        <v>1608</v>
      </c>
      <c r="C215"/>
      <c r="D215"/>
      <c r="E215"/>
      <c r="F215" t="s">
        <v>1609</v>
      </c>
      <c r="G215"/>
      <c r="H215"/>
      <c r="I215" t="s">
        <v>1610</v>
      </c>
      <c r="J215" t="s">
        <v>133</v>
      </c>
      <c r="K215"/>
      <c r="L215"/>
      <c r="M215"/>
      <c r="N215" t="s">
        <v>112</v>
      </c>
      <c r="O215"/>
      <c r="P215"/>
      <c r="Q215"/>
      <c r="R215"/>
      <c r="S215"/>
      <c r="T215" t="s">
        <v>1611</v>
      </c>
      <c r="U215" t="s">
        <v>1612</v>
      </c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11</v>
      </c>
      <c r="AI215">
        <v>12</v>
      </c>
      <c r="AJ215"/>
      <c r="AK215"/>
      <c r="AL215"/>
      <c r="AM215"/>
      <c r="AN215"/>
      <c r="AO215" t="s">
        <v>136</v>
      </c>
      <c r="AP215" t="s">
        <v>137</v>
      </c>
      <c r="AQ215"/>
      <c r="AR215"/>
      <c r="AS215"/>
      <c r="AT215" t="s">
        <v>154</v>
      </c>
      <c r="AU215">
        <v>2018</v>
      </c>
      <c r="AV215">
        <v>22</v>
      </c>
      <c r="AW215">
        <v>4</v>
      </c>
      <c r="AX215"/>
      <c r="AY215"/>
      <c r="AZ215"/>
      <c r="BA215"/>
      <c r="BB215">
        <v>853</v>
      </c>
      <c r="BC215">
        <v>867</v>
      </c>
      <c r="BD215"/>
      <c r="BE215" t="s">
        <v>1613</v>
      </c>
      <c r="BF215" t="str">
        <f>HYPERLINK("http://dx.doi.org/10.1111/jiec.12611","http://dx.doi.org/10.1111/jiec.12611")</f>
        <v>http://dx.doi.org/10.1111/jiec.12611</v>
      </c>
      <c r="BG215"/>
      <c r="BH215"/>
      <c r="BI215"/>
      <c r="BJ215" t="s">
        <v>139</v>
      </c>
      <c r="BK215"/>
      <c r="BL215"/>
      <c r="BM215"/>
      <c r="BN215"/>
      <c r="BO215"/>
      <c r="BP215"/>
      <c r="BQ215"/>
      <c r="BR215"/>
      <c r="BS215"/>
      <c r="BT215" t="str">
        <f>HYPERLINK("https%3A%2F%2Fwww.webofscience.com%2Fwos%2Fwoscc%2Ffull-record%2F","View Full Record in Web of Science")</f>
        <v>View Full Record in Web of Science</v>
      </c>
    </row>
    <row r="216" spans="1:72" customHeight="1" ht="12.75">
      <c r="A216" t="s">
        <v>72</v>
      </c>
      <c r="B216" t="s">
        <v>1614</v>
      </c>
      <c r="C216"/>
      <c r="D216"/>
      <c r="E216"/>
      <c r="F216" t="s">
        <v>1615</v>
      </c>
      <c r="G216"/>
      <c r="H216"/>
      <c r="I216" t="s">
        <v>1616</v>
      </c>
      <c r="J216" t="s">
        <v>587</v>
      </c>
      <c r="K216"/>
      <c r="L216"/>
      <c r="M216"/>
      <c r="N216" t="s">
        <v>77</v>
      </c>
      <c r="O216"/>
      <c r="P216"/>
      <c r="Q216"/>
      <c r="R216"/>
      <c r="S216"/>
      <c r="T216" t="s">
        <v>1617</v>
      </c>
      <c r="U216" t="s">
        <v>1618</v>
      </c>
      <c r="V216"/>
      <c r="W216"/>
      <c r="X216"/>
      <c r="Y216"/>
      <c r="Z216"/>
      <c r="AA216"/>
      <c r="AB216"/>
      <c r="AC216"/>
      <c r="AD216"/>
      <c r="AE216"/>
      <c r="AF216"/>
      <c r="AG216"/>
      <c r="AH216">
        <v>16</v>
      </c>
      <c r="AI216">
        <v>17</v>
      </c>
      <c r="AJ216"/>
      <c r="AK216"/>
      <c r="AL216"/>
      <c r="AM216"/>
      <c r="AN216"/>
      <c r="AO216" t="s">
        <v>590</v>
      </c>
      <c r="AP216" t="s">
        <v>591</v>
      </c>
      <c r="AQ216"/>
      <c r="AR216"/>
      <c r="AS216"/>
      <c r="AT216" t="s">
        <v>1577</v>
      </c>
      <c r="AU216">
        <v>2021</v>
      </c>
      <c r="AV216">
        <v>279</v>
      </c>
      <c r="AW216"/>
      <c r="AX216"/>
      <c r="AY216"/>
      <c r="AZ216"/>
      <c r="BA216"/>
      <c r="BB216"/>
      <c r="BC216"/>
      <c r="BD216">
        <v>123403</v>
      </c>
      <c r="BE216" t="s">
        <v>1619</v>
      </c>
      <c r="BF216" t="str">
        <f>HYPERLINK("http://dx.doi.org/10.1016/j.jclepro.2020.123403","http://dx.doi.org/10.1016/j.jclepro.2020.123403")</f>
        <v>http://dx.doi.org/10.1016/j.jclepro.2020.123403</v>
      </c>
      <c r="BG216"/>
      <c r="BH216"/>
      <c r="BI216"/>
      <c r="BJ216" t="s">
        <v>139</v>
      </c>
      <c r="BK216"/>
      <c r="BL216"/>
      <c r="BM216"/>
      <c r="BN216"/>
      <c r="BO216"/>
      <c r="BP216"/>
      <c r="BQ216"/>
      <c r="BR216"/>
      <c r="BS216"/>
      <c r="BT216" t="str">
        <f>HYPERLINK("https%3A%2F%2Fwww.webofscience.com%2Fwos%2Fwoscc%2Ffull-record%2F","View Full Record in Web of Science")</f>
        <v>View Full Record in Web of Science</v>
      </c>
    </row>
    <row r="217" spans="1:72" customHeight="1" ht="12.75">
      <c r="A217" t="s">
        <v>72</v>
      </c>
      <c r="B217" t="s">
        <v>1620</v>
      </c>
      <c r="C217"/>
      <c r="D217"/>
      <c r="E217"/>
      <c r="F217" t="s">
        <v>1621</v>
      </c>
      <c r="G217"/>
      <c r="H217"/>
      <c r="I217" t="s">
        <v>1622</v>
      </c>
      <c r="J217" t="s">
        <v>87</v>
      </c>
      <c r="K217"/>
      <c r="L217"/>
      <c r="M217"/>
      <c r="N217" t="s">
        <v>112</v>
      </c>
      <c r="O217"/>
      <c r="P217"/>
      <c r="Q217"/>
      <c r="R217"/>
      <c r="S217"/>
      <c r="T217" t="s">
        <v>1623</v>
      </c>
      <c r="U217" t="s">
        <v>1624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>
        <v>22</v>
      </c>
      <c r="AI217">
        <v>23</v>
      </c>
      <c r="AJ217"/>
      <c r="AK217"/>
      <c r="AL217"/>
      <c r="AM217"/>
      <c r="AN217"/>
      <c r="AO217" t="s">
        <v>90</v>
      </c>
      <c r="AP217" t="s">
        <v>91</v>
      </c>
      <c r="AQ217"/>
      <c r="AR217"/>
      <c r="AS217"/>
      <c r="AT217" t="s">
        <v>190</v>
      </c>
      <c r="AU217">
        <v>2020</v>
      </c>
      <c r="AV217">
        <v>110</v>
      </c>
      <c r="AW217"/>
      <c r="AX217"/>
      <c r="AY217"/>
      <c r="AZ217"/>
      <c r="BA217"/>
      <c r="BB217"/>
      <c r="BC217"/>
      <c r="BD217">
        <v>105861</v>
      </c>
      <c r="BE217" t="s">
        <v>1625</v>
      </c>
      <c r="BF217" t="str">
        <f>HYPERLINK("http://dx.doi.org/10.1016/j.ecolind.2019.105861","http://dx.doi.org/10.1016/j.ecolind.2019.105861")</f>
        <v>http://dx.doi.org/10.1016/j.ecolind.2019.105861</v>
      </c>
      <c r="BG217"/>
      <c r="BH217"/>
      <c r="BI217"/>
      <c r="BJ217" t="s">
        <v>94</v>
      </c>
      <c r="BK217"/>
      <c r="BL217"/>
      <c r="BM217"/>
      <c r="BN217"/>
      <c r="BO217"/>
      <c r="BP217"/>
      <c r="BQ217"/>
      <c r="BR217"/>
      <c r="BS217"/>
      <c r="BT217" t="str">
        <f>HYPERLINK("https%3A%2F%2Fwww.webofscience.com%2Fwos%2Fwoscc%2Ffull-record%2F","View Full Record in Web of Science")</f>
        <v>View Full Record in Web of Science</v>
      </c>
    </row>
    <row r="218" spans="1:72" customHeight="1" ht="12.75">
      <c r="A218" t="s">
        <v>72</v>
      </c>
      <c r="B218" t="s">
        <v>1626</v>
      </c>
      <c r="C218"/>
      <c r="D218"/>
      <c r="E218"/>
      <c r="F218" t="s">
        <v>1627</v>
      </c>
      <c r="G218"/>
      <c r="H218"/>
      <c r="I218" t="s">
        <v>1628</v>
      </c>
      <c r="J218" t="s">
        <v>893</v>
      </c>
      <c r="K218"/>
      <c r="L218"/>
      <c r="M218"/>
      <c r="N218" t="s">
        <v>112</v>
      </c>
      <c r="O218"/>
      <c r="P218"/>
      <c r="Q218"/>
      <c r="R218"/>
      <c r="S218"/>
      <c r="T218" t="s">
        <v>1629</v>
      </c>
      <c r="U218" t="s">
        <v>1630</v>
      </c>
      <c r="V218"/>
      <c r="W218"/>
      <c r="X218"/>
      <c r="Y218"/>
      <c r="Z218"/>
      <c r="AA218"/>
      <c r="AB218"/>
      <c r="AC218"/>
      <c r="AD218"/>
      <c r="AE218"/>
      <c r="AF218"/>
      <c r="AG218"/>
      <c r="AH218">
        <v>1</v>
      </c>
      <c r="AI218">
        <v>1</v>
      </c>
      <c r="AJ218"/>
      <c r="AK218"/>
      <c r="AL218"/>
      <c r="AM218"/>
      <c r="AN218"/>
      <c r="AO218"/>
      <c r="AP218" t="s">
        <v>896</v>
      </c>
      <c r="AQ218"/>
      <c r="AR218"/>
      <c r="AS218"/>
      <c r="AT218" t="s">
        <v>385</v>
      </c>
      <c r="AU218">
        <v>2022</v>
      </c>
      <c r="AV218">
        <v>15</v>
      </c>
      <c r="AW218">
        <v>14</v>
      </c>
      <c r="AX218"/>
      <c r="AY218"/>
      <c r="AZ218"/>
      <c r="BA218"/>
      <c r="BB218"/>
      <c r="BC218"/>
      <c r="BD218">
        <v>5243</v>
      </c>
      <c r="BE218" t="s">
        <v>1631</v>
      </c>
      <c r="BF218" t="str">
        <f>HYPERLINK("http://dx.doi.org/10.3390/en15145243","http://dx.doi.org/10.3390/en15145243")</f>
        <v>http://dx.doi.org/10.3390/en15145243</v>
      </c>
      <c r="BG218"/>
      <c r="BH218"/>
      <c r="BI218"/>
      <c r="BJ218" t="s">
        <v>898</v>
      </c>
      <c r="BK218"/>
      <c r="BL218"/>
      <c r="BM218"/>
      <c r="BN218"/>
      <c r="BO218"/>
      <c r="BP218"/>
      <c r="BQ218"/>
      <c r="BR218"/>
      <c r="BS218"/>
      <c r="BT218" t="str">
        <f>HYPERLINK("https%3A%2F%2Fwww.webofscience.com%2Fwos%2Fwoscc%2Ffull-record%2F","View Full Record in Web of Science")</f>
        <v>View Full Record in Web of Science</v>
      </c>
    </row>
    <row r="219" spans="1:72" customHeight="1" ht="12.75">
      <c r="A219" t="s">
        <v>72</v>
      </c>
      <c r="B219" t="s">
        <v>1632</v>
      </c>
      <c r="C219"/>
      <c r="D219"/>
      <c r="E219"/>
      <c r="F219" t="s">
        <v>1633</v>
      </c>
      <c r="G219"/>
      <c r="H219"/>
      <c r="I219" t="s">
        <v>1634</v>
      </c>
      <c r="J219" t="s">
        <v>587</v>
      </c>
      <c r="K219"/>
      <c r="L219"/>
      <c r="M219"/>
      <c r="N219" t="s">
        <v>112</v>
      </c>
      <c r="O219"/>
      <c r="P219"/>
      <c r="Q219"/>
      <c r="R219"/>
      <c r="S219"/>
      <c r="T219" t="s">
        <v>1635</v>
      </c>
      <c r="U219" t="s">
        <v>1636</v>
      </c>
      <c r="V219"/>
      <c r="W219"/>
      <c r="X219"/>
      <c r="Y219"/>
      <c r="Z219"/>
      <c r="AA219"/>
      <c r="AB219"/>
      <c r="AC219"/>
      <c r="AD219"/>
      <c r="AE219"/>
      <c r="AF219"/>
      <c r="AG219"/>
      <c r="AH219">
        <v>12</v>
      </c>
      <c r="AI219">
        <v>15</v>
      </c>
      <c r="AJ219"/>
      <c r="AK219"/>
      <c r="AL219"/>
      <c r="AM219"/>
      <c r="AN219"/>
      <c r="AO219" t="s">
        <v>590</v>
      </c>
      <c r="AP219" t="s">
        <v>591</v>
      </c>
      <c r="AQ219"/>
      <c r="AR219"/>
      <c r="AS219"/>
      <c r="AT219" t="s">
        <v>1637</v>
      </c>
      <c r="AU219">
        <v>2017</v>
      </c>
      <c r="AV219">
        <v>165</v>
      </c>
      <c r="AW219"/>
      <c r="AX219"/>
      <c r="AY219"/>
      <c r="AZ219"/>
      <c r="BA219"/>
      <c r="BB219">
        <v>168</v>
      </c>
      <c r="BC219">
        <v>176</v>
      </c>
      <c r="BD219"/>
      <c r="BE219" t="s">
        <v>1638</v>
      </c>
      <c r="BF219" t="str">
        <f>HYPERLINK("http://dx.doi.org/10.1016/j.jclepro.2017.07.055","http://dx.doi.org/10.1016/j.jclepro.2017.07.055")</f>
        <v>http://dx.doi.org/10.1016/j.jclepro.2017.07.055</v>
      </c>
      <c r="BG219"/>
      <c r="BH219"/>
      <c r="BI219"/>
      <c r="BJ219" t="s">
        <v>139</v>
      </c>
      <c r="BK219"/>
      <c r="BL219"/>
      <c r="BM219"/>
      <c r="BN219"/>
      <c r="BO219"/>
      <c r="BP219"/>
      <c r="BQ219"/>
      <c r="BR219"/>
      <c r="BS219"/>
      <c r="BT219" t="str">
        <f>HYPERLINK("https%3A%2F%2Fwww.webofscience.com%2Fwos%2Fwoscc%2Ffull-record%2F","View Full Record in Web of Science")</f>
        <v>View Full Record in Web of Science</v>
      </c>
    </row>
    <row r="220" spans="1:72" customHeight="1" ht="12.75">
      <c r="A220" t="s">
        <v>72</v>
      </c>
      <c r="B220" t="s">
        <v>1639</v>
      </c>
      <c r="C220"/>
      <c r="D220"/>
      <c r="E220"/>
      <c r="F220" t="s">
        <v>1640</v>
      </c>
      <c r="G220"/>
      <c r="H220"/>
      <c r="I220" t="s">
        <v>1641</v>
      </c>
      <c r="J220" t="s">
        <v>133</v>
      </c>
      <c r="K220"/>
      <c r="L220"/>
      <c r="M220"/>
      <c r="N220" t="s">
        <v>325</v>
      </c>
      <c r="O220"/>
      <c r="P220"/>
      <c r="Q220"/>
      <c r="R220"/>
      <c r="S220"/>
      <c r="T220" t="s">
        <v>1642</v>
      </c>
      <c r="U220" t="s">
        <v>1643</v>
      </c>
      <c r="V220"/>
      <c r="W220"/>
      <c r="X220"/>
      <c r="Y220"/>
      <c r="Z220"/>
      <c r="AA220"/>
      <c r="AB220"/>
      <c r="AC220"/>
      <c r="AD220"/>
      <c r="AE220"/>
      <c r="AF220"/>
      <c r="AG220"/>
      <c r="AH220">
        <v>0.0</v>
      </c>
      <c r="AI220">
        <v>0.0</v>
      </c>
      <c r="AJ220"/>
      <c r="AK220"/>
      <c r="AL220"/>
      <c r="AM220"/>
      <c r="AN220"/>
      <c r="AO220" t="s">
        <v>136</v>
      </c>
      <c r="AP220" t="s">
        <v>137</v>
      </c>
      <c r="AQ220"/>
      <c r="AR220"/>
      <c r="AS220"/>
      <c r="AT220" t="s">
        <v>796</v>
      </c>
      <c r="AU220">
        <v>2024</v>
      </c>
      <c r="AV220">
        <v>28</v>
      </c>
      <c r="AW220">
        <v>1</v>
      </c>
      <c r="AX220"/>
      <c r="AY220"/>
      <c r="AZ220"/>
      <c r="BA220"/>
      <c r="BB220">
        <v>6</v>
      </c>
      <c r="BC220">
        <v>16</v>
      </c>
      <c r="BD220"/>
      <c r="BE220" t="s">
        <v>1644</v>
      </c>
      <c r="BF220" t="str">
        <f>HYPERLINK("http://dx.doi.org/10.1111/jiec.13434","http://dx.doi.org/10.1111/jiec.13434")</f>
        <v>http://dx.doi.org/10.1111/jiec.13434</v>
      </c>
      <c r="BG220"/>
      <c r="BH220" t="s">
        <v>1645</v>
      </c>
      <c r="BI220"/>
      <c r="BJ220" t="s">
        <v>139</v>
      </c>
      <c r="BK220"/>
      <c r="BL220"/>
      <c r="BM220"/>
      <c r="BN220"/>
      <c r="BO220"/>
      <c r="BP220"/>
      <c r="BQ220"/>
      <c r="BR220"/>
      <c r="BS220"/>
      <c r="BT220" t="str">
        <f>HYPERLINK("https%3A%2F%2Fwww.webofscience.com%2Fwos%2Fwoscc%2Ffull-record%2F","View Full Record in Web of Science")</f>
        <v>View Full Record in Web of Science</v>
      </c>
    </row>
    <row r="221" spans="1:72" customHeight="1" ht="12.75">
      <c r="A221" t="s">
        <v>72</v>
      </c>
      <c r="B221" t="s">
        <v>1646</v>
      </c>
      <c r="C221"/>
      <c r="D221"/>
      <c r="E221"/>
      <c r="F221" t="s">
        <v>1647</v>
      </c>
      <c r="G221"/>
      <c r="H221"/>
      <c r="I221" t="s">
        <v>1648</v>
      </c>
      <c r="J221" t="s">
        <v>457</v>
      </c>
      <c r="K221"/>
      <c r="L221"/>
      <c r="M221"/>
      <c r="N221" t="s">
        <v>112</v>
      </c>
      <c r="O221"/>
      <c r="P221"/>
      <c r="Q221"/>
      <c r="R221"/>
      <c r="S221"/>
      <c r="T221" t="s">
        <v>1649</v>
      </c>
      <c r="U221" t="s">
        <v>1650</v>
      </c>
      <c r="V221"/>
      <c r="W221"/>
      <c r="X221"/>
      <c r="Y221"/>
      <c r="Z221"/>
      <c r="AA221"/>
      <c r="AB221"/>
      <c r="AC221"/>
      <c r="AD221"/>
      <c r="AE221"/>
      <c r="AF221"/>
      <c r="AG221"/>
      <c r="AH221">
        <v>10</v>
      </c>
      <c r="AI221">
        <v>13</v>
      </c>
      <c r="AJ221"/>
      <c r="AK221"/>
      <c r="AL221"/>
      <c r="AM221"/>
      <c r="AN221"/>
      <c r="AO221"/>
      <c r="AP221" t="s">
        <v>458</v>
      </c>
      <c r="AQ221"/>
      <c r="AR221"/>
      <c r="AS221"/>
      <c r="AT221" t="s">
        <v>154</v>
      </c>
      <c r="AU221">
        <v>2017</v>
      </c>
      <c r="AV221">
        <v>9</v>
      </c>
      <c r="AW221">
        <v>8</v>
      </c>
      <c r="AX221"/>
      <c r="AY221"/>
      <c r="AZ221"/>
      <c r="BA221"/>
      <c r="BB221"/>
      <c r="BC221"/>
      <c r="BD221">
        <v>1481</v>
      </c>
      <c r="BE221" t="s">
        <v>1651</v>
      </c>
      <c r="BF221" t="str">
        <f>HYPERLINK("http://dx.doi.org/10.3390/su9081481","http://dx.doi.org/10.3390/su9081481")</f>
        <v>http://dx.doi.org/10.3390/su9081481</v>
      </c>
      <c r="BG221"/>
      <c r="BH221"/>
      <c r="BI221"/>
      <c r="BJ221" t="s">
        <v>460</v>
      </c>
      <c r="BK221"/>
      <c r="BL221"/>
      <c r="BM221"/>
      <c r="BN221"/>
      <c r="BO221"/>
      <c r="BP221"/>
      <c r="BQ221"/>
      <c r="BR221"/>
      <c r="BS221"/>
      <c r="BT221" t="str">
        <f>HYPERLINK("https%3A%2F%2Fwww.webofscience.com%2Fwos%2Fwoscc%2Ffull-record%2F","View Full Record in Web of Science")</f>
        <v>View Full Record in Web of Science</v>
      </c>
    </row>
    <row r="222" spans="1:72" customHeight="1" ht="12.75">
      <c r="A222" t="s">
        <v>72</v>
      </c>
      <c r="B222" t="s">
        <v>1652</v>
      </c>
      <c r="C222"/>
      <c r="D222"/>
      <c r="E222"/>
      <c r="F222" t="s">
        <v>1653</v>
      </c>
      <c r="G222"/>
      <c r="H222"/>
      <c r="I222" t="s">
        <v>1654</v>
      </c>
      <c r="J222" t="s">
        <v>133</v>
      </c>
      <c r="K222"/>
      <c r="L222"/>
      <c r="M222"/>
      <c r="N222" t="s">
        <v>112</v>
      </c>
      <c r="O222"/>
      <c r="P222"/>
      <c r="Q222"/>
      <c r="R222"/>
      <c r="S222"/>
      <c r="T222" t="s">
        <v>1655</v>
      </c>
      <c r="U222" t="s">
        <v>409</v>
      </c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119</v>
      </c>
      <c r="AI222">
        <v>141</v>
      </c>
      <c r="AJ222"/>
      <c r="AK222"/>
      <c r="AL222"/>
      <c r="AM222"/>
      <c r="AN222"/>
      <c r="AO222" t="s">
        <v>136</v>
      </c>
      <c r="AP222"/>
      <c r="AQ222"/>
      <c r="AR222"/>
      <c r="AS222"/>
      <c r="AT222" t="s">
        <v>362</v>
      </c>
      <c r="AU222">
        <v>2009</v>
      </c>
      <c r="AV222">
        <v>13</v>
      </c>
      <c r="AW222">
        <v>3</v>
      </c>
      <c r="AX222"/>
      <c r="AY222"/>
      <c r="AZ222"/>
      <c r="BA222"/>
      <c r="BB222">
        <v>384</v>
      </c>
      <c r="BC222">
        <v>405</v>
      </c>
      <c r="BD222"/>
      <c r="BE222" t="s">
        <v>1656</v>
      </c>
      <c r="BF222" t="str">
        <f>HYPERLINK("http://dx.doi.org/10.1111/j.1530-9290.2009.00130.x","http://dx.doi.org/10.1111/j.1530-9290.2009.00130.x")</f>
        <v>http://dx.doi.org/10.1111/j.1530-9290.2009.00130.x</v>
      </c>
      <c r="BG222"/>
      <c r="BH222"/>
      <c r="BI222"/>
      <c r="BJ222" t="s">
        <v>139</v>
      </c>
      <c r="BK222"/>
      <c r="BL222"/>
      <c r="BM222"/>
      <c r="BN222"/>
      <c r="BO222"/>
      <c r="BP222"/>
      <c r="BQ222"/>
      <c r="BR222"/>
      <c r="BS222"/>
      <c r="BT222" t="str">
        <f>HYPERLINK("https%3A%2F%2Fwww.webofscience.com%2Fwos%2Fwoscc%2Ffull-record%2F","View Full Record in Web of Science")</f>
        <v>View Full Record in Web of Science</v>
      </c>
    </row>
    <row r="223" spans="1:72" customHeight="1" ht="12.75">
      <c r="A223" t="s">
        <v>72</v>
      </c>
      <c r="B223" t="s">
        <v>1657</v>
      </c>
      <c r="C223"/>
      <c r="D223"/>
      <c r="E223"/>
      <c r="F223" t="s">
        <v>1658</v>
      </c>
      <c r="G223"/>
      <c r="H223"/>
      <c r="I223" t="s">
        <v>1659</v>
      </c>
      <c r="J223" t="s">
        <v>111</v>
      </c>
      <c r="K223"/>
      <c r="L223"/>
      <c r="M223"/>
      <c r="N223" t="s">
        <v>112</v>
      </c>
      <c r="O223"/>
      <c r="P223"/>
      <c r="Q223"/>
      <c r="R223"/>
      <c r="S223"/>
      <c r="T223" t="s">
        <v>1660</v>
      </c>
      <c r="U223" t="s">
        <v>1661</v>
      </c>
      <c r="V223"/>
      <c r="W223"/>
      <c r="X223"/>
      <c r="Y223"/>
      <c r="Z223"/>
      <c r="AA223"/>
      <c r="AB223"/>
      <c r="AC223"/>
      <c r="AD223"/>
      <c r="AE223"/>
      <c r="AF223"/>
      <c r="AG223"/>
      <c r="AH223">
        <v>30</v>
      </c>
      <c r="AI223">
        <v>33</v>
      </c>
      <c r="AJ223"/>
      <c r="AK223"/>
      <c r="AL223"/>
      <c r="AM223"/>
      <c r="AN223"/>
      <c r="AO223" t="s">
        <v>115</v>
      </c>
      <c r="AP223" t="s">
        <v>116</v>
      </c>
      <c r="AQ223"/>
      <c r="AR223"/>
      <c r="AS223"/>
      <c r="AT223" t="s">
        <v>92</v>
      </c>
      <c r="AU223">
        <v>2018</v>
      </c>
      <c r="AV223">
        <v>138</v>
      </c>
      <c r="AW223"/>
      <c r="AX223"/>
      <c r="AY223"/>
      <c r="AZ223"/>
      <c r="BA223"/>
      <c r="BB223">
        <v>172</v>
      </c>
      <c r="BC223">
        <v>182</v>
      </c>
      <c r="BD223"/>
      <c r="BE223" t="s">
        <v>1662</v>
      </c>
      <c r="BF223" t="str">
        <f>HYPERLINK("http://dx.doi.org/10.1016/j.resconrec.2018.06.010","http://dx.doi.org/10.1016/j.resconrec.2018.06.010")</f>
        <v>http://dx.doi.org/10.1016/j.resconrec.2018.06.010</v>
      </c>
      <c r="BG223"/>
      <c r="BH223"/>
      <c r="BI223"/>
      <c r="BJ223" t="s">
        <v>119</v>
      </c>
      <c r="BK223"/>
      <c r="BL223"/>
      <c r="BM223"/>
      <c r="BN223"/>
      <c r="BO223"/>
      <c r="BP223"/>
      <c r="BQ223"/>
      <c r="BR223"/>
      <c r="BS223"/>
      <c r="BT223" t="str">
        <f>HYPERLINK("https%3A%2F%2Fwww.webofscience.com%2Fwos%2Fwoscc%2Ffull-record%2F","View Full Record in Web of Science")</f>
        <v>View Full Record in Web of Science</v>
      </c>
    </row>
    <row r="224" spans="1:72" customHeight="1" ht="12.75">
      <c r="A224" t="s">
        <v>72</v>
      </c>
      <c r="B224" t="s">
        <v>1663</v>
      </c>
      <c r="C224"/>
      <c r="D224"/>
      <c r="E224"/>
      <c r="F224" t="s">
        <v>1664</v>
      </c>
      <c r="G224"/>
      <c r="H224"/>
      <c r="I224" t="s">
        <v>1665</v>
      </c>
      <c r="J224" t="s">
        <v>457</v>
      </c>
      <c r="K224"/>
      <c r="L224"/>
      <c r="M224"/>
      <c r="N224" t="s">
        <v>77</v>
      </c>
      <c r="O224"/>
      <c r="P224"/>
      <c r="Q224"/>
      <c r="R224"/>
      <c r="S224"/>
      <c r="T224" t="s">
        <v>1666</v>
      </c>
      <c r="U224" t="s">
        <v>1667</v>
      </c>
      <c r="V224"/>
      <c r="W224"/>
      <c r="X224"/>
      <c r="Y224"/>
      <c r="Z224"/>
      <c r="AA224"/>
      <c r="AB224"/>
      <c r="AC224"/>
      <c r="AD224"/>
      <c r="AE224"/>
      <c r="AF224"/>
      <c r="AG224"/>
      <c r="AH224">
        <v>26</v>
      </c>
      <c r="AI224">
        <v>26</v>
      </c>
      <c r="AJ224"/>
      <c r="AK224"/>
      <c r="AL224"/>
      <c r="AM224"/>
      <c r="AN224"/>
      <c r="AO224"/>
      <c r="AP224" t="s">
        <v>458</v>
      </c>
      <c r="AQ224"/>
      <c r="AR224"/>
      <c r="AS224"/>
      <c r="AT224" t="s">
        <v>1668</v>
      </c>
      <c r="AU224">
        <v>2019</v>
      </c>
      <c r="AV224">
        <v>11</v>
      </c>
      <c r="AW224">
        <v>10</v>
      </c>
      <c r="AX224"/>
      <c r="AY224"/>
      <c r="AZ224"/>
      <c r="BA224"/>
      <c r="BB224"/>
      <c r="BC224"/>
      <c r="BD224">
        <v>2766</v>
      </c>
      <c r="BE224" t="s">
        <v>1669</v>
      </c>
      <c r="BF224" t="str">
        <f>HYPERLINK("http://dx.doi.org/10.3390/su11102766","http://dx.doi.org/10.3390/su11102766")</f>
        <v>http://dx.doi.org/10.3390/su11102766</v>
      </c>
      <c r="BG224"/>
      <c r="BH224"/>
      <c r="BI224"/>
      <c r="BJ224" t="s">
        <v>460</v>
      </c>
      <c r="BK224"/>
      <c r="BL224"/>
      <c r="BM224"/>
      <c r="BN224"/>
      <c r="BO224"/>
      <c r="BP224"/>
      <c r="BQ224"/>
      <c r="BR224"/>
      <c r="BS224"/>
      <c r="BT224" t="str">
        <f>HYPERLINK("https%3A%2F%2Fwww.webofscience.com%2Fwos%2Fwoscc%2Ffull-record%2F","View Full Record in Web of Science")</f>
        <v>View Full Record in Web of Science</v>
      </c>
    </row>
    <row r="225" spans="1:72" customHeight="1" ht="12.75">
      <c r="A225" t="s">
        <v>72</v>
      </c>
      <c r="B225" t="s">
        <v>1670</v>
      </c>
      <c r="C225"/>
      <c r="D225"/>
      <c r="E225"/>
      <c r="F225" t="s">
        <v>1671</v>
      </c>
      <c r="G225"/>
      <c r="H225"/>
      <c r="I225" t="s">
        <v>1672</v>
      </c>
      <c r="J225" t="s">
        <v>1067</v>
      </c>
      <c r="K225"/>
      <c r="L225"/>
      <c r="M225"/>
      <c r="N225" t="s">
        <v>112</v>
      </c>
      <c r="O225"/>
      <c r="P225"/>
      <c r="Q225"/>
      <c r="R225"/>
      <c r="S225"/>
      <c r="T225" t="s">
        <v>1673</v>
      </c>
      <c r="U225" t="s">
        <v>1674</v>
      </c>
      <c r="V225"/>
      <c r="W225"/>
      <c r="X225"/>
      <c r="Y225"/>
      <c r="Z225"/>
      <c r="AA225"/>
      <c r="AB225"/>
      <c r="AC225"/>
      <c r="AD225"/>
      <c r="AE225"/>
      <c r="AF225"/>
      <c r="AG225"/>
      <c r="AH225">
        <v>15</v>
      </c>
      <c r="AI225">
        <v>18</v>
      </c>
      <c r="AJ225"/>
      <c r="AK225"/>
      <c r="AL225"/>
      <c r="AM225"/>
      <c r="AN225"/>
      <c r="AO225" t="s">
        <v>1070</v>
      </c>
      <c r="AP225" t="s">
        <v>1071</v>
      </c>
      <c r="AQ225"/>
      <c r="AR225"/>
      <c r="AS225"/>
      <c r="AT225" t="s">
        <v>1675</v>
      </c>
      <c r="AU225">
        <v>2019</v>
      </c>
      <c r="AV225">
        <v>662</v>
      </c>
      <c r="AW225"/>
      <c r="AX225"/>
      <c r="AY225"/>
      <c r="AZ225"/>
      <c r="BA225"/>
      <c r="BB225">
        <v>446</v>
      </c>
      <c r="BC225">
        <v>454</v>
      </c>
      <c r="BD225"/>
      <c r="BE225" t="s">
        <v>1676</v>
      </c>
      <c r="BF225" t="str">
        <f>HYPERLINK("http://dx.doi.org/10.1016/j.scitotenv.2019.01.252","http://dx.doi.org/10.1016/j.scitotenv.2019.01.252")</f>
        <v>http://dx.doi.org/10.1016/j.scitotenv.2019.01.252</v>
      </c>
      <c r="BG225"/>
      <c r="BH225"/>
      <c r="BI225"/>
      <c r="BJ225" t="s">
        <v>224</v>
      </c>
      <c r="BK225"/>
      <c r="BL225"/>
      <c r="BM225"/>
      <c r="BN225"/>
      <c r="BO225"/>
      <c r="BP225"/>
      <c r="BQ225"/>
      <c r="BR225"/>
      <c r="BS225"/>
      <c r="BT225" t="str">
        <f>HYPERLINK("https%3A%2F%2Fwww.webofscience.com%2Fwos%2Fwoscc%2Ffull-record%2F","View Full Record in Web of Science")</f>
        <v>View Full Record in Web of Science</v>
      </c>
    </row>
    <row r="226" spans="1:72" customHeight="1" ht="12.75">
      <c r="A226" t="s">
        <v>72</v>
      </c>
      <c r="B226" t="s">
        <v>1677</v>
      </c>
      <c r="C226"/>
      <c r="D226"/>
      <c r="E226"/>
      <c r="F226" t="s">
        <v>1678</v>
      </c>
      <c r="G226"/>
      <c r="H226"/>
      <c r="I226" t="s">
        <v>1679</v>
      </c>
      <c r="J226" t="s">
        <v>1680</v>
      </c>
      <c r="K226"/>
      <c r="L226"/>
      <c r="M226"/>
      <c r="N226" t="s">
        <v>112</v>
      </c>
      <c r="O226"/>
      <c r="P226"/>
      <c r="Q226"/>
      <c r="R226"/>
      <c r="S226"/>
      <c r="T226" t="s">
        <v>1681</v>
      </c>
      <c r="U226" t="s">
        <v>1682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>
        <v>122</v>
      </c>
      <c r="AI226">
        <v>141</v>
      </c>
      <c r="AJ226"/>
      <c r="AK226"/>
      <c r="AL226"/>
      <c r="AM226"/>
      <c r="AN226"/>
      <c r="AO226" t="s">
        <v>1683</v>
      </c>
      <c r="AP226" t="s">
        <v>1684</v>
      </c>
      <c r="AQ226"/>
      <c r="AR226"/>
      <c r="AS226"/>
      <c r="AT226" t="s">
        <v>1685</v>
      </c>
      <c r="AU226">
        <v>2013</v>
      </c>
      <c r="AV226">
        <v>124</v>
      </c>
      <c r="AW226"/>
      <c r="AX226"/>
      <c r="AY226"/>
      <c r="AZ226"/>
      <c r="BA226"/>
      <c r="BB226">
        <v>51</v>
      </c>
      <c r="BC226">
        <v>61</v>
      </c>
      <c r="BD226"/>
      <c r="BE226" t="s">
        <v>1686</v>
      </c>
      <c r="BF226" t="str">
        <f>HYPERLINK("http://dx.doi.org/10.1016/j.jenvman.2013.03.009","http://dx.doi.org/10.1016/j.jenvman.2013.03.009")</f>
        <v>http://dx.doi.org/10.1016/j.jenvman.2013.03.009</v>
      </c>
      <c r="BG226"/>
      <c r="BH226"/>
      <c r="BI226"/>
      <c r="BJ226" t="s">
        <v>224</v>
      </c>
      <c r="BK226"/>
      <c r="BL226"/>
      <c r="BM226"/>
      <c r="BN226"/>
      <c r="BO226"/>
      <c r="BP226"/>
      <c r="BQ226"/>
      <c r="BR226"/>
      <c r="BS226"/>
      <c r="BT226" t="str">
        <f>HYPERLINK("https%3A%2F%2Fwww.webofscience.com%2Fwos%2Fwoscc%2Ffull-record%2F","View Full Record in Web of Science")</f>
        <v>View Full Record in Web of Science</v>
      </c>
    </row>
    <row r="227" spans="1:72" customHeight="1" ht="12.75">
      <c r="A227" t="s">
        <v>72</v>
      </c>
      <c r="B227" t="s">
        <v>1687</v>
      </c>
      <c r="C227"/>
      <c r="D227"/>
      <c r="E227"/>
      <c r="F227" t="s">
        <v>1688</v>
      </c>
      <c r="G227"/>
      <c r="H227"/>
      <c r="I227" t="s">
        <v>1689</v>
      </c>
      <c r="J227" t="s">
        <v>1690</v>
      </c>
      <c r="K227"/>
      <c r="L227"/>
      <c r="M227"/>
      <c r="N227" t="s">
        <v>112</v>
      </c>
      <c r="O227"/>
      <c r="P227"/>
      <c r="Q227"/>
      <c r="R227"/>
      <c r="S227"/>
      <c r="T227" t="s">
        <v>1691</v>
      </c>
      <c r="U227" t="s">
        <v>1692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>
        <v>9</v>
      </c>
      <c r="AI227">
        <v>9</v>
      </c>
      <c r="AJ227"/>
      <c r="AK227"/>
      <c r="AL227"/>
      <c r="AM227"/>
      <c r="AN227"/>
      <c r="AO227" t="s">
        <v>1693</v>
      </c>
      <c r="AP227" t="s">
        <v>1694</v>
      </c>
      <c r="AQ227"/>
      <c r="AR227"/>
      <c r="AS227"/>
      <c r="AT227"/>
      <c r="AU227">
        <v>2016</v>
      </c>
      <c r="AV227">
        <v>13</v>
      </c>
      <c r="AW227">
        <v>7</v>
      </c>
      <c r="AX227"/>
      <c r="AY227"/>
      <c r="AZ227"/>
      <c r="BA227"/>
      <c r="BB227">
        <v>663</v>
      </c>
      <c r="BC227">
        <v>675</v>
      </c>
      <c r="BD227"/>
      <c r="BE227" t="s">
        <v>1695</v>
      </c>
      <c r="BF227" t="str">
        <f>HYPERLINK("http://dx.doi.org/10.1080/1573062X.2015.1024686","http://dx.doi.org/10.1080/1573062X.2015.1024686")</f>
        <v>http://dx.doi.org/10.1080/1573062X.2015.1024686</v>
      </c>
      <c r="BG227"/>
      <c r="BH227"/>
      <c r="BI227"/>
      <c r="BJ227" t="s">
        <v>1211</v>
      </c>
      <c r="BK227"/>
      <c r="BL227"/>
      <c r="BM227"/>
      <c r="BN227"/>
      <c r="BO227"/>
      <c r="BP227"/>
      <c r="BQ227"/>
      <c r="BR227"/>
      <c r="BS227"/>
      <c r="BT227" t="str">
        <f>HYPERLINK("https%3A%2F%2Fwww.webofscience.com%2Fwos%2Fwoscc%2Ffull-record%2F","View Full Record in Web of Science")</f>
        <v>View Full Record in Web of Science</v>
      </c>
    </row>
    <row r="228" spans="1:72" customHeight="1" ht="12.75">
      <c r="A228" t="s">
        <v>72</v>
      </c>
      <c r="B228" t="s">
        <v>1696</v>
      </c>
      <c r="C228"/>
      <c r="D228"/>
      <c r="E228"/>
      <c r="F228" t="s">
        <v>1697</v>
      </c>
      <c r="G228"/>
      <c r="H228"/>
      <c r="I228" t="s">
        <v>1698</v>
      </c>
      <c r="J228" t="s">
        <v>1699</v>
      </c>
      <c r="K228"/>
      <c r="L228"/>
      <c r="M228"/>
      <c r="N228" t="s">
        <v>77</v>
      </c>
      <c r="O228"/>
      <c r="P228"/>
      <c r="Q228"/>
      <c r="R228"/>
      <c r="S228"/>
      <c r="T228" t="s">
        <v>1700</v>
      </c>
      <c r="U228" t="s">
        <v>1701</v>
      </c>
      <c r="V228"/>
      <c r="W228"/>
      <c r="X228"/>
      <c r="Y228"/>
      <c r="Z228"/>
      <c r="AA228"/>
      <c r="AB228"/>
      <c r="AC228"/>
      <c r="AD228"/>
      <c r="AE228"/>
      <c r="AF228"/>
      <c r="AG228"/>
      <c r="AH228">
        <v>48</v>
      </c>
      <c r="AI228">
        <v>49</v>
      </c>
      <c r="AJ228"/>
      <c r="AK228"/>
      <c r="AL228"/>
      <c r="AM228"/>
      <c r="AN228"/>
      <c r="AO228" t="s">
        <v>1702</v>
      </c>
      <c r="AP228" t="s">
        <v>1703</v>
      </c>
      <c r="AQ228"/>
      <c r="AR228"/>
      <c r="AS228"/>
      <c r="AT228" t="s">
        <v>154</v>
      </c>
      <c r="AU228">
        <v>2016</v>
      </c>
      <c r="AV228">
        <v>61</v>
      </c>
      <c r="AW228"/>
      <c r="AX228"/>
      <c r="AY228"/>
      <c r="AZ228"/>
      <c r="BA228"/>
      <c r="BB228">
        <v>341</v>
      </c>
      <c r="BC228">
        <v>353</v>
      </c>
      <c r="BD228"/>
      <c r="BE228" t="s">
        <v>1704</v>
      </c>
      <c r="BF228" t="str">
        <f>HYPERLINK("http://dx.doi.org/10.1016/j.rser.2016.04.015","http://dx.doi.org/10.1016/j.rser.2016.04.015")</f>
        <v>http://dx.doi.org/10.1016/j.rser.2016.04.015</v>
      </c>
      <c r="BG228"/>
      <c r="BH228"/>
      <c r="BI228"/>
      <c r="BJ228" t="s">
        <v>1705</v>
      </c>
      <c r="BK228"/>
      <c r="BL228"/>
      <c r="BM228"/>
      <c r="BN228"/>
      <c r="BO228"/>
      <c r="BP228"/>
      <c r="BQ228"/>
      <c r="BR228"/>
      <c r="BS228"/>
      <c r="BT228" t="str">
        <f>HYPERLINK("https%3A%2F%2Fwww.webofscience.com%2Fwos%2Fwoscc%2Ffull-record%2F","View Full Record in Web of Science")</f>
        <v>View Full Record in Web of Science</v>
      </c>
    </row>
    <row r="229" spans="1:72" customHeight="1" ht="12.75">
      <c r="A229" t="s">
        <v>72</v>
      </c>
      <c r="B229" t="s">
        <v>360</v>
      </c>
      <c r="C229"/>
      <c r="D229"/>
      <c r="E229"/>
      <c r="F229" t="s">
        <v>361</v>
      </c>
      <c r="G229"/>
      <c r="H229"/>
      <c r="I229" t="s">
        <v>1706</v>
      </c>
      <c r="J229" t="s">
        <v>185</v>
      </c>
      <c r="K229"/>
      <c r="L229"/>
      <c r="M229"/>
      <c r="N229" t="s">
        <v>112</v>
      </c>
      <c r="O229"/>
      <c r="P229"/>
      <c r="Q229"/>
      <c r="R229"/>
      <c r="S229"/>
      <c r="T229" t="s">
        <v>1707</v>
      </c>
      <c r="U229" t="s">
        <v>1708</v>
      </c>
      <c r="V229"/>
      <c r="W229"/>
      <c r="X229"/>
      <c r="Y229"/>
      <c r="Z229"/>
      <c r="AA229"/>
      <c r="AB229"/>
      <c r="AC229"/>
      <c r="AD229"/>
      <c r="AE229"/>
      <c r="AF229"/>
      <c r="AG229"/>
      <c r="AH229">
        <v>20</v>
      </c>
      <c r="AI229">
        <v>22</v>
      </c>
      <c r="AJ229"/>
      <c r="AK229"/>
      <c r="AL229"/>
      <c r="AM229"/>
      <c r="AN229"/>
      <c r="AO229" t="s">
        <v>188</v>
      </c>
      <c r="AP229" t="s">
        <v>189</v>
      </c>
      <c r="AQ229"/>
      <c r="AR229"/>
      <c r="AS229"/>
      <c r="AT229" t="s">
        <v>198</v>
      </c>
      <c r="AU229">
        <v>2015</v>
      </c>
      <c r="AV229">
        <v>118</v>
      </c>
      <c r="AW229"/>
      <c r="AX229"/>
      <c r="AY229"/>
      <c r="AZ229"/>
      <c r="BA229"/>
      <c r="BB229">
        <v>177</v>
      </c>
      <c r="BC229">
        <v>185</v>
      </c>
      <c r="BD229"/>
      <c r="BE229" t="s">
        <v>1709</v>
      </c>
      <c r="BF229" t="str">
        <f>HYPERLINK("http://dx.doi.org/10.1016/j.ecolecon.2015.07.027","http://dx.doi.org/10.1016/j.ecolecon.2015.07.027")</f>
        <v>http://dx.doi.org/10.1016/j.ecolecon.2015.07.027</v>
      </c>
      <c r="BG229"/>
      <c r="BH229"/>
      <c r="BI229"/>
      <c r="BJ229" t="s">
        <v>192</v>
      </c>
      <c r="BK229"/>
      <c r="BL229"/>
      <c r="BM229"/>
      <c r="BN229"/>
      <c r="BO229"/>
      <c r="BP229"/>
      <c r="BQ229"/>
      <c r="BR229"/>
      <c r="BS229"/>
      <c r="BT229" t="str">
        <f>HYPERLINK("https%3A%2F%2Fwww.webofscience.com%2Fwos%2Fwoscc%2Ffull-record%2F","View Full Record in Web of Science")</f>
        <v>View Full Record in Web of Science</v>
      </c>
    </row>
    <row r="230" spans="1:72" customHeight="1" ht="12.75">
      <c r="A230" t="s">
        <v>72</v>
      </c>
      <c r="B230" t="s">
        <v>1710</v>
      </c>
      <c r="C230"/>
      <c r="D230"/>
      <c r="E230"/>
      <c r="F230" t="s">
        <v>1711</v>
      </c>
      <c r="G230"/>
      <c r="H230"/>
      <c r="I230" t="s">
        <v>1712</v>
      </c>
      <c r="J230" t="s">
        <v>1713</v>
      </c>
      <c r="K230"/>
      <c r="L230"/>
      <c r="M230"/>
      <c r="N230" t="s">
        <v>112</v>
      </c>
      <c r="O230"/>
      <c r="P230"/>
      <c r="Q230"/>
      <c r="R230"/>
      <c r="S230"/>
      <c r="T230" t="s">
        <v>1714</v>
      </c>
      <c r="U230" t="s">
        <v>1715</v>
      </c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7</v>
      </c>
      <c r="AI230">
        <v>8</v>
      </c>
      <c r="AJ230"/>
      <c r="AK230"/>
      <c r="AL230"/>
      <c r="AM230"/>
      <c r="AN230"/>
      <c r="AO230" t="s">
        <v>1716</v>
      </c>
      <c r="AP230" t="s">
        <v>1717</v>
      </c>
      <c r="AQ230"/>
      <c r="AR230"/>
      <c r="AS230"/>
      <c r="AT230" t="s">
        <v>385</v>
      </c>
      <c r="AU230">
        <v>2019</v>
      </c>
      <c r="AV230">
        <v>15</v>
      </c>
      <c r="AW230">
        <v>3</v>
      </c>
      <c r="AX230"/>
      <c r="AY230"/>
      <c r="AZ230"/>
      <c r="BA230"/>
      <c r="BB230">
        <v>245</v>
      </c>
      <c r="BC230">
        <v>251</v>
      </c>
      <c r="BD230"/>
      <c r="BE230" t="s">
        <v>1718</v>
      </c>
      <c r="BF230" t="str">
        <f>HYPERLINK("http://dx.doi.org/10.1007/s11355-019-00377-8","http://dx.doi.org/10.1007/s11355-019-00377-8")</f>
        <v>http://dx.doi.org/10.1007/s11355-019-00377-8</v>
      </c>
      <c r="BG230"/>
      <c r="BH230"/>
      <c r="BI230"/>
      <c r="BJ230" t="s">
        <v>1719</v>
      </c>
      <c r="BK230"/>
      <c r="BL230"/>
      <c r="BM230"/>
      <c r="BN230"/>
      <c r="BO230"/>
      <c r="BP230"/>
      <c r="BQ230"/>
      <c r="BR230"/>
      <c r="BS230"/>
      <c r="BT230" t="str">
        <f>HYPERLINK("https%3A%2F%2Fwww.webofscience.com%2Fwos%2Fwoscc%2Ffull-record%2F","View Full Record in Web of Science")</f>
        <v>View Full Record in Web of Science</v>
      </c>
    </row>
    <row r="231" spans="1:72" customHeight="1" ht="12.75">
      <c r="A231" t="s">
        <v>72</v>
      </c>
      <c r="B231" t="s">
        <v>1720</v>
      </c>
      <c r="C231"/>
      <c r="D231"/>
      <c r="E231"/>
      <c r="F231" t="s">
        <v>1721</v>
      </c>
      <c r="G231"/>
      <c r="H231"/>
      <c r="I231" t="s">
        <v>1722</v>
      </c>
      <c r="J231" t="s">
        <v>166</v>
      </c>
      <c r="K231"/>
      <c r="L231"/>
      <c r="M231"/>
      <c r="N231" t="s">
        <v>112</v>
      </c>
      <c r="O231"/>
      <c r="P231"/>
      <c r="Q231"/>
      <c r="R231"/>
      <c r="S231"/>
      <c r="T231" t="s">
        <v>1723</v>
      </c>
      <c r="U231" t="s">
        <v>1724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>
        <v>1</v>
      </c>
      <c r="AI231">
        <v>1</v>
      </c>
      <c r="AJ231"/>
      <c r="AK231"/>
      <c r="AL231"/>
      <c r="AM231"/>
      <c r="AN231"/>
      <c r="AO231"/>
      <c r="AP231" t="s">
        <v>169</v>
      </c>
      <c r="AQ231"/>
      <c r="AR231"/>
      <c r="AS231"/>
      <c r="AT231"/>
      <c r="AU231">
        <v>2021</v>
      </c>
      <c r="AV231">
        <v>2</v>
      </c>
      <c r="AW231"/>
      <c r="AX231"/>
      <c r="AY231"/>
      <c r="AZ231"/>
      <c r="BA231"/>
      <c r="BB231"/>
      <c r="BC231"/>
      <c r="BD231">
        <v>40</v>
      </c>
      <c r="BE231" t="s">
        <v>1725</v>
      </c>
      <c r="BF231" t="str">
        <f>HYPERLINK("http://dx.doi.org/10.3389/frsc.2020.00040","http://dx.doi.org/10.3389/frsc.2020.00040")</f>
        <v>http://dx.doi.org/10.3389/frsc.2020.00040</v>
      </c>
      <c r="BG231"/>
      <c r="BH231"/>
      <c r="BI231"/>
      <c r="BJ231" t="s">
        <v>171</v>
      </c>
      <c r="BK231"/>
      <c r="BL231"/>
      <c r="BM231"/>
      <c r="BN231"/>
      <c r="BO231"/>
      <c r="BP231"/>
      <c r="BQ231"/>
      <c r="BR231"/>
      <c r="BS231"/>
      <c r="BT231" t="str">
        <f>HYPERLINK("https%3A%2F%2Fwww.webofscience.com%2Fwos%2Fwoscc%2Ffull-record%2F","View Full Record in Web of Science")</f>
        <v>View Full Record in Web of Science</v>
      </c>
    </row>
    <row r="232" spans="1:72" customHeight="1" ht="12.75">
      <c r="A232" t="s">
        <v>72</v>
      </c>
      <c r="B232" t="s">
        <v>1726</v>
      </c>
      <c r="C232"/>
      <c r="D232"/>
      <c r="E232"/>
      <c r="F232" t="s">
        <v>1727</v>
      </c>
      <c r="G232"/>
      <c r="H232"/>
      <c r="I232" t="s">
        <v>1728</v>
      </c>
      <c r="J232" t="s">
        <v>254</v>
      </c>
      <c r="K232"/>
      <c r="L232"/>
      <c r="M232"/>
      <c r="N232" t="s">
        <v>112</v>
      </c>
      <c r="O232"/>
      <c r="P232"/>
      <c r="Q232"/>
      <c r="R232"/>
      <c r="S232"/>
      <c r="T232" t="s">
        <v>1729</v>
      </c>
      <c r="U232" t="s">
        <v>1730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>
        <v>9</v>
      </c>
      <c r="AI232">
        <v>10</v>
      </c>
      <c r="AJ232"/>
      <c r="AK232"/>
      <c r="AL232"/>
      <c r="AM232"/>
      <c r="AN232"/>
      <c r="AO232" t="s">
        <v>257</v>
      </c>
      <c r="AP232"/>
      <c r="AQ232"/>
      <c r="AR232"/>
      <c r="AS232"/>
      <c r="AT232"/>
      <c r="AU232">
        <v>2019</v>
      </c>
      <c r="AV232">
        <v>4</v>
      </c>
      <c r="AW232">
        <v>1</v>
      </c>
      <c r="AX232"/>
      <c r="AY232"/>
      <c r="AZ232"/>
      <c r="BA232"/>
      <c r="BB232">
        <v>152</v>
      </c>
      <c r="BC232">
        <v>171</v>
      </c>
      <c r="BD232"/>
      <c r="BE232" t="s">
        <v>1731</v>
      </c>
      <c r="BF232" t="str">
        <f>HYPERLINK("http://dx.doi.org/10.17645/up.v4i1.1549","http://dx.doi.org/10.17645/up.v4i1.1549")</f>
        <v>http://dx.doi.org/10.17645/up.v4i1.1549</v>
      </c>
      <c r="BG232"/>
      <c r="BH232"/>
      <c r="BI232"/>
      <c r="BJ232" t="s">
        <v>243</v>
      </c>
      <c r="BK232"/>
      <c r="BL232"/>
      <c r="BM232"/>
      <c r="BN232"/>
      <c r="BO232"/>
      <c r="BP232"/>
      <c r="BQ232"/>
      <c r="BR232"/>
      <c r="BS232"/>
      <c r="BT232" t="str">
        <f>HYPERLINK("https%3A%2F%2Fwww.webofscience.com%2Fwos%2Fwoscc%2Ffull-record%2F","View Full Record in Web of Science")</f>
        <v>View Full Record in Web of Science</v>
      </c>
    </row>
    <row r="233" spans="1:72" customHeight="1" ht="12.75">
      <c r="A233" t="s">
        <v>72</v>
      </c>
      <c r="B233" t="s">
        <v>1732</v>
      </c>
      <c r="C233"/>
      <c r="D233"/>
      <c r="E233"/>
      <c r="F233" t="s">
        <v>1733</v>
      </c>
      <c r="G233"/>
      <c r="H233"/>
      <c r="I233" t="s">
        <v>1734</v>
      </c>
      <c r="J233" t="s">
        <v>268</v>
      </c>
      <c r="K233"/>
      <c r="L233"/>
      <c r="M233"/>
      <c r="N233" t="s">
        <v>325</v>
      </c>
      <c r="O233"/>
      <c r="P233"/>
      <c r="Q233"/>
      <c r="R233"/>
      <c r="S233"/>
      <c r="T233" t="s">
        <v>1735</v>
      </c>
      <c r="U233" t="s">
        <v>1736</v>
      </c>
      <c r="V233"/>
      <c r="W233"/>
      <c r="X233"/>
      <c r="Y233"/>
      <c r="Z233"/>
      <c r="AA233"/>
      <c r="AB233"/>
      <c r="AC233"/>
      <c r="AD233"/>
      <c r="AE233"/>
      <c r="AF233"/>
      <c r="AG233"/>
      <c r="AH233">
        <v>5</v>
      </c>
      <c r="AI233">
        <v>5</v>
      </c>
      <c r="AJ233"/>
      <c r="AK233"/>
      <c r="AL233"/>
      <c r="AM233"/>
      <c r="AN233"/>
      <c r="AO233" t="s">
        <v>271</v>
      </c>
      <c r="AP233" t="s">
        <v>272</v>
      </c>
      <c r="AQ233"/>
      <c r="AR233"/>
      <c r="AS233"/>
      <c r="AT233" t="s">
        <v>296</v>
      </c>
      <c r="AU233">
        <v>2023</v>
      </c>
      <c r="AV233">
        <v>50</v>
      </c>
      <c r="AW233">
        <v>6</v>
      </c>
      <c r="AX233"/>
      <c r="AY233"/>
      <c r="AZ233"/>
      <c r="BA233"/>
      <c r="BB233">
        <v>1559</v>
      </c>
      <c r="BC233">
        <v>1576</v>
      </c>
      <c r="BD233"/>
      <c r="BE233" t="s">
        <v>1737</v>
      </c>
      <c r="BF233" t="str">
        <f>HYPERLINK("http://dx.doi.org/10.1177/23998083221140892","http://dx.doi.org/10.1177/23998083221140892")</f>
        <v>http://dx.doi.org/10.1177/23998083221140892</v>
      </c>
      <c r="BG233"/>
      <c r="BH233" t="s">
        <v>1738</v>
      </c>
      <c r="BI233"/>
      <c r="BJ233" t="s">
        <v>210</v>
      </c>
      <c r="BK233"/>
      <c r="BL233"/>
      <c r="BM233"/>
      <c r="BN233"/>
      <c r="BO233"/>
      <c r="BP233"/>
      <c r="BQ233"/>
      <c r="BR233"/>
      <c r="BS233"/>
      <c r="BT233" t="str">
        <f>HYPERLINK("https%3A%2F%2Fwww.webofscience.com%2Fwos%2Fwoscc%2Ffull-record%2F","View Full Record in Web of Science")</f>
        <v>View Full Record in Web of Science</v>
      </c>
    </row>
    <row r="234" spans="1:72" customHeight="1" ht="12.75">
      <c r="A234" t="s">
        <v>72</v>
      </c>
      <c r="B234" t="s">
        <v>1739</v>
      </c>
      <c r="C234"/>
      <c r="D234"/>
      <c r="E234"/>
      <c r="F234" t="s">
        <v>1740</v>
      </c>
      <c r="G234"/>
      <c r="H234"/>
      <c r="I234" t="s">
        <v>1741</v>
      </c>
      <c r="J234" t="s">
        <v>133</v>
      </c>
      <c r="K234"/>
      <c r="L234"/>
      <c r="M234"/>
      <c r="N234" t="s">
        <v>112</v>
      </c>
      <c r="O234"/>
      <c r="P234"/>
      <c r="Q234"/>
      <c r="R234"/>
      <c r="S234"/>
      <c r="T234" t="s">
        <v>1742</v>
      </c>
      <c r="U234" t="s">
        <v>1743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>
        <v>7</v>
      </c>
      <c r="AI234">
        <v>7</v>
      </c>
      <c r="AJ234"/>
      <c r="AK234"/>
      <c r="AL234"/>
      <c r="AM234"/>
      <c r="AN234"/>
      <c r="AO234" t="s">
        <v>136</v>
      </c>
      <c r="AP234" t="s">
        <v>137</v>
      </c>
      <c r="AQ234"/>
      <c r="AR234"/>
      <c r="AS234"/>
      <c r="AT234" t="s">
        <v>394</v>
      </c>
      <c r="AU234">
        <v>2017</v>
      </c>
      <c r="AV234">
        <v>21</v>
      </c>
      <c r="AW234">
        <v>1</v>
      </c>
      <c r="AX234"/>
      <c r="AY234"/>
      <c r="AZ234"/>
      <c r="BA234"/>
      <c r="BB234">
        <v>136</v>
      </c>
      <c r="BC234">
        <v>150</v>
      </c>
      <c r="BD234"/>
      <c r="BE234" t="s">
        <v>1744</v>
      </c>
      <c r="BF234" t="str">
        <f>HYPERLINK("http://dx.doi.org/10.1111/jiec.12422","http://dx.doi.org/10.1111/jiec.12422")</f>
        <v>http://dx.doi.org/10.1111/jiec.12422</v>
      </c>
      <c r="BG234"/>
      <c r="BH234"/>
      <c r="BI234"/>
      <c r="BJ234" t="s">
        <v>139</v>
      </c>
      <c r="BK234"/>
      <c r="BL234"/>
      <c r="BM234"/>
      <c r="BN234"/>
      <c r="BO234"/>
      <c r="BP234"/>
      <c r="BQ234"/>
      <c r="BR234"/>
      <c r="BS234"/>
      <c r="BT234" t="str">
        <f>HYPERLINK("https%3A%2F%2Fwww.webofscience.com%2Fwos%2Fwoscc%2Ffull-record%2F","View Full Record in Web of Science")</f>
        <v>View Full Record in Web of Science</v>
      </c>
    </row>
    <row r="235" spans="1:72" customHeight="1" ht="12.75">
      <c r="A235" t="s">
        <v>72</v>
      </c>
      <c r="B235" t="s">
        <v>1745</v>
      </c>
      <c r="C235"/>
      <c r="D235"/>
      <c r="E235"/>
      <c r="F235" t="s">
        <v>1746</v>
      </c>
      <c r="G235"/>
      <c r="H235"/>
      <c r="I235" t="s">
        <v>1747</v>
      </c>
      <c r="J235" t="s">
        <v>1748</v>
      </c>
      <c r="K235"/>
      <c r="L235"/>
      <c r="M235"/>
      <c r="N235" t="s">
        <v>77</v>
      </c>
      <c r="O235"/>
      <c r="P235"/>
      <c r="Q235"/>
      <c r="R235"/>
      <c r="S235"/>
      <c r="T235" t="s">
        <v>1749</v>
      </c>
      <c r="U235" t="s">
        <v>1750</v>
      </c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28</v>
      </c>
      <c r="AI235">
        <v>29</v>
      </c>
      <c r="AJ235"/>
      <c r="AK235"/>
      <c r="AL235"/>
      <c r="AM235"/>
      <c r="AN235"/>
      <c r="AO235" t="s">
        <v>1751</v>
      </c>
      <c r="AP235" t="s">
        <v>1752</v>
      </c>
      <c r="AQ235"/>
      <c r="AR235"/>
      <c r="AS235"/>
      <c r="AT235" t="s">
        <v>92</v>
      </c>
      <c r="AU235">
        <v>2013</v>
      </c>
      <c r="AV235">
        <v>37</v>
      </c>
      <c r="AW235">
        <v>6</v>
      </c>
      <c r="AX235"/>
      <c r="AY235"/>
      <c r="AZ235"/>
      <c r="BA235"/>
      <c r="BB235">
        <v>1949</v>
      </c>
      <c r="BC235">
        <v>1967</v>
      </c>
      <c r="BD235"/>
      <c r="BE235" t="s">
        <v>1753</v>
      </c>
      <c r="BF235" t="str">
        <f>HYPERLINK("http://dx.doi.org/10.1111/1468-2427.12049","http://dx.doi.org/10.1111/1468-2427.12049")</f>
        <v>http://dx.doi.org/10.1111/1468-2427.12049</v>
      </c>
      <c r="BG235"/>
      <c r="BH235"/>
      <c r="BI235"/>
      <c r="BJ235" t="s">
        <v>1754</v>
      </c>
      <c r="BK235"/>
      <c r="BL235"/>
      <c r="BM235"/>
      <c r="BN235"/>
      <c r="BO235"/>
      <c r="BP235"/>
      <c r="BQ235"/>
      <c r="BR235"/>
      <c r="BS235"/>
      <c r="BT235" t="str">
        <f>HYPERLINK("https%3A%2F%2Fwww.webofscience.com%2Fwos%2Fwoscc%2Ffull-record%2F","View Full Record in Web of Science")</f>
        <v>View Full Record in Web of Science</v>
      </c>
    </row>
    <row r="236" spans="1:72" customHeight="1" ht="12.75">
      <c r="A236" t="s">
        <v>72</v>
      </c>
      <c r="B236" t="s">
        <v>1755</v>
      </c>
      <c r="C236"/>
      <c r="D236"/>
      <c r="E236"/>
      <c r="F236" t="s">
        <v>1756</v>
      </c>
      <c r="G236"/>
      <c r="H236"/>
      <c r="I236" t="s">
        <v>1757</v>
      </c>
      <c r="J236" t="s">
        <v>98</v>
      </c>
      <c r="K236"/>
      <c r="L236"/>
      <c r="M236"/>
      <c r="N236" t="s">
        <v>112</v>
      </c>
      <c r="O236"/>
      <c r="P236"/>
      <c r="Q236"/>
      <c r="R236"/>
      <c r="S236"/>
      <c r="T236" t="s">
        <v>1758</v>
      </c>
      <c r="U236" t="s">
        <v>1759</v>
      </c>
      <c r="V236"/>
      <c r="W236"/>
      <c r="X236"/>
      <c r="Y236"/>
      <c r="Z236"/>
      <c r="AA236"/>
      <c r="AB236"/>
      <c r="AC236"/>
      <c r="AD236"/>
      <c r="AE236"/>
      <c r="AF236"/>
      <c r="AG236"/>
      <c r="AH236">
        <v>67</v>
      </c>
      <c r="AI236">
        <v>76</v>
      </c>
      <c r="AJ236"/>
      <c r="AK236"/>
      <c r="AL236"/>
      <c r="AM236"/>
      <c r="AN236"/>
      <c r="AO236" t="s">
        <v>102</v>
      </c>
      <c r="AP236" t="s">
        <v>103</v>
      </c>
      <c r="AQ236"/>
      <c r="AR236"/>
      <c r="AS236"/>
      <c r="AT236" t="s">
        <v>394</v>
      </c>
      <c r="AU236">
        <v>2013</v>
      </c>
      <c r="AV236">
        <v>110</v>
      </c>
      <c r="AW236"/>
      <c r="AX236"/>
      <c r="AY236"/>
      <c r="AZ236"/>
      <c r="BA236"/>
      <c r="BB236">
        <v>48</v>
      </c>
      <c r="BC236">
        <v>58</v>
      </c>
      <c r="BD236"/>
      <c r="BE236" t="s">
        <v>1760</v>
      </c>
      <c r="BF236" t="str">
        <f>HYPERLINK("http://dx.doi.org/10.1016/j.landurbplan.2012.10.002","http://dx.doi.org/10.1016/j.landurbplan.2012.10.002")</f>
        <v>http://dx.doi.org/10.1016/j.landurbplan.2012.10.002</v>
      </c>
      <c r="BG236"/>
      <c r="BH236"/>
      <c r="BI236"/>
      <c r="BJ236" t="s">
        <v>107</v>
      </c>
      <c r="BK236"/>
      <c r="BL236"/>
      <c r="BM236"/>
      <c r="BN236"/>
      <c r="BO236"/>
      <c r="BP236"/>
      <c r="BQ236"/>
      <c r="BR236"/>
      <c r="BS236"/>
      <c r="BT236" t="str">
        <f>HYPERLINK("https%3A%2F%2Fwww.webofscience.com%2Fwos%2Fwoscc%2Ffull-record%2F","View Full Record in Web of Science")</f>
        <v>View Full Record in Web of Science</v>
      </c>
    </row>
    <row r="237" spans="1:72" customHeight="1" ht="12.75">
      <c r="A237" t="s">
        <v>72</v>
      </c>
      <c r="B237" t="s">
        <v>1761</v>
      </c>
      <c r="C237"/>
      <c r="D237"/>
      <c r="E237"/>
      <c r="F237" t="s">
        <v>1762</v>
      </c>
      <c r="G237"/>
      <c r="H237"/>
      <c r="I237" t="s">
        <v>1763</v>
      </c>
      <c r="J237" t="s">
        <v>283</v>
      </c>
      <c r="K237"/>
      <c r="L237"/>
      <c r="M237"/>
      <c r="N237" t="s">
        <v>112</v>
      </c>
      <c r="O237"/>
      <c r="P237"/>
      <c r="Q237"/>
      <c r="R237"/>
      <c r="S237"/>
      <c r="T237" t="s">
        <v>1764</v>
      </c>
      <c r="U237" t="s">
        <v>1765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>
        <v>68</v>
      </c>
      <c r="AI237">
        <v>78</v>
      </c>
      <c r="AJ237"/>
      <c r="AK237"/>
      <c r="AL237"/>
      <c r="AM237"/>
      <c r="AN237"/>
      <c r="AO237" t="s">
        <v>286</v>
      </c>
      <c r="AP237"/>
      <c r="AQ237"/>
      <c r="AR237"/>
      <c r="AS237"/>
      <c r="AT237"/>
      <c r="AU237">
        <v>2013</v>
      </c>
      <c r="AV237">
        <v>44</v>
      </c>
      <c r="AW237"/>
      <c r="AX237"/>
      <c r="AY237"/>
      <c r="AZ237"/>
      <c r="BA237"/>
      <c r="BB237">
        <v>103</v>
      </c>
      <c r="BC237">
        <v>111</v>
      </c>
      <c r="BD237"/>
      <c r="BE237" t="s">
        <v>1766</v>
      </c>
      <c r="BF237" t="str">
        <f>HYPERLINK("http://dx.doi.org/10.1016/j.geoforum.2012.02.006","http://dx.doi.org/10.1016/j.geoforum.2012.02.006")</f>
        <v>http://dx.doi.org/10.1016/j.geoforum.2012.02.006</v>
      </c>
      <c r="BG237"/>
      <c r="BH237"/>
      <c r="BI237"/>
      <c r="BJ237" t="s">
        <v>83</v>
      </c>
      <c r="BK237"/>
      <c r="BL237"/>
      <c r="BM237"/>
      <c r="BN237"/>
      <c r="BO237"/>
      <c r="BP237"/>
      <c r="BQ237"/>
      <c r="BR237"/>
      <c r="BS237"/>
      <c r="BT237" t="str">
        <f>HYPERLINK("https%3A%2F%2Fwww.webofscience.com%2Fwos%2Fwoscc%2Ffull-record%2F","View Full Record in Web of Science")</f>
        <v>View Full Record in Web of Science</v>
      </c>
    </row>
    <row r="238" spans="1:72" customHeight="1" ht="12.75">
      <c r="A238" t="s">
        <v>72</v>
      </c>
      <c r="B238" t="s">
        <v>1767</v>
      </c>
      <c r="C238"/>
      <c r="D238"/>
      <c r="E238"/>
      <c r="F238" t="s">
        <v>1768</v>
      </c>
      <c r="G238"/>
      <c r="H238"/>
      <c r="I238" t="s">
        <v>1769</v>
      </c>
      <c r="J238" t="s">
        <v>1770</v>
      </c>
      <c r="K238"/>
      <c r="L238"/>
      <c r="M238"/>
      <c r="N238" t="s">
        <v>112</v>
      </c>
      <c r="O238"/>
      <c r="P238"/>
      <c r="Q238"/>
      <c r="R238"/>
      <c r="S238"/>
      <c r="T238" t="s">
        <v>1771</v>
      </c>
      <c r="U238" t="s">
        <v>1772</v>
      </c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2</v>
      </c>
      <c r="AI238">
        <v>2</v>
      </c>
      <c r="AJ238"/>
      <c r="AK238"/>
      <c r="AL238"/>
      <c r="AM238"/>
      <c r="AN238"/>
      <c r="AO238" t="s">
        <v>1773</v>
      </c>
      <c r="AP238" t="s">
        <v>1774</v>
      </c>
      <c r="AQ238"/>
      <c r="AR238"/>
      <c r="AS238"/>
      <c r="AT238"/>
      <c r="AU238">
        <v>2021</v>
      </c>
      <c r="AV238">
        <v>10</v>
      </c>
      <c r="AW238">
        <v>4</v>
      </c>
      <c r="AX238"/>
      <c r="AY238"/>
      <c r="AZ238"/>
      <c r="BA238"/>
      <c r="BB238">
        <v>121</v>
      </c>
      <c r="BC238">
        <v>130</v>
      </c>
      <c r="BD238"/>
      <c r="BE238" t="s">
        <v>1775</v>
      </c>
      <c r="BF238" t="str">
        <f>HYPERLINK("http://dx.doi.org/10.14207/ejsd.2021.v10n4p121","http://dx.doi.org/10.14207/ejsd.2021.v10n4p121")</f>
        <v>http://dx.doi.org/10.14207/ejsd.2021.v10n4p121</v>
      </c>
      <c r="BG238"/>
      <c r="BH238"/>
      <c r="BI238"/>
      <c r="BJ238" t="s">
        <v>224</v>
      </c>
      <c r="BK238"/>
      <c r="BL238"/>
      <c r="BM238"/>
      <c r="BN238"/>
      <c r="BO238"/>
      <c r="BP238"/>
      <c r="BQ238"/>
      <c r="BR238"/>
      <c r="BS238"/>
      <c r="BT238" t="str">
        <f>HYPERLINK("https%3A%2F%2Fwww.webofscience.com%2Fwos%2Fwoscc%2Ffull-record%2F","View Full Record in Web of Science")</f>
        <v>View Full Record in Web of Science</v>
      </c>
    </row>
    <row r="239" spans="1:72" customHeight="1" ht="12.75">
      <c r="A239" t="s">
        <v>72</v>
      </c>
      <c r="B239" t="s">
        <v>1776</v>
      </c>
      <c r="C239"/>
      <c r="D239"/>
      <c r="E239"/>
      <c r="F239" t="s">
        <v>1777</v>
      </c>
      <c r="G239"/>
      <c r="H239"/>
      <c r="I239" t="s">
        <v>1778</v>
      </c>
      <c r="J239" t="s">
        <v>587</v>
      </c>
      <c r="K239"/>
      <c r="L239"/>
      <c r="M239"/>
      <c r="N239" t="s">
        <v>112</v>
      </c>
      <c r="O239"/>
      <c r="P239"/>
      <c r="Q239"/>
      <c r="R239"/>
      <c r="S239"/>
      <c r="T239" t="s">
        <v>1779</v>
      </c>
      <c r="U239" t="s">
        <v>1780</v>
      </c>
      <c r="V239"/>
      <c r="W239"/>
      <c r="X239"/>
      <c r="Y239"/>
      <c r="Z239"/>
      <c r="AA239"/>
      <c r="AB239"/>
      <c r="AC239"/>
      <c r="AD239"/>
      <c r="AE239"/>
      <c r="AF239"/>
      <c r="AG239"/>
      <c r="AH239">
        <v>34</v>
      </c>
      <c r="AI239">
        <v>37</v>
      </c>
      <c r="AJ239"/>
      <c r="AK239"/>
      <c r="AL239"/>
      <c r="AM239"/>
      <c r="AN239"/>
      <c r="AO239" t="s">
        <v>590</v>
      </c>
      <c r="AP239" t="s">
        <v>591</v>
      </c>
      <c r="AQ239"/>
      <c r="AR239"/>
      <c r="AS239"/>
      <c r="AT239" t="s">
        <v>675</v>
      </c>
      <c r="AU239">
        <v>2020</v>
      </c>
      <c r="AV239">
        <v>265</v>
      </c>
      <c r="AW239"/>
      <c r="AX239"/>
      <c r="AY239"/>
      <c r="AZ239"/>
      <c r="BA239"/>
      <c r="BB239"/>
      <c r="BC239"/>
      <c r="BD239">
        <v>121770</v>
      </c>
      <c r="BE239" t="s">
        <v>1781</v>
      </c>
      <c r="BF239" t="str">
        <f>HYPERLINK("http://dx.doi.org/10.1016/j.jclepro.2020.121770","http://dx.doi.org/10.1016/j.jclepro.2020.121770")</f>
        <v>http://dx.doi.org/10.1016/j.jclepro.2020.121770</v>
      </c>
      <c r="BG239"/>
      <c r="BH239"/>
      <c r="BI239"/>
      <c r="BJ239" t="s">
        <v>139</v>
      </c>
      <c r="BK239"/>
      <c r="BL239"/>
      <c r="BM239"/>
      <c r="BN239"/>
      <c r="BO239"/>
      <c r="BP239"/>
      <c r="BQ239"/>
      <c r="BR239"/>
      <c r="BS239"/>
      <c r="BT239" t="str">
        <f>HYPERLINK("https%3A%2F%2Fwww.webofscience.com%2Fwos%2Fwoscc%2Ffull-record%2F","View Full Record in Web of Science")</f>
        <v>View Full Record in Web of Science</v>
      </c>
    </row>
    <row r="240" spans="1:72" customHeight="1" ht="12.75">
      <c r="A240" t="s">
        <v>72</v>
      </c>
      <c r="B240" t="s">
        <v>1782</v>
      </c>
      <c r="C240"/>
      <c r="D240"/>
      <c r="E240"/>
      <c r="F240" t="s">
        <v>1783</v>
      </c>
      <c r="G240"/>
      <c r="H240"/>
      <c r="I240" t="s">
        <v>1784</v>
      </c>
      <c r="J240" t="s">
        <v>1215</v>
      </c>
      <c r="K240"/>
      <c r="L240"/>
      <c r="M240"/>
      <c r="N240" t="s">
        <v>112</v>
      </c>
      <c r="O240"/>
      <c r="P240"/>
      <c r="Q240"/>
      <c r="R240"/>
      <c r="S240"/>
      <c r="T240" t="s">
        <v>1785</v>
      </c>
      <c r="U240" t="s">
        <v>1786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4</v>
      </c>
      <c r="AI240">
        <v>4</v>
      </c>
      <c r="AJ240"/>
      <c r="AK240"/>
      <c r="AL240"/>
      <c r="AM240"/>
      <c r="AN240"/>
      <c r="AO240" t="s">
        <v>1218</v>
      </c>
      <c r="AP240" t="s">
        <v>1219</v>
      </c>
      <c r="AQ240"/>
      <c r="AR240"/>
      <c r="AS240"/>
      <c r="AT240" t="s">
        <v>128</v>
      </c>
      <c r="AU240">
        <v>2016</v>
      </c>
      <c r="AV240">
        <v>26</v>
      </c>
      <c r="AW240">
        <v>6</v>
      </c>
      <c r="AX240"/>
      <c r="AY240"/>
      <c r="AZ240"/>
      <c r="BA240"/>
      <c r="BB240">
        <v>715</v>
      </c>
      <c r="BC240">
        <v>730</v>
      </c>
      <c r="BD240"/>
      <c r="BE240" t="s">
        <v>1787</v>
      </c>
      <c r="BF240" t="str">
        <f>HYPERLINK("http://dx.doi.org/10.1007/s11769-016-0830-1","http://dx.doi.org/10.1007/s11769-016-0830-1")</f>
        <v>http://dx.doi.org/10.1007/s11769-016-0830-1</v>
      </c>
      <c r="BG240"/>
      <c r="BH240"/>
      <c r="BI240"/>
      <c r="BJ240" t="s">
        <v>224</v>
      </c>
      <c r="BK240"/>
      <c r="BL240"/>
      <c r="BM240"/>
      <c r="BN240"/>
      <c r="BO240"/>
      <c r="BP240"/>
      <c r="BQ240"/>
      <c r="BR240"/>
      <c r="BS240"/>
      <c r="BT240" t="str">
        <f>HYPERLINK("https%3A%2F%2Fwww.webofscience.com%2Fwos%2Fwoscc%2Ffull-record%2F","View Full Record in Web of Science")</f>
        <v>View Full Record in Web of Science</v>
      </c>
    </row>
    <row r="241" spans="1:72" customHeight="1" ht="12.75">
      <c r="A241" t="s">
        <v>72</v>
      </c>
      <c r="B241" t="s">
        <v>1788</v>
      </c>
      <c r="C241"/>
      <c r="D241"/>
      <c r="E241"/>
      <c r="F241" t="s">
        <v>1789</v>
      </c>
      <c r="G241"/>
      <c r="H241"/>
      <c r="I241" t="s">
        <v>1790</v>
      </c>
      <c r="J241" t="s">
        <v>283</v>
      </c>
      <c r="K241"/>
      <c r="L241"/>
      <c r="M241"/>
      <c r="N241" t="s">
        <v>112</v>
      </c>
      <c r="O241"/>
      <c r="P241"/>
      <c r="Q241"/>
      <c r="R241"/>
      <c r="S241"/>
      <c r="T241" t="s">
        <v>1791</v>
      </c>
      <c r="U241" t="s">
        <v>1792</v>
      </c>
      <c r="V241"/>
      <c r="W241"/>
      <c r="X241"/>
      <c r="Y241"/>
      <c r="Z241"/>
      <c r="AA241"/>
      <c r="AB241"/>
      <c r="AC241"/>
      <c r="AD241"/>
      <c r="AE241"/>
      <c r="AF241"/>
      <c r="AG241"/>
      <c r="AH241">
        <v>17</v>
      </c>
      <c r="AI241">
        <v>19</v>
      </c>
      <c r="AJ241"/>
      <c r="AK241"/>
      <c r="AL241"/>
      <c r="AM241"/>
      <c r="AN241"/>
      <c r="AO241" t="s">
        <v>286</v>
      </c>
      <c r="AP241" t="s">
        <v>287</v>
      </c>
      <c r="AQ241"/>
      <c r="AR241"/>
      <c r="AS241"/>
      <c r="AT241" t="s">
        <v>404</v>
      </c>
      <c r="AU241">
        <v>2019</v>
      </c>
      <c r="AV241">
        <v>98</v>
      </c>
      <c r="AW241"/>
      <c r="AX241"/>
      <c r="AY241"/>
      <c r="AZ241"/>
      <c r="BA241"/>
      <c r="BB241">
        <v>97</v>
      </c>
      <c r="BC241">
        <v>107</v>
      </c>
      <c r="BD241"/>
      <c r="BE241" t="s">
        <v>1793</v>
      </c>
      <c r="BF241" t="str">
        <f>HYPERLINK("http://dx.doi.org/10.1016/j.geoforum.2018.10.017","http://dx.doi.org/10.1016/j.geoforum.2018.10.017")</f>
        <v>http://dx.doi.org/10.1016/j.geoforum.2018.10.017</v>
      </c>
      <c r="BG241"/>
      <c r="BH241"/>
      <c r="BI241"/>
      <c r="BJ241" t="s">
        <v>83</v>
      </c>
      <c r="BK241"/>
      <c r="BL241"/>
      <c r="BM241"/>
      <c r="BN241"/>
      <c r="BO241"/>
      <c r="BP241"/>
      <c r="BQ241"/>
      <c r="BR241"/>
      <c r="BS241"/>
      <c r="BT241" t="str">
        <f>HYPERLINK("https%3A%2F%2Fwww.webofscience.com%2Fwos%2Fwoscc%2Ffull-record%2F","View Full Record in Web of Science")</f>
        <v>View Full Record in Web of Science</v>
      </c>
    </row>
    <row r="242" spans="1:72" customHeight="1" ht="12.75">
      <c r="A242" t="s">
        <v>72</v>
      </c>
      <c r="B242" t="s">
        <v>1794</v>
      </c>
      <c r="C242"/>
      <c r="D242"/>
      <c r="E242"/>
      <c r="F242" t="s">
        <v>1795</v>
      </c>
      <c r="G242"/>
      <c r="H242"/>
      <c r="I242" t="s">
        <v>1796</v>
      </c>
      <c r="J242" t="s">
        <v>510</v>
      </c>
      <c r="K242"/>
      <c r="L242"/>
      <c r="M242"/>
      <c r="N242" t="s">
        <v>112</v>
      </c>
      <c r="O242"/>
      <c r="P242"/>
      <c r="Q242"/>
      <c r="R242"/>
      <c r="S242"/>
      <c r="T242" t="s">
        <v>1797</v>
      </c>
      <c r="U242" t="s">
        <v>1798</v>
      </c>
      <c r="V242"/>
      <c r="W242"/>
      <c r="X242"/>
      <c r="Y242"/>
      <c r="Z242"/>
      <c r="AA242"/>
      <c r="AB242"/>
      <c r="AC242"/>
      <c r="AD242"/>
      <c r="AE242"/>
      <c r="AF242"/>
      <c r="AG242"/>
      <c r="AH242">
        <v>14</v>
      </c>
      <c r="AI242">
        <v>17</v>
      </c>
      <c r="AJ242"/>
      <c r="AK242"/>
      <c r="AL242"/>
      <c r="AM242"/>
      <c r="AN242"/>
      <c r="AO242" t="s">
        <v>511</v>
      </c>
      <c r="AP242" t="s">
        <v>512</v>
      </c>
      <c r="AQ242"/>
      <c r="AR242"/>
      <c r="AS242"/>
      <c r="AT242" t="s">
        <v>1799</v>
      </c>
      <c r="AU242">
        <v>2014</v>
      </c>
      <c r="AV242">
        <v>288</v>
      </c>
      <c r="AW242"/>
      <c r="AX242"/>
      <c r="AY242"/>
      <c r="AZ242"/>
      <c r="BA242"/>
      <c r="BB242">
        <v>112</v>
      </c>
      <c r="BC242">
        <v>126</v>
      </c>
      <c r="BD242"/>
      <c r="BE242" t="s">
        <v>1800</v>
      </c>
      <c r="BF242" t="str">
        <f>HYPERLINK("http://dx.doi.org/10.1016/j.ecolmodel.2014.06.001","http://dx.doi.org/10.1016/j.ecolmodel.2014.06.001")</f>
        <v>http://dx.doi.org/10.1016/j.ecolmodel.2014.06.001</v>
      </c>
      <c r="BG242"/>
      <c r="BH242"/>
      <c r="BI242"/>
      <c r="BJ242" t="s">
        <v>181</v>
      </c>
      <c r="BK242"/>
      <c r="BL242"/>
      <c r="BM242"/>
      <c r="BN242"/>
      <c r="BO242"/>
      <c r="BP242"/>
      <c r="BQ242"/>
      <c r="BR242"/>
      <c r="BS242"/>
      <c r="BT242" t="str">
        <f>HYPERLINK("https%3A%2F%2Fwww.webofscience.com%2Fwos%2Fwoscc%2Ffull-record%2F","View Full Record in Web of Science")</f>
        <v>View Full Record in Web of Science</v>
      </c>
    </row>
    <row r="243" spans="1:72" customHeight="1" ht="12.75">
      <c r="A243" t="s">
        <v>72</v>
      </c>
      <c r="B243" t="s">
        <v>1801</v>
      </c>
      <c r="C243"/>
      <c r="D243"/>
      <c r="E243"/>
      <c r="F243" t="s">
        <v>1802</v>
      </c>
      <c r="G243"/>
      <c r="H243"/>
      <c r="I243" t="s">
        <v>1803</v>
      </c>
      <c r="J243" t="s">
        <v>457</v>
      </c>
      <c r="K243"/>
      <c r="L243"/>
      <c r="M243"/>
      <c r="N243" t="s">
        <v>77</v>
      </c>
      <c r="O243"/>
      <c r="P243"/>
      <c r="Q243"/>
      <c r="R243"/>
      <c r="S243"/>
      <c r="T243" t="s">
        <v>1804</v>
      </c>
      <c r="U243" t="s">
        <v>1805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72</v>
      </c>
      <c r="AI243">
        <v>77</v>
      </c>
      <c r="AJ243"/>
      <c r="AK243"/>
      <c r="AL243"/>
      <c r="AM243"/>
      <c r="AN243"/>
      <c r="AO243"/>
      <c r="AP243" t="s">
        <v>458</v>
      </c>
      <c r="AQ243"/>
      <c r="AR243"/>
      <c r="AS243"/>
      <c r="AT243" t="s">
        <v>385</v>
      </c>
      <c r="AU243">
        <v>2015</v>
      </c>
      <c r="AV243">
        <v>7</v>
      </c>
      <c r="AW243">
        <v>7</v>
      </c>
      <c r="AX243"/>
      <c r="AY243"/>
      <c r="AZ243"/>
      <c r="BA243"/>
      <c r="BB243">
        <v>8461</v>
      </c>
      <c r="BC243">
        <v>8490</v>
      </c>
      <c r="BD243"/>
      <c r="BE243" t="s">
        <v>1806</v>
      </c>
      <c r="BF243" t="str">
        <f>HYPERLINK("http://dx.doi.org/10.3390/su7078461","http://dx.doi.org/10.3390/su7078461")</f>
        <v>http://dx.doi.org/10.3390/su7078461</v>
      </c>
      <c r="BG243"/>
      <c r="BH243"/>
      <c r="BI243"/>
      <c r="BJ243" t="s">
        <v>460</v>
      </c>
      <c r="BK243"/>
      <c r="BL243"/>
      <c r="BM243"/>
      <c r="BN243"/>
      <c r="BO243"/>
      <c r="BP243"/>
      <c r="BQ243"/>
      <c r="BR243"/>
      <c r="BS243"/>
      <c r="BT243" t="str">
        <f>HYPERLINK("https%3A%2F%2Fwww.webofscience.com%2Fwos%2Fwoscc%2Ffull-record%2F","View Full Record in Web of Science")</f>
        <v>View Full Record in Web of Science</v>
      </c>
    </row>
    <row r="244" spans="1:72" customHeight="1" ht="12.75">
      <c r="A244" t="s">
        <v>72</v>
      </c>
      <c r="B244" t="s">
        <v>1807</v>
      </c>
      <c r="C244"/>
      <c r="D244"/>
      <c r="E244"/>
      <c r="F244" t="s">
        <v>1808</v>
      </c>
      <c r="G244"/>
      <c r="H244"/>
      <c r="I244" t="s">
        <v>1809</v>
      </c>
      <c r="J244" t="s">
        <v>1810</v>
      </c>
      <c r="K244"/>
      <c r="L244"/>
      <c r="M244"/>
      <c r="N244" t="s">
        <v>112</v>
      </c>
      <c r="O244"/>
      <c r="P244"/>
      <c r="Q244"/>
      <c r="R244"/>
      <c r="S244"/>
      <c r="T244" t="s">
        <v>1811</v>
      </c>
      <c r="U244" t="s">
        <v>1812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>
        <v>12</v>
      </c>
      <c r="AI244">
        <v>12</v>
      </c>
      <c r="AJ244"/>
      <c r="AK244"/>
      <c r="AL244"/>
      <c r="AM244"/>
      <c r="AN244"/>
      <c r="AO244" t="s">
        <v>1813</v>
      </c>
      <c r="AP244" t="s">
        <v>1814</v>
      </c>
      <c r="AQ244"/>
      <c r="AR244"/>
      <c r="AS244"/>
      <c r="AT244" t="s">
        <v>198</v>
      </c>
      <c r="AU244">
        <v>2013</v>
      </c>
      <c r="AV244">
        <v>166</v>
      </c>
      <c r="AW244">
        <v>5</v>
      </c>
      <c r="AX244"/>
      <c r="AY244"/>
      <c r="AZ244"/>
      <c r="BA244"/>
      <c r="BB244">
        <v>229</v>
      </c>
      <c r="BC244">
        <v>241</v>
      </c>
      <c r="BD244"/>
      <c r="BE244" t="s">
        <v>1815</v>
      </c>
      <c r="BF244" t="str">
        <f>HYPERLINK("http://dx.doi.org/10.1680/ensu.12.00038","http://dx.doi.org/10.1680/ensu.12.00038")</f>
        <v>http://dx.doi.org/10.1680/ensu.12.00038</v>
      </c>
      <c r="BG244"/>
      <c r="BH244"/>
      <c r="BI244"/>
      <c r="BJ244" t="s">
        <v>1816</v>
      </c>
      <c r="BK244"/>
      <c r="BL244"/>
      <c r="BM244"/>
      <c r="BN244"/>
      <c r="BO244"/>
      <c r="BP244"/>
      <c r="BQ244"/>
      <c r="BR244"/>
      <c r="BS244"/>
      <c r="BT244" t="str">
        <f>HYPERLINK("https%3A%2F%2Fwww.webofscience.com%2Fwos%2Fwoscc%2Ffull-record%2F","View Full Record in Web of Science")</f>
        <v>View Full Record in Web of Science</v>
      </c>
    </row>
    <row r="245" spans="1:72" customHeight="1" ht="12.75">
      <c r="A245" t="s">
        <v>72</v>
      </c>
      <c r="B245" t="s">
        <v>1817</v>
      </c>
      <c r="C245"/>
      <c r="D245"/>
      <c r="E245"/>
      <c r="F245" t="s">
        <v>1818</v>
      </c>
      <c r="G245"/>
      <c r="H245"/>
      <c r="I245" t="s">
        <v>1819</v>
      </c>
      <c r="J245" t="s">
        <v>457</v>
      </c>
      <c r="K245"/>
      <c r="L245"/>
      <c r="M245"/>
      <c r="N245" t="s">
        <v>112</v>
      </c>
      <c r="O245"/>
      <c r="P245"/>
      <c r="Q245"/>
      <c r="R245"/>
      <c r="S245"/>
      <c r="T245" t="s">
        <v>1820</v>
      </c>
      <c r="U245" t="s">
        <v>1821</v>
      </c>
      <c r="V245"/>
      <c r="W245"/>
      <c r="X245"/>
      <c r="Y245"/>
      <c r="Z245"/>
      <c r="AA245"/>
      <c r="AB245"/>
      <c r="AC245"/>
      <c r="AD245"/>
      <c r="AE245"/>
      <c r="AF245"/>
      <c r="AG245"/>
      <c r="AH245">
        <v>15</v>
      </c>
      <c r="AI245">
        <v>15</v>
      </c>
      <c r="AJ245"/>
      <c r="AK245"/>
      <c r="AL245"/>
      <c r="AM245"/>
      <c r="AN245"/>
      <c r="AO245"/>
      <c r="AP245" t="s">
        <v>458</v>
      </c>
      <c r="AQ245"/>
      <c r="AR245"/>
      <c r="AS245"/>
      <c r="AT245" t="s">
        <v>394</v>
      </c>
      <c r="AU245">
        <v>2022</v>
      </c>
      <c r="AV245">
        <v>14</v>
      </c>
      <c r="AW245">
        <v>3</v>
      </c>
      <c r="AX245"/>
      <c r="AY245"/>
      <c r="AZ245"/>
      <c r="BA245"/>
      <c r="BB245"/>
      <c r="BC245"/>
      <c r="BD245">
        <v>1569</v>
      </c>
      <c r="BE245" t="s">
        <v>1822</v>
      </c>
      <c r="BF245" t="str">
        <f>HYPERLINK("http://dx.doi.org/10.3390/su14031569","http://dx.doi.org/10.3390/su14031569")</f>
        <v>http://dx.doi.org/10.3390/su14031569</v>
      </c>
      <c r="BG245"/>
      <c r="BH245"/>
      <c r="BI245"/>
      <c r="BJ245" t="s">
        <v>460</v>
      </c>
      <c r="BK245"/>
      <c r="BL245"/>
      <c r="BM245"/>
      <c r="BN245"/>
      <c r="BO245"/>
      <c r="BP245"/>
      <c r="BQ245"/>
      <c r="BR245"/>
      <c r="BS245"/>
      <c r="BT245" t="str">
        <f>HYPERLINK("https%3A%2F%2Fwww.webofscience.com%2Fwos%2Fwoscc%2Ffull-record%2F","View Full Record in Web of Science")</f>
        <v>View Full Record in Web of Science</v>
      </c>
    </row>
    <row r="246" spans="1:72" customHeight="1" ht="12.75">
      <c r="A246" t="s">
        <v>72</v>
      </c>
      <c r="B246" t="s">
        <v>140</v>
      </c>
      <c r="C246"/>
      <c r="D246"/>
      <c r="E246"/>
      <c r="F246" t="s">
        <v>1823</v>
      </c>
      <c r="G246"/>
      <c r="H246"/>
      <c r="I246" t="s">
        <v>1824</v>
      </c>
      <c r="J246" t="s">
        <v>1680</v>
      </c>
      <c r="K246"/>
      <c r="L246"/>
      <c r="M246"/>
      <c r="N246" t="s">
        <v>112</v>
      </c>
      <c r="O246"/>
      <c r="P246"/>
      <c r="Q246"/>
      <c r="R246"/>
      <c r="S246"/>
      <c r="T246" t="s">
        <v>1825</v>
      </c>
      <c r="U246" t="s">
        <v>1826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>
        <v>16</v>
      </c>
      <c r="AI246">
        <v>17</v>
      </c>
      <c r="AJ246"/>
      <c r="AK246"/>
      <c r="AL246"/>
      <c r="AM246"/>
      <c r="AN246"/>
      <c r="AO246" t="s">
        <v>1683</v>
      </c>
      <c r="AP246" t="s">
        <v>1684</v>
      </c>
      <c r="AQ246"/>
      <c r="AR246"/>
      <c r="AS246"/>
      <c r="AT246" t="s">
        <v>1438</v>
      </c>
      <c r="AU246">
        <v>2020</v>
      </c>
      <c r="AV246">
        <v>262</v>
      </c>
      <c r="AW246"/>
      <c r="AX246"/>
      <c r="AY246"/>
      <c r="AZ246"/>
      <c r="BA246"/>
      <c r="BB246"/>
      <c r="BC246"/>
      <c r="BD246">
        <v>110315</v>
      </c>
      <c r="BE246" t="s">
        <v>1827</v>
      </c>
      <c r="BF246" t="str">
        <f>HYPERLINK("http://dx.doi.org/10.1016/j.jenvman.2020.110315","http://dx.doi.org/10.1016/j.jenvman.2020.110315")</f>
        <v>http://dx.doi.org/10.1016/j.jenvman.2020.110315</v>
      </c>
      <c r="BG246"/>
      <c r="BH246"/>
      <c r="BI246"/>
      <c r="BJ246" t="s">
        <v>224</v>
      </c>
      <c r="BK246"/>
      <c r="BL246"/>
      <c r="BM246"/>
      <c r="BN246"/>
      <c r="BO246"/>
      <c r="BP246"/>
      <c r="BQ246"/>
      <c r="BR246"/>
      <c r="BS246"/>
      <c r="BT246" t="str">
        <f>HYPERLINK("https%3A%2F%2Fwww.webofscience.com%2Fwos%2Fwoscc%2Ffull-record%2F","View Full Record in Web of Science")</f>
        <v>View Full Record in Web of Science</v>
      </c>
    </row>
    <row r="247" spans="1:72" customHeight="1" ht="12.75">
      <c r="A247" t="s">
        <v>72</v>
      </c>
      <c r="B247" t="s">
        <v>1828</v>
      </c>
      <c r="C247"/>
      <c r="D247"/>
      <c r="E247"/>
      <c r="F247" t="s">
        <v>1829</v>
      </c>
      <c r="G247"/>
      <c r="H247"/>
      <c r="I247" t="s">
        <v>1830</v>
      </c>
      <c r="J247" t="s">
        <v>1831</v>
      </c>
      <c r="K247"/>
      <c r="L247"/>
      <c r="M247"/>
      <c r="N247" t="s">
        <v>112</v>
      </c>
      <c r="O247"/>
      <c r="P247"/>
      <c r="Q247"/>
      <c r="R247"/>
      <c r="S247"/>
      <c r="T247" t="s">
        <v>1832</v>
      </c>
      <c r="U247" t="s">
        <v>1833</v>
      </c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9</v>
      </c>
      <c r="AI247">
        <v>10</v>
      </c>
      <c r="AJ247"/>
      <c r="AK247"/>
      <c r="AL247"/>
      <c r="AM247"/>
      <c r="AN247"/>
      <c r="AO247" t="s">
        <v>1834</v>
      </c>
      <c r="AP247" t="s">
        <v>1835</v>
      </c>
      <c r="AQ247"/>
      <c r="AR247"/>
      <c r="AS247"/>
      <c r="AT247" t="s">
        <v>352</v>
      </c>
      <c r="AU247">
        <v>2020</v>
      </c>
      <c r="AV247">
        <v>1</v>
      </c>
      <c r="AW247">
        <v>1</v>
      </c>
      <c r="AX247"/>
      <c r="AY247"/>
      <c r="AZ247"/>
      <c r="BA247"/>
      <c r="BB247">
        <v>31</v>
      </c>
      <c r="BC247">
        <v>36</v>
      </c>
      <c r="BD247"/>
      <c r="BE247" t="s">
        <v>1836</v>
      </c>
      <c r="BF247" t="str">
        <f>HYPERLINK("http://dx.doi.org/10.1016/j.regsus.2020.07.001","http://dx.doi.org/10.1016/j.regsus.2020.07.001")</f>
        <v>http://dx.doi.org/10.1016/j.regsus.2020.07.001</v>
      </c>
      <c r="BG247"/>
      <c r="BH247"/>
      <c r="BI247"/>
      <c r="BJ247" t="s">
        <v>799</v>
      </c>
      <c r="BK247"/>
      <c r="BL247"/>
      <c r="BM247"/>
      <c r="BN247"/>
      <c r="BO247"/>
      <c r="BP247"/>
      <c r="BQ247"/>
      <c r="BR247"/>
      <c r="BS247"/>
      <c r="BT247" t="str">
        <f>HYPERLINK("https%3A%2F%2Fwww.webofscience.com%2Fwos%2Fwoscc%2Ffull-record%2F","View Full Record in Web of Science")</f>
        <v>View Full Record in Web of Science</v>
      </c>
    </row>
    <row r="248" spans="1:72" customHeight="1" ht="12.75">
      <c r="A248" t="s">
        <v>72</v>
      </c>
      <c r="B248" t="s">
        <v>1837</v>
      </c>
      <c r="C248"/>
      <c r="D248"/>
      <c r="E248"/>
      <c r="F248" t="s">
        <v>1838</v>
      </c>
      <c r="G248"/>
      <c r="H248"/>
      <c r="I248" t="s">
        <v>1839</v>
      </c>
      <c r="J248" t="s">
        <v>1680</v>
      </c>
      <c r="K248"/>
      <c r="L248"/>
      <c r="M248"/>
      <c r="N248" t="s">
        <v>325</v>
      </c>
      <c r="O248"/>
      <c r="P248"/>
      <c r="Q248"/>
      <c r="R248"/>
      <c r="S248"/>
      <c r="T248" t="s">
        <v>1840</v>
      </c>
      <c r="U248" t="s">
        <v>1841</v>
      </c>
      <c r="V248"/>
      <c r="W248"/>
      <c r="X248"/>
      <c r="Y248"/>
      <c r="Z248"/>
      <c r="AA248"/>
      <c r="AB248"/>
      <c r="AC248"/>
      <c r="AD248"/>
      <c r="AE248"/>
      <c r="AF248"/>
      <c r="AG248"/>
      <c r="AH248">
        <v>5</v>
      </c>
      <c r="AI248">
        <v>5</v>
      </c>
      <c r="AJ248"/>
      <c r="AK248"/>
      <c r="AL248"/>
      <c r="AM248"/>
      <c r="AN248"/>
      <c r="AO248" t="s">
        <v>1683</v>
      </c>
      <c r="AP248" t="s">
        <v>1684</v>
      </c>
      <c r="AQ248"/>
      <c r="AR248"/>
      <c r="AS248"/>
      <c r="AT248" t="s">
        <v>1842</v>
      </c>
      <c r="AU248">
        <v>2021</v>
      </c>
      <c r="AV248">
        <v>292</v>
      </c>
      <c r="AW248"/>
      <c r="AX248"/>
      <c r="AY248"/>
      <c r="AZ248"/>
      <c r="BA248"/>
      <c r="BB248"/>
      <c r="BC248"/>
      <c r="BD248">
        <v>112715</v>
      </c>
      <c r="BE248" t="s">
        <v>1843</v>
      </c>
      <c r="BF248" t="str">
        <f>HYPERLINK("http://dx.doi.org/10.1016/j.jenvman.2021.112715","http://dx.doi.org/10.1016/j.jenvman.2021.112715")</f>
        <v>http://dx.doi.org/10.1016/j.jenvman.2021.112715</v>
      </c>
      <c r="BG248"/>
      <c r="BH248" t="s">
        <v>1844</v>
      </c>
      <c r="BI248"/>
      <c r="BJ248" t="s">
        <v>224</v>
      </c>
      <c r="BK248"/>
      <c r="BL248"/>
      <c r="BM248"/>
      <c r="BN248"/>
      <c r="BO248"/>
      <c r="BP248"/>
      <c r="BQ248"/>
      <c r="BR248"/>
      <c r="BS248"/>
      <c r="BT248" t="str">
        <f>HYPERLINK("https%3A%2F%2Fwww.webofscience.com%2Fwos%2Fwoscc%2Ffull-record%2F","View Full Record in Web of Science")</f>
        <v>View Full Record in Web of Science</v>
      </c>
    </row>
    <row r="249" spans="1:72" customHeight="1" ht="12.75">
      <c r="A249" t="s">
        <v>72</v>
      </c>
      <c r="B249" t="s">
        <v>1845</v>
      </c>
      <c r="C249"/>
      <c r="D249"/>
      <c r="E249"/>
      <c r="F249" t="s">
        <v>1846</v>
      </c>
      <c r="G249"/>
      <c r="H249"/>
      <c r="I249" t="s">
        <v>1847</v>
      </c>
      <c r="J249" t="s">
        <v>510</v>
      </c>
      <c r="K249"/>
      <c r="L249"/>
      <c r="M249"/>
      <c r="N249" t="s">
        <v>77</v>
      </c>
      <c r="O249"/>
      <c r="P249"/>
      <c r="Q249"/>
      <c r="R249"/>
      <c r="S249"/>
      <c r="T249" t="s">
        <v>1848</v>
      </c>
      <c r="U249" t="s">
        <v>1849</v>
      </c>
      <c r="V249"/>
      <c r="W249"/>
      <c r="X249"/>
      <c r="Y249"/>
      <c r="Z249"/>
      <c r="AA249"/>
      <c r="AB249"/>
      <c r="AC249"/>
      <c r="AD249"/>
      <c r="AE249"/>
      <c r="AF249"/>
      <c r="AG249"/>
      <c r="AH249">
        <v>71</v>
      </c>
      <c r="AI249">
        <v>80</v>
      </c>
      <c r="AJ249"/>
      <c r="AK249"/>
      <c r="AL249"/>
      <c r="AM249"/>
      <c r="AN249"/>
      <c r="AO249" t="s">
        <v>511</v>
      </c>
      <c r="AP249" t="s">
        <v>512</v>
      </c>
      <c r="AQ249"/>
      <c r="AR249"/>
      <c r="AS249"/>
      <c r="AT249" t="s">
        <v>1850</v>
      </c>
      <c r="AU249">
        <v>2018</v>
      </c>
      <c r="AV249">
        <v>382</v>
      </c>
      <c r="AW249"/>
      <c r="AX249"/>
      <c r="AY249"/>
      <c r="AZ249"/>
      <c r="BA249"/>
      <c r="BB249">
        <v>63</v>
      </c>
      <c r="BC249">
        <v>82</v>
      </c>
      <c r="BD249"/>
      <c r="BE249" t="s">
        <v>1851</v>
      </c>
      <c r="BF249" t="str">
        <f>HYPERLINK("http://dx.doi.org/10.1016/j.ecolmodel.2018.04.020","http://dx.doi.org/10.1016/j.ecolmodel.2018.04.020")</f>
        <v>http://dx.doi.org/10.1016/j.ecolmodel.2018.04.020</v>
      </c>
      <c r="BG249"/>
      <c r="BH249"/>
      <c r="BI249"/>
      <c r="BJ249" t="s">
        <v>181</v>
      </c>
      <c r="BK249"/>
      <c r="BL249"/>
      <c r="BM249"/>
      <c r="BN249"/>
      <c r="BO249"/>
      <c r="BP249"/>
      <c r="BQ249"/>
      <c r="BR249"/>
      <c r="BS249"/>
      <c r="BT249" t="str">
        <f>HYPERLINK("https%3A%2F%2Fwww.webofscience.com%2Fwos%2Fwoscc%2Ffull-record%2F","View Full Record in Web of Science")</f>
        <v>View Full Record in Web of Science</v>
      </c>
    </row>
    <row r="250" spans="1:72" customHeight="1" ht="12.75">
      <c r="A250" t="s">
        <v>72</v>
      </c>
      <c r="B250" t="s">
        <v>1852</v>
      </c>
      <c r="C250"/>
      <c r="D250"/>
      <c r="E250"/>
      <c r="F250" t="s">
        <v>1853</v>
      </c>
      <c r="G250"/>
      <c r="H250"/>
      <c r="I250" t="s">
        <v>1854</v>
      </c>
      <c r="J250" t="s">
        <v>133</v>
      </c>
      <c r="K250"/>
      <c r="L250"/>
      <c r="M250"/>
      <c r="N250" t="s">
        <v>325</v>
      </c>
      <c r="O250"/>
      <c r="P250"/>
      <c r="Q250"/>
      <c r="R250"/>
      <c r="S250"/>
      <c r="T250" t="s">
        <v>1855</v>
      </c>
      <c r="U250" t="s">
        <v>1856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>
        <v>0.0</v>
      </c>
      <c r="AI250">
        <v>0.0</v>
      </c>
      <c r="AJ250"/>
      <c r="AK250"/>
      <c r="AL250"/>
      <c r="AM250"/>
      <c r="AN250"/>
      <c r="AO250" t="s">
        <v>136</v>
      </c>
      <c r="AP250" t="s">
        <v>137</v>
      </c>
      <c r="AQ250"/>
      <c r="AR250"/>
      <c r="AS250"/>
      <c r="AT250" t="s">
        <v>1857</v>
      </c>
      <c r="AU250">
        <v>2023</v>
      </c>
      <c r="AV250">
        <v>27</v>
      </c>
      <c r="AW250">
        <v>6</v>
      </c>
      <c r="AX250"/>
      <c r="AY250"/>
      <c r="AZ250"/>
      <c r="BA250"/>
      <c r="BB250">
        <v>1626</v>
      </c>
      <c r="BC250">
        <v>1638</v>
      </c>
      <c r="BD250"/>
      <c r="BE250" t="s">
        <v>1858</v>
      </c>
      <c r="BF250" t="str">
        <f>HYPERLINK("http://dx.doi.org/10.1111/jiec.13439","http://dx.doi.org/10.1111/jiec.13439")</f>
        <v>http://dx.doi.org/10.1111/jiec.13439</v>
      </c>
      <c r="BG250"/>
      <c r="BH250" t="s">
        <v>1645</v>
      </c>
      <c r="BI250"/>
      <c r="BJ250" t="s">
        <v>139</v>
      </c>
      <c r="BK250"/>
      <c r="BL250"/>
      <c r="BM250"/>
      <c r="BN250"/>
      <c r="BO250"/>
      <c r="BP250"/>
      <c r="BQ250"/>
      <c r="BR250"/>
      <c r="BS250"/>
      <c r="BT250" t="str">
        <f>HYPERLINK("https%3A%2F%2Fwww.webofscience.com%2Fwos%2Fwoscc%2Ffull-record%2F","View Full Record in Web of Science")</f>
        <v>View Full Record in Web of Science</v>
      </c>
    </row>
    <row r="251" spans="1:72" customHeight="1" ht="12.75">
      <c r="A251" t="s">
        <v>72</v>
      </c>
      <c r="B251" t="s">
        <v>1859</v>
      </c>
      <c r="C251"/>
      <c r="D251"/>
      <c r="E251"/>
      <c r="F251" t="s">
        <v>1860</v>
      </c>
      <c r="G251"/>
      <c r="H251"/>
      <c r="I251" t="s">
        <v>1861</v>
      </c>
      <c r="J251" t="s">
        <v>1862</v>
      </c>
      <c r="K251"/>
      <c r="L251"/>
      <c r="M251"/>
      <c r="N251" t="s">
        <v>77</v>
      </c>
      <c r="O251"/>
      <c r="P251"/>
      <c r="Q251"/>
      <c r="R251"/>
      <c r="S251"/>
      <c r="T251" t="s">
        <v>1863</v>
      </c>
      <c r="U251" t="s">
        <v>1864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0.0</v>
      </c>
      <c r="AI251">
        <v>0.0</v>
      </c>
      <c r="AJ251"/>
      <c r="AK251"/>
      <c r="AL251"/>
      <c r="AM251"/>
      <c r="AN251"/>
      <c r="AO251" t="s">
        <v>1568</v>
      </c>
      <c r="AP251" t="s">
        <v>1865</v>
      </c>
      <c r="AQ251"/>
      <c r="AR251"/>
      <c r="AS251"/>
      <c r="AT251"/>
      <c r="AU251">
        <v>2023</v>
      </c>
      <c r="AV251">
        <v>48</v>
      </c>
      <c r="AW251"/>
      <c r="AX251"/>
      <c r="AY251"/>
      <c r="AZ251"/>
      <c r="BA251"/>
      <c r="BB251">
        <v>81</v>
      </c>
      <c r="BC251">
        <v>121</v>
      </c>
      <c r="BD251"/>
      <c r="BE251" t="s">
        <v>1866</v>
      </c>
      <c r="BF251" t="str">
        <f>HYPERLINK("http://dx.doi.org/10.1146/annurev-environ-112621-063931","http://dx.doi.org/10.1146/annurev-environ-112621-063931")</f>
        <v>http://dx.doi.org/10.1146/annurev-environ-112621-063931</v>
      </c>
      <c r="BG251"/>
      <c r="BH251"/>
      <c r="BI251"/>
      <c r="BJ251" t="s">
        <v>799</v>
      </c>
      <c r="BK251"/>
      <c r="BL251"/>
      <c r="BM251"/>
      <c r="BN251"/>
      <c r="BO251"/>
      <c r="BP251"/>
      <c r="BQ251"/>
      <c r="BR251"/>
      <c r="BS251"/>
      <c r="BT251" t="str">
        <f>HYPERLINK("https%3A%2F%2Fwww.webofscience.com%2Fwos%2Fwoscc%2Ffull-record%2F","View Full Record in Web of Science")</f>
        <v>View Full Record in Web of Science</v>
      </c>
    </row>
    <row r="252" spans="1:72" customHeight="1" ht="12.75">
      <c r="A252" t="s">
        <v>72</v>
      </c>
      <c r="B252" t="s">
        <v>1867</v>
      </c>
      <c r="C252"/>
      <c r="D252"/>
      <c r="E252"/>
      <c r="F252" t="s">
        <v>1868</v>
      </c>
      <c r="G252"/>
      <c r="H252"/>
      <c r="I252" t="s">
        <v>1869</v>
      </c>
      <c r="J252" t="s">
        <v>587</v>
      </c>
      <c r="K252"/>
      <c r="L252"/>
      <c r="M252"/>
      <c r="N252" t="s">
        <v>112</v>
      </c>
      <c r="O252"/>
      <c r="P252"/>
      <c r="Q252"/>
      <c r="R252"/>
      <c r="S252"/>
      <c r="T252" t="s">
        <v>1870</v>
      </c>
      <c r="U252" t="s">
        <v>1871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62</v>
      </c>
      <c r="AI252">
        <v>66</v>
      </c>
      <c r="AJ252"/>
      <c r="AK252"/>
      <c r="AL252"/>
      <c r="AM252"/>
      <c r="AN252"/>
      <c r="AO252" t="s">
        <v>590</v>
      </c>
      <c r="AP252" t="s">
        <v>591</v>
      </c>
      <c r="AQ252"/>
      <c r="AR252"/>
      <c r="AS252"/>
      <c r="AT252" t="s">
        <v>1044</v>
      </c>
      <c r="AU252">
        <v>2018</v>
      </c>
      <c r="AV252">
        <v>178</v>
      </c>
      <c r="AW252"/>
      <c r="AX252"/>
      <c r="AY252"/>
      <c r="AZ252"/>
      <c r="BA252"/>
      <c r="BB252">
        <v>599</v>
      </c>
      <c r="BC252">
        <v>610</v>
      </c>
      <c r="BD252"/>
      <c r="BE252" t="s">
        <v>1872</v>
      </c>
      <c r="BF252" t="str">
        <f>HYPERLINK("http://dx.doi.org/10.1016/j.jclepro.2018.01.056","http://dx.doi.org/10.1016/j.jclepro.2018.01.056")</f>
        <v>http://dx.doi.org/10.1016/j.jclepro.2018.01.056</v>
      </c>
      <c r="BG252"/>
      <c r="BH252"/>
      <c r="BI252"/>
      <c r="BJ252" t="s">
        <v>139</v>
      </c>
      <c r="BK252"/>
      <c r="BL252"/>
      <c r="BM252"/>
      <c r="BN252"/>
      <c r="BO252"/>
      <c r="BP252"/>
      <c r="BQ252"/>
      <c r="BR252"/>
      <c r="BS252"/>
      <c r="BT252" t="str">
        <f>HYPERLINK("https%3A%2F%2Fwww.webofscience.com%2Fwos%2Fwoscc%2Ffull-record%2F","View Full Record in Web of Science")</f>
        <v>View Full Record in Web of Science</v>
      </c>
    </row>
    <row r="253" spans="1:72" customHeight="1" ht="12.75">
      <c r="A253" t="s">
        <v>72</v>
      </c>
      <c r="B253" t="s">
        <v>1873</v>
      </c>
      <c r="C253"/>
      <c r="D253"/>
      <c r="E253"/>
      <c r="F253" t="s">
        <v>1874</v>
      </c>
      <c r="G253"/>
      <c r="H253"/>
      <c r="I253" t="s">
        <v>1875</v>
      </c>
      <c r="J253" t="s">
        <v>1876</v>
      </c>
      <c r="K253"/>
      <c r="L253"/>
      <c r="M253"/>
      <c r="N253" t="s">
        <v>112</v>
      </c>
      <c r="O253"/>
      <c r="P253"/>
      <c r="Q253"/>
      <c r="R253"/>
      <c r="S253"/>
      <c r="T253" t="s">
        <v>1877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>
        <v>0.0</v>
      </c>
      <c r="AI253">
        <v>0.0</v>
      </c>
      <c r="AJ253"/>
      <c r="AK253"/>
      <c r="AL253"/>
      <c r="AM253"/>
      <c r="AN253"/>
      <c r="AO253" t="s">
        <v>1878</v>
      </c>
      <c r="AP253" t="s">
        <v>1879</v>
      </c>
      <c r="AQ253"/>
      <c r="AR253"/>
      <c r="AS253"/>
      <c r="AT253" t="s">
        <v>362</v>
      </c>
      <c r="AU253">
        <v>2023</v>
      </c>
      <c r="AV253">
        <v>16</v>
      </c>
      <c r="AW253">
        <v>1</v>
      </c>
      <c r="AX253"/>
      <c r="AY253"/>
      <c r="AZ253"/>
      <c r="BA253"/>
      <c r="BB253">
        <v>95</v>
      </c>
      <c r="BC253">
        <v>114</v>
      </c>
      <c r="BD253"/>
      <c r="BE253" t="s">
        <v>1880</v>
      </c>
      <c r="BF253" t="str">
        <f>HYPERLINK("http://dx.doi.org/10.6092/2281-4574/10103","http://dx.doi.org/10.6092/2281-4574/10103")</f>
        <v>http://dx.doi.org/10.6092/2281-4574/10103</v>
      </c>
      <c r="BG253"/>
      <c r="BH253"/>
      <c r="BI253"/>
      <c r="BJ253" t="s">
        <v>243</v>
      </c>
      <c r="BK253"/>
      <c r="BL253"/>
      <c r="BM253"/>
      <c r="BN253"/>
      <c r="BO253"/>
      <c r="BP253"/>
      <c r="BQ253"/>
      <c r="BR253"/>
      <c r="BS253"/>
      <c r="BT253" t="str">
        <f>HYPERLINK("https%3A%2F%2Fwww.webofscience.com%2Fwos%2Fwoscc%2Ffull-record%2F","View Full Record in Web of Science")</f>
        <v>View Full Record in Web of Science</v>
      </c>
    </row>
    <row r="254" spans="1:72" customHeight="1" ht="12.75">
      <c r="A254" t="s">
        <v>72</v>
      </c>
      <c r="B254" t="s">
        <v>1881</v>
      </c>
      <c r="C254"/>
      <c r="D254"/>
      <c r="E254"/>
      <c r="F254" t="s">
        <v>1882</v>
      </c>
      <c r="G254"/>
      <c r="H254"/>
      <c r="I254" t="s">
        <v>1883</v>
      </c>
      <c r="J254" t="s">
        <v>1884</v>
      </c>
      <c r="K254"/>
      <c r="L254"/>
      <c r="M254"/>
      <c r="N254" t="s">
        <v>112</v>
      </c>
      <c r="O254"/>
      <c r="P254"/>
      <c r="Q254"/>
      <c r="R254"/>
      <c r="S254"/>
      <c r="T254" t="s">
        <v>1885</v>
      </c>
      <c r="U254" t="s">
        <v>1886</v>
      </c>
      <c r="V254"/>
      <c r="W254"/>
      <c r="X254"/>
      <c r="Y254"/>
      <c r="Z254"/>
      <c r="AA254"/>
      <c r="AB254"/>
      <c r="AC254"/>
      <c r="AD254"/>
      <c r="AE254"/>
      <c r="AF254"/>
      <c r="AG254"/>
      <c r="AH254">
        <v>8</v>
      </c>
      <c r="AI254">
        <v>10</v>
      </c>
      <c r="AJ254"/>
      <c r="AK254"/>
      <c r="AL254"/>
      <c r="AM254"/>
      <c r="AN254"/>
      <c r="AO254" t="s">
        <v>1887</v>
      </c>
      <c r="AP254" t="s">
        <v>1888</v>
      </c>
      <c r="AQ254"/>
      <c r="AR254"/>
      <c r="AS254"/>
      <c r="AT254" t="s">
        <v>154</v>
      </c>
      <c r="AU254">
        <v>2016</v>
      </c>
      <c r="AV254">
        <v>16</v>
      </c>
      <c r="AW254">
        <v>6</v>
      </c>
      <c r="AX254"/>
      <c r="AY254"/>
      <c r="AZ254"/>
      <c r="BA254"/>
      <c r="BB254">
        <v>1725</v>
      </c>
      <c r="BC254">
        <v>1737</v>
      </c>
      <c r="BD254"/>
      <c r="BE254" t="s">
        <v>1889</v>
      </c>
      <c r="BF254" t="str">
        <f>HYPERLINK("http://dx.doi.org/10.1007/s10113-015-0918-7","http://dx.doi.org/10.1007/s10113-015-0918-7")</f>
        <v>http://dx.doi.org/10.1007/s10113-015-0918-7</v>
      </c>
      <c r="BG254"/>
      <c r="BH254"/>
      <c r="BI254"/>
      <c r="BJ254" t="s">
        <v>799</v>
      </c>
      <c r="BK254"/>
      <c r="BL254"/>
      <c r="BM254"/>
      <c r="BN254"/>
      <c r="BO254"/>
      <c r="BP254"/>
      <c r="BQ254"/>
      <c r="BR254"/>
      <c r="BS254"/>
      <c r="BT254" t="str">
        <f>HYPERLINK("https%3A%2F%2Fwww.webofscience.com%2Fwos%2Fwoscc%2Ffull-record%2F","View Full Record in Web of Science")</f>
        <v>View Full Record in Web of Science</v>
      </c>
    </row>
    <row r="255" spans="1:72" customHeight="1" ht="12.75">
      <c r="A255" t="s">
        <v>72</v>
      </c>
      <c r="B255" t="s">
        <v>1890</v>
      </c>
      <c r="C255"/>
      <c r="D255"/>
      <c r="E255"/>
      <c r="F255" t="s">
        <v>1891</v>
      </c>
      <c r="G255"/>
      <c r="H255"/>
      <c r="I255" t="s">
        <v>1892</v>
      </c>
      <c r="J255" t="s">
        <v>587</v>
      </c>
      <c r="K255"/>
      <c r="L255"/>
      <c r="M255"/>
      <c r="N255" t="s">
        <v>112</v>
      </c>
      <c r="O255"/>
      <c r="P255"/>
      <c r="Q255"/>
      <c r="R255"/>
      <c r="S255"/>
      <c r="T255" t="s">
        <v>1893</v>
      </c>
      <c r="U255" t="s">
        <v>1894</v>
      </c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9</v>
      </c>
      <c r="AI255">
        <v>9</v>
      </c>
      <c r="AJ255"/>
      <c r="AK255"/>
      <c r="AL255"/>
      <c r="AM255"/>
      <c r="AN255"/>
      <c r="AO255" t="s">
        <v>590</v>
      </c>
      <c r="AP255" t="s">
        <v>591</v>
      </c>
      <c r="AQ255"/>
      <c r="AR255"/>
      <c r="AS255"/>
      <c r="AT255" t="s">
        <v>249</v>
      </c>
      <c r="AU255">
        <v>2022</v>
      </c>
      <c r="AV255">
        <v>366</v>
      </c>
      <c r="AW255"/>
      <c r="AX255"/>
      <c r="AY255"/>
      <c r="AZ255"/>
      <c r="BA255"/>
      <c r="BB255"/>
      <c r="BC255"/>
      <c r="BD255">
        <v>132951</v>
      </c>
      <c r="BE255" t="s">
        <v>1895</v>
      </c>
      <c r="BF255" t="str">
        <f>HYPERLINK("http://dx.doi.org/10.1016/j.jclepro.2022.132951","http://dx.doi.org/10.1016/j.jclepro.2022.132951")</f>
        <v>http://dx.doi.org/10.1016/j.jclepro.2022.132951</v>
      </c>
      <c r="BG255"/>
      <c r="BH255"/>
      <c r="BI255"/>
      <c r="BJ255" t="s">
        <v>139</v>
      </c>
      <c r="BK255"/>
      <c r="BL255"/>
      <c r="BM255"/>
      <c r="BN255"/>
      <c r="BO255"/>
      <c r="BP255"/>
      <c r="BQ255"/>
      <c r="BR255"/>
      <c r="BS255"/>
      <c r="BT255" t="str">
        <f>HYPERLINK("https%3A%2F%2Fwww.webofscience.com%2Fwos%2Fwoscc%2Ffull-record%2F","View Full Record in Web of Science")</f>
        <v>View Full Record in Web of Science</v>
      </c>
    </row>
    <row r="256" spans="1:72" customHeight="1" ht="12.75">
      <c r="A256" t="s">
        <v>72</v>
      </c>
      <c r="B256" t="s">
        <v>1896</v>
      </c>
      <c r="C256"/>
      <c r="D256"/>
      <c r="E256"/>
      <c r="F256" t="s">
        <v>1897</v>
      </c>
      <c r="G256"/>
      <c r="H256"/>
      <c r="I256" t="s">
        <v>1898</v>
      </c>
      <c r="J256" t="s">
        <v>1899</v>
      </c>
      <c r="K256"/>
      <c r="L256"/>
      <c r="M256"/>
      <c r="N256" t="s">
        <v>112</v>
      </c>
      <c r="O256"/>
      <c r="P256"/>
      <c r="Q256"/>
      <c r="R256"/>
      <c r="S256"/>
      <c r="T256" t="s">
        <v>1900</v>
      </c>
      <c r="U256" t="s">
        <v>1901</v>
      </c>
      <c r="V256"/>
      <c r="W256"/>
      <c r="X256"/>
      <c r="Y256"/>
      <c r="Z256"/>
      <c r="AA256"/>
      <c r="AB256"/>
      <c r="AC256"/>
      <c r="AD256"/>
      <c r="AE256"/>
      <c r="AF256"/>
      <c r="AG256"/>
      <c r="AH256">
        <v>16</v>
      </c>
      <c r="AI256">
        <v>19</v>
      </c>
      <c r="AJ256"/>
      <c r="AK256"/>
      <c r="AL256"/>
      <c r="AM256"/>
      <c r="AN256"/>
      <c r="AO256" t="s">
        <v>1902</v>
      </c>
      <c r="AP256" t="s">
        <v>1903</v>
      </c>
      <c r="AQ256"/>
      <c r="AR256"/>
      <c r="AS256"/>
      <c r="AT256" t="s">
        <v>490</v>
      </c>
      <c r="AU256">
        <v>2018</v>
      </c>
      <c r="AV256">
        <v>158</v>
      </c>
      <c r="AW256"/>
      <c r="AX256"/>
      <c r="AY256"/>
      <c r="AZ256"/>
      <c r="BA256"/>
      <c r="BB256">
        <v>1683</v>
      </c>
      <c r="BC256">
        <v>1693</v>
      </c>
      <c r="BD256"/>
      <c r="BE256" t="s">
        <v>1904</v>
      </c>
      <c r="BF256" t="str">
        <f>HYPERLINK("http://dx.doi.org/10.1016/j.enbuild.2017.12.005","http://dx.doi.org/10.1016/j.enbuild.2017.12.005")</f>
        <v>http://dx.doi.org/10.1016/j.enbuild.2017.12.005</v>
      </c>
      <c r="BG256"/>
      <c r="BH256"/>
      <c r="BI256"/>
      <c r="BJ256" t="s">
        <v>1905</v>
      </c>
      <c r="BK256"/>
      <c r="BL256"/>
      <c r="BM256"/>
      <c r="BN256"/>
      <c r="BO256"/>
      <c r="BP256"/>
      <c r="BQ256"/>
      <c r="BR256"/>
      <c r="BS256"/>
      <c r="BT256" t="str">
        <f>HYPERLINK("https%3A%2F%2Fwww.webofscience.com%2Fwos%2Fwoscc%2Ffull-record%2F","View Full Record in Web of Science")</f>
        <v>View Full Record in Web of Science</v>
      </c>
    </row>
    <row r="257" spans="1:72" customHeight="1" ht="12.75">
      <c r="A257" t="s">
        <v>72</v>
      </c>
      <c r="B257" t="s">
        <v>1906</v>
      </c>
      <c r="C257"/>
      <c r="D257"/>
      <c r="E257"/>
      <c r="F257" t="s">
        <v>1907</v>
      </c>
      <c r="G257"/>
      <c r="H257"/>
      <c r="I257" t="s">
        <v>1908</v>
      </c>
      <c r="J257" t="s">
        <v>457</v>
      </c>
      <c r="K257"/>
      <c r="L257"/>
      <c r="M257"/>
      <c r="N257" t="s">
        <v>112</v>
      </c>
      <c r="O257"/>
      <c r="P257"/>
      <c r="Q257"/>
      <c r="R257"/>
      <c r="S257"/>
      <c r="T257" t="s">
        <v>1909</v>
      </c>
      <c r="U257" t="s">
        <v>1910</v>
      </c>
      <c r="V257"/>
      <c r="W257"/>
      <c r="X257"/>
      <c r="Y257"/>
      <c r="Z257"/>
      <c r="AA257"/>
      <c r="AB257"/>
      <c r="AC257"/>
      <c r="AD257"/>
      <c r="AE257"/>
      <c r="AF257"/>
      <c r="AG257"/>
      <c r="AH257">
        <v>9</v>
      </c>
      <c r="AI257">
        <v>9</v>
      </c>
      <c r="AJ257"/>
      <c r="AK257"/>
      <c r="AL257"/>
      <c r="AM257"/>
      <c r="AN257"/>
      <c r="AO257" t="s">
        <v>458</v>
      </c>
      <c r="AP257"/>
      <c r="AQ257"/>
      <c r="AR257"/>
      <c r="AS257"/>
      <c r="AT257" t="s">
        <v>1911</v>
      </c>
      <c r="AU257">
        <v>2019</v>
      </c>
      <c r="AV257">
        <v>11</v>
      </c>
      <c r="AW257">
        <v>3</v>
      </c>
      <c r="AX257"/>
      <c r="AY257"/>
      <c r="AZ257"/>
      <c r="BA257"/>
      <c r="BB257"/>
      <c r="BC257"/>
      <c r="BD257">
        <v>855</v>
      </c>
      <c r="BE257" t="s">
        <v>1912</v>
      </c>
      <c r="BF257" t="str">
        <f>HYPERLINK("http://dx.doi.org/10.3390/su11030855","http://dx.doi.org/10.3390/su11030855")</f>
        <v>http://dx.doi.org/10.3390/su11030855</v>
      </c>
      <c r="BG257"/>
      <c r="BH257"/>
      <c r="BI257"/>
      <c r="BJ257" t="s">
        <v>460</v>
      </c>
      <c r="BK257"/>
      <c r="BL257"/>
      <c r="BM257"/>
      <c r="BN257"/>
      <c r="BO257"/>
      <c r="BP257"/>
      <c r="BQ257"/>
      <c r="BR257"/>
      <c r="BS257"/>
      <c r="BT257" t="str">
        <f>HYPERLINK("https%3A%2F%2Fwww.webofscience.com%2Fwos%2Fwoscc%2Ffull-record%2F","View Full Record in Web of Science")</f>
        <v>View Full Record in Web of Science</v>
      </c>
    </row>
    <row r="258" spans="1:72" customHeight="1" ht="12.75">
      <c r="A258" t="s">
        <v>72</v>
      </c>
      <c r="B258" t="s">
        <v>1913</v>
      </c>
      <c r="C258"/>
      <c r="D258"/>
      <c r="E258"/>
      <c r="F258" t="s">
        <v>1914</v>
      </c>
      <c r="G258"/>
      <c r="H258"/>
      <c r="I258" t="s">
        <v>1915</v>
      </c>
      <c r="J258" t="s">
        <v>1916</v>
      </c>
      <c r="K258"/>
      <c r="L258"/>
      <c r="M258"/>
      <c r="N258" t="s">
        <v>112</v>
      </c>
      <c r="O258"/>
      <c r="P258"/>
      <c r="Q258"/>
      <c r="R258"/>
      <c r="S258"/>
      <c r="T258" t="s">
        <v>1917</v>
      </c>
      <c r="U258" t="s">
        <v>1918</v>
      </c>
      <c r="V258"/>
      <c r="W258"/>
      <c r="X258"/>
      <c r="Y258"/>
      <c r="Z258"/>
      <c r="AA258"/>
      <c r="AB258"/>
      <c r="AC258"/>
      <c r="AD258"/>
      <c r="AE258"/>
      <c r="AF258"/>
      <c r="AG258"/>
      <c r="AH258">
        <v>9</v>
      </c>
      <c r="AI258">
        <v>9</v>
      </c>
      <c r="AJ258"/>
      <c r="AK258"/>
      <c r="AL258"/>
      <c r="AM258"/>
      <c r="AN258"/>
      <c r="AO258" t="s">
        <v>1919</v>
      </c>
      <c r="AP258" t="s">
        <v>1920</v>
      </c>
      <c r="AQ258"/>
      <c r="AR258"/>
      <c r="AS258"/>
      <c r="AT258" t="s">
        <v>128</v>
      </c>
      <c r="AU258">
        <v>2016</v>
      </c>
      <c r="AV258">
        <v>113</v>
      </c>
      <c r="AW258"/>
      <c r="AX258" t="s">
        <v>1921</v>
      </c>
      <c r="AY258"/>
      <c r="AZ258"/>
      <c r="BA258"/>
      <c r="BB258">
        <v>220</v>
      </c>
      <c r="BC258">
        <v>229</v>
      </c>
      <c r="BD258"/>
      <c r="BE258" t="s">
        <v>1922</v>
      </c>
      <c r="BF258" t="str">
        <f>HYPERLINK("http://dx.doi.org/10.1016/j.techfore.2015.05.012","http://dx.doi.org/10.1016/j.techfore.2015.05.012")</f>
        <v>http://dx.doi.org/10.1016/j.techfore.2015.05.012</v>
      </c>
      <c r="BG258"/>
      <c r="BH258"/>
      <c r="BI258"/>
      <c r="BJ258" t="s">
        <v>1923</v>
      </c>
      <c r="BK258"/>
      <c r="BL258"/>
      <c r="BM258"/>
      <c r="BN258"/>
      <c r="BO258"/>
      <c r="BP258"/>
      <c r="BQ258"/>
      <c r="BR258"/>
      <c r="BS258"/>
      <c r="BT258" t="str">
        <f>HYPERLINK("https%3A%2F%2Fwww.webofscience.com%2Fwos%2Fwoscc%2Ffull-record%2F","View Full Record in Web of Science")</f>
        <v>View Full Record in Web of Science</v>
      </c>
    </row>
    <row r="259" spans="1:72" customHeight="1" ht="12.75">
      <c r="A259" t="s">
        <v>72</v>
      </c>
      <c r="B259" t="s">
        <v>1924</v>
      </c>
      <c r="C259"/>
      <c r="D259"/>
      <c r="E259"/>
      <c r="F259" t="s">
        <v>1925</v>
      </c>
      <c r="G259"/>
      <c r="H259"/>
      <c r="I259" t="s">
        <v>1926</v>
      </c>
      <c r="J259" t="s">
        <v>1699</v>
      </c>
      <c r="K259"/>
      <c r="L259"/>
      <c r="M259"/>
      <c r="N259" t="s">
        <v>325</v>
      </c>
      <c r="O259"/>
      <c r="P259"/>
      <c r="Q259"/>
      <c r="R259"/>
      <c r="S259"/>
      <c r="T259" t="s">
        <v>1927</v>
      </c>
      <c r="U259" t="s">
        <v>1928</v>
      </c>
      <c r="V259"/>
      <c r="W259"/>
      <c r="X259"/>
      <c r="Y259"/>
      <c r="Z259"/>
      <c r="AA259"/>
      <c r="AB259"/>
      <c r="AC259"/>
      <c r="AD259"/>
      <c r="AE259"/>
      <c r="AF259"/>
      <c r="AG259"/>
      <c r="AH259">
        <v>10</v>
      </c>
      <c r="AI259">
        <v>10</v>
      </c>
      <c r="AJ259"/>
      <c r="AK259"/>
      <c r="AL259"/>
      <c r="AM259"/>
      <c r="AN259"/>
      <c r="AO259" t="s">
        <v>1702</v>
      </c>
      <c r="AP259" t="s">
        <v>1703</v>
      </c>
      <c r="AQ259"/>
      <c r="AR259"/>
      <c r="AS259"/>
      <c r="AT259" t="s">
        <v>1287</v>
      </c>
      <c r="AU259">
        <v>2021</v>
      </c>
      <c r="AV259">
        <v>151</v>
      </c>
      <c r="AW259"/>
      <c r="AX259"/>
      <c r="AY259"/>
      <c r="AZ259"/>
      <c r="BA259"/>
      <c r="BB259"/>
      <c r="BC259"/>
      <c r="BD259">
        <v>111561</v>
      </c>
      <c r="BE259" t="s">
        <v>1929</v>
      </c>
      <c r="BF259" t="str">
        <f>HYPERLINK("http://dx.doi.org/10.1016/j.rser.2021.111561","http://dx.doi.org/10.1016/j.rser.2021.111561")</f>
        <v>http://dx.doi.org/10.1016/j.rser.2021.111561</v>
      </c>
      <c r="BG259"/>
      <c r="BH259" t="s">
        <v>1432</v>
      </c>
      <c r="BI259"/>
      <c r="BJ259" t="s">
        <v>1705</v>
      </c>
      <c r="BK259"/>
      <c r="BL259"/>
      <c r="BM259"/>
      <c r="BN259"/>
      <c r="BO259"/>
      <c r="BP259"/>
      <c r="BQ259"/>
      <c r="BR259"/>
      <c r="BS259"/>
      <c r="BT259" t="str">
        <f>HYPERLINK("https%3A%2F%2Fwww.webofscience.com%2Fwos%2Fwoscc%2Ffull-record%2F","View Full Record in Web of Science")</f>
        <v>View Full Record in Web of Science</v>
      </c>
    </row>
    <row r="260" spans="1:72" customHeight="1" ht="12.75">
      <c r="A260" t="s">
        <v>72</v>
      </c>
      <c r="B260" t="s">
        <v>1930</v>
      </c>
      <c r="C260"/>
      <c r="D260"/>
      <c r="E260"/>
      <c r="F260" t="s">
        <v>1931</v>
      </c>
      <c r="G260"/>
      <c r="H260"/>
      <c r="I260" t="s">
        <v>1932</v>
      </c>
      <c r="J260" t="s">
        <v>111</v>
      </c>
      <c r="K260"/>
      <c r="L260"/>
      <c r="M260"/>
      <c r="N260" t="s">
        <v>112</v>
      </c>
      <c r="O260"/>
      <c r="P260"/>
      <c r="Q260"/>
      <c r="R260"/>
      <c r="S260"/>
      <c r="T260" t="s">
        <v>1933</v>
      </c>
      <c r="U260" t="s">
        <v>1934</v>
      </c>
      <c r="V260"/>
      <c r="W260"/>
      <c r="X260"/>
      <c r="Y260"/>
      <c r="Z260"/>
      <c r="AA260"/>
      <c r="AB260"/>
      <c r="AC260"/>
      <c r="AD260"/>
      <c r="AE260"/>
      <c r="AF260"/>
      <c r="AG260"/>
      <c r="AH260">
        <v>22</v>
      </c>
      <c r="AI260">
        <v>23</v>
      </c>
      <c r="AJ260"/>
      <c r="AK260"/>
      <c r="AL260"/>
      <c r="AM260"/>
      <c r="AN260"/>
      <c r="AO260" t="s">
        <v>115</v>
      </c>
      <c r="AP260" t="s">
        <v>116</v>
      </c>
      <c r="AQ260"/>
      <c r="AR260"/>
      <c r="AS260"/>
      <c r="AT260" t="s">
        <v>404</v>
      </c>
      <c r="AU260">
        <v>2021</v>
      </c>
      <c r="AV260">
        <v>164</v>
      </c>
      <c r="AW260"/>
      <c r="AX260"/>
      <c r="AY260"/>
      <c r="AZ260"/>
      <c r="BA260"/>
      <c r="BB260"/>
      <c r="BC260"/>
      <c r="BD260">
        <v>105167</v>
      </c>
      <c r="BE260" t="s">
        <v>1935</v>
      </c>
      <c r="BF260" t="str">
        <f>HYPERLINK("http://dx.doi.org/10.1016/j.resconrec.2020.105167","http://dx.doi.org/10.1016/j.resconrec.2020.105167")</f>
        <v>http://dx.doi.org/10.1016/j.resconrec.2020.105167</v>
      </c>
      <c r="BG260"/>
      <c r="BH260"/>
      <c r="BI260"/>
      <c r="BJ260" t="s">
        <v>119</v>
      </c>
      <c r="BK260"/>
      <c r="BL260"/>
      <c r="BM260"/>
      <c r="BN260"/>
      <c r="BO260"/>
      <c r="BP260"/>
      <c r="BQ260"/>
      <c r="BR260"/>
      <c r="BS260"/>
      <c r="BT260" t="str">
        <f>HYPERLINK("https%3A%2F%2Fwww.webofscience.com%2Fwos%2Fwoscc%2Ffull-record%2F","View Full Record in Web of Science")</f>
        <v>View Full Record in Web of Science</v>
      </c>
    </row>
    <row r="261" spans="1:72" customHeight="1" ht="12.75">
      <c r="A261" t="s">
        <v>72</v>
      </c>
      <c r="B261" t="s">
        <v>1936</v>
      </c>
      <c r="C261"/>
      <c r="D261"/>
      <c r="E261"/>
      <c r="F261" t="s">
        <v>1937</v>
      </c>
      <c r="G261"/>
      <c r="H261"/>
      <c r="I261" t="s">
        <v>1938</v>
      </c>
      <c r="J261" t="s">
        <v>1067</v>
      </c>
      <c r="K261"/>
      <c r="L261"/>
      <c r="M261"/>
      <c r="N261" t="s">
        <v>112</v>
      </c>
      <c r="O261"/>
      <c r="P261"/>
      <c r="Q261"/>
      <c r="R261"/>
      <c r="S261"/>
      <c r="T261" t="s">
        <v>1939</v>
      </c>
      <c r="U261" t="s">
        <v>1940</v>
      </c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55</v>
      </c>
      <c r="AI261">
        <v>62</v>
      </c>
      <c r="AJ261"/>
      <c r="AK261"/>
      <c r="AL261"/>
      <c r="AM261"/>
      <c r="AN261"/>
      <c r="AO261" t="s">
        <v>1070</v>
      </c>
      <c r="AP261" t="s">
        <v>1071</v>
      </c>
      <c r="AQ261"/>
      <c r="AR261"/>
      <c r="AS261"/>
      <c r="AT261" t="s">
        <v>1911</v>
      </c>
      <c r="AU261">
        <v>2014</v>
      </c>
      <c r="AV261">
        <v>470</v>
      </c>
      <c r="AW261"/>
      <c r="AX261"/>
      <c r="AY261"/>
      <c r="AZ261"/>
      <c r="BA261"/>
      <c r="BB261">
        <v>883</v>
      </c>
      <c r="BC261">
        <v>894</v>
      </c>
      <c r="BD261"/>
      <c r="BE261" t="s">
        <v>1941</v>
      </c>
      <c r="BF261" t="str">
        <f>HYPERLINK("http://dx.doi.org/10.1016/j.scitotenv.2013.10.041","http://dx.doi.org/10.1016/j.scitotenv.2013.10.041")</f>
        <v>http://dx.doi.org/10.1016/j.scitotenv.2013.10.041</v>
      </c>
      <c r="BG261"/>
      <c r="BH261"/>
      <c r="BI261"/>
      <c r="BJ261" t="s">
        <v>224</v>
      </c>
      <c r="BK261"/>
      <c r="BL261"/>
      <c r="BM261"/>
      <c r="BN261"/>
      <c r="BO261"/>
      <c r="BP261"/>
      <c r="BQ261"/>
      <c r="BR261"/>
      <c r="BS261"/>
      <c r="BT261" t="str">
        <f>HYPERLINK("https%3A%2F%2Fwww.webofscience.com%2Fwos%2Fwoscc%2Ffull-record%2F","View Full Record in Web of Science")</f>
        <v>View Full Record in Web of Science</v>
      </c>
    </row>
    <row r="262" spans="1:72" customHeight="1" ht="12.75">
      <c r="A262" t="s">
        <v>72</v>
      </c>
      <c r="B262" t="s">
        <v>1433</v>
      </c>
      <c r="C262"/>
      <c r="D262"/>
      <c r="E262"/>
      <c r="F262" t="s">
        <v>1434</v>
      </c>
      <c r="G262"/>
      <c r="H262"/>
      <c r="I262" t="s">
        <v>1942</v>
      </c>
      <c r="J262" t="s">
        <v>1299</v>
      </c>
      <c r="K262"/>
      <c r="L262"/>
      <c r="M262"/>
      <c r="N262" t="s">
        <v>112</v>
      </c>
      <c r="O262"/>
      <c r="P262"/>
      <c r="Q262"/>
      <c r="R262"/>
      <c r="S262"/>
      <c r="T262"/>
      <c r="U262" t="s">
        <v>1943</v>
      </c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211</v>
      </c>
      <c r="AI262">
        <v>230</v>
      </c>
      <c r="AJ262"/>
      <c r="AK262"/>
      <c r="AL262"/>
      <c r="AM262"/>
      <c r="AN262"/>
      <c r="AO262" t="s">
        <v>1301</v>
      </c>
      <c r="AP262" t="s">
        <v>1302</v>
      </c>
      <c r="AQ262"/>
      <c r="AR262"/>
      <c r="AS262"/>
      <c r="AT262" t="s">
        <v>1944</v>
      </c>
      <c r="AU262">
        <v>2012</v>
      </c>
      <c r="AV262">
        <v>46</v>
      </c>
      <c r="AW262">
        <v>8</v>
      </c>
      <c r="AX262"/>
      <c r="AY262"/>
      <c r="AZ262"/>
      <c r="BA262"/>
      <c r="BB262">
        <v>4498</v>
      </c>
      <c r="BC262">
        <v>4506</v>
      </c>
      <c r="BD262"/>
      <c r="BE262" t="s">
        <v>1945</v>
      </c>
      <c r="BF262" t="str">
        <f>HYPERLINK("http://dx.doi.org/10.1021/es204662k","http://dx.doi.org/10.1021/es204662k")</f>
        <v>http://dx.doi.org/10.1021/es204662k</v>
      </c>
      <c r="BG262"/>
      <c r="BH262"/>
      <c r="BI262"/>
      <c r="BJ262" t="s">
        <v>119</v>
      </c>
      <c r="BK262"/>
      <c r="BL262"/>
      <c r="BM262"/>
      <c r="BN262"/>
      <c r="BO262"/>
      <c r="BP262"/>
      <c r="BQ262"/>
      <c r="BR262"/>
      <c r="BS262"/>
      <c r="BT262" t="str">
        <f>HYPERLINK("https%3A%2F%2Fwww.webofscience.com%2Fwos%2Fwoscc%2Ffull-record%2F","View Full Record in Web of Science")</f>
        <v>View Full Record in Web of Science</v>
      </c>
    </row>
    <row r="263" spans="1:72" customHeight="1" ht="12.75">
      <c r="A263" t="s">
        <v>72</v>
      </c>
      <c r="B263" t="s">
        <v>1946</v>
      </c>
      <c r="C263"/>
      <c r="D263"/>
      <c r="E263"/>
      <c r="F263" t="s">
        <v>1947</v>
      </c>
      <c r="G263"/>
      <c r="H263"/>
      <c r="I263" t="s">
        <v>1948</v>
      </c>
      <c r="J263" t="s">
        <v>1949</v>
      </c>
      <c r="K263"/>
      <c r="L263"/>
      <c r="M263"/>
      <c r="N263" t="s">
        <v>112</v>
      </c>
      <c r="O263"/>
      <c r="P263"/>
      <c r="Q263"/>
      <c r="R263"/>
      <c r="S263"/>
      <c r="T263" t="s">
        <v>1950</v>
      </c>
      <c r="U263" t="s">
        <v>1951</v>
      </c>
      <c r="V263"/>
      <c r="W263"/>
      <c r="X263"/>
      <c r="Y263"/>
      <c r="Z263"/>
      <c r="AA263"/>
      <c r="AB263"/>
      <c r="AC263"/>
      <c r="AD263"/>
      <c r="AE263"/>
      <c r="AF263"/>
      <c r="AG263"/>
      <c r="AH263">
        <v>1</v>
      </c>
      <c r="AI263">
        <v>1</v>
      </c>
      <c r="AJ263"/>
      <c r="AK263"/>
      <c r="AL263"/>
      <c r="AM263"/>
      <c r="AN263"/>
      <c r="AO263"/>
      <c r="AP263" t="s">
        <v>1952</v>
      </c>
      <c r="AQ263"/>
      <c r="AR263"/>
      <c r="AS263"/>
      <c r="AT263" t="s">
        <v>1953</v>
      </c>
      <c r="AU263">
        <v>2022</v>
      </c>
      <c r="AV263">
        <v>8</v>
      </c>
      <c r="AW263"/>
      <c r="AX263"/>
      <c r="AY263"/>
      <c r="AZ263"/>
      <c r="BA263"/>
      <c r="BB263"/>
      <c r="BC263"/>
      <c r="BD263">
        <v>954642</v>
      </c>
      <c r="BE263" t="s">
        <v>1954</v>
      </c>
      <c r="BF263" t="str">
        <f>HYPERLINK("http://dx.doi.org/10.3389/fbuil.2022.954642","http://dx.doi.org/10.3389/fbuil.2022.954642")</f>
        <v>http://dx.doi.org/10.3389/fbuil.2022.954642</v>
      </c>
      <c r="BG263"/>
      <c r="BH263"/>
      <c r="BI263"/>
      <c r="BJ263" t="s">
        <v>814</v>
      </c>
      <c r="BK263"/>
      <c r="BL263"/>
      <c r="BM263"/>
      <c r="BN263"/>
      <c r="BO263"/>
      <c r="BP263"/>
      <c r="BQ263"/>
      <c r="BR263"/>
      <c r="BS263"/>
      <c r="BT263" t="str">
        <f>HYPERLINK("https%3A%2F%2Fwww.webofscience.com%2Fwos%2Fwoscc%2Ffull-record%2F","View Full Record in Web of Science")</f>
        <v>View Full Record in Web of Science</v>
      </c>
    </row>
    <row r="264" spans="1:72" customHeight="1" ht="12.75">
      <c r="A264" t="s">
        <v>72</v>
      </c>
      <c r="B264" t="s">
        <v>1955</v>
      </c>
      <c r="C264"/>
      <c r="D264"/>
      <c r="E264"/>
      <c r="F264" t="s">
        <v>1955</v>
      </c>
      <c r="G264"/>
      <c r="H264"/>
      <c r="I264" t="s">
        <v>1956</v>
      </c>
      <c r="J264" t="s">
        <v>1957</v>
      </c>
      <c r="K264"/>
      <c r="L264"/>
      <c r="M264"/>
      <c r="N264" t="s">
        <v>112</v>
      </c>
      <c r="O264"/>
      <c r="P264"/>
      <c r="Q264"/>
      <c r="R264"/>
      <c r="S264"/>
      <c r="T264" t="s">
        <v>1958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>
        <v>3</v>
      </c>
      <c r="AI264">
        <v>3</v>
      </c>
      <c r="AJ264"/>
      <c r="AK264"/>
      <c r="AL264"/>
      <c r="AM264"/>
      <c r="AN264"/>
      <c r="AO264" t="s">
        <v>1959</v>
      </c>
      <c r="AP264"/>
      <c r="AQ264"/>
      <c r="AR264"/>
      <c r="AS264"/>
      <c r="AT264"/>
      <c r="AU264">
        <v>1999</v>
      </c>
      <c r="AV264">
        <v>6</v>
      </c>
      <c r="AW264">
        <v>3</v>
      </c>
      <c r="AX264"/>
      <c r="AY264"/>
      <c r="AZ264"/>
      <c r="BA264"/>
      <c r="BB264">
        <v>170</v>
      </c>
      <c r="BC264">
        <v>174</v>
      </c>
      <c r="BD264"/>
      <c r="BE264" t="s">
        <v>1960</v>
      </c>
      <c r="BF264" t="str">
        <f>HYPERLINK("http://dx.doi.org/10.1007/BF02987622","http://dx.doi.org/10.1007/BF02987622")</f>
        <v>http://dx.doi.org/10.1007/BF02987622</v>
      </c>
      <c r="BG264"/>
      <c r="BH264"/>
      <c r="BI264"/>
      <c r="BJ264" t="s">
        <v>224</v>
      </c>
      <c r="BK264"/>
      <c r="BL264"/>
      <c r="BM264"/>
      <c r="BN264"/>
      <c r="BO264"/>
      <c r="BP264"/>
      <c r="BQ264"/>
      <c r="BR264"/>
      <c r="BS264"/>
      <c r="BT264" t="str">
        <f>HYPERLINK("https%3A%2F%2Fwww.webofscience.com%2Fwos%2Fwoscc%2Ffull-record%2F","View Full Record in Web of Science")</f>
        <v>View Full Record in Web of Science</v>
      </c>
    </row>
    <row r="265" spans="1:72" customHeight="1" ht="12.75">
      <c r="A265" t="s">
        <v>72</v>
      </c>
      <c r="B265" t="s">
        <v>1961</v>
      </c>
      <c r="C265"/>
      <c r="D265"/>
      <c r="E265"/>
      <c r="F265" t="s">
        <v>1962</v>
      </c>
      <c r="G265"/>
      <c r="H265"/>
      <c r="I265" t="s">
        <v>1963</v>
      </c>
      <c r="J265" t="s">
        <v>1964</v>
      </c>
      <c r="K265"/>
      <c r="L265"/>
      <c r="M265"/>
      <c r="N265" t="s">
        <v>112</v>
      </c>
      <c r="O265"/>
      <c r="P265"/>
      <c r="Q265"/>
      <c r="R265"/>
      <c r="S265"/>
      <c r="T265" t="s">
        <v>1965</v>
      </c>
      <c r="U265" t="s">
        <v>1966</v>
      </c>
      <c r="V265"/>
      <c r="W265"/>
      <c r="X265"/>
      <c r="Y265"/>
      <c r="Z265"/>
      <c r="AA265"/>
      <c r="AB265"/>
      <c r="AC265"/>
      <c r="AD265"/>
      <c r="AE265"/>
      <c r="AF265"/>
      <c r="AG265"/>
      <c r="AH265">
        <v>8</v>
      </c>
      <c r="AI265">
        <v>8</v>
      </c>
      <c r="AJ265"/>
      <c r="AK265"/>
      <c r="AL265"/>
      <c r="AM265"/>
      <c r="AN265"/>
      <c r="AO265" t="s">
        <v>1967</v>
      </c>
      <c r="AP265" t="s">
        <v>1968</v>
      </c>
      <c r="AQ265"/>
      <c r="AR265"/>
      <c r="AS265"/>
      <c r="AT265" t="s">
        <v>92</v>
      </c>
      <c r="AU265">
        <v>2019</v>
      </c>
      <c r="AV265">
        <v>115</v>
      </c>
      <c r="AW265">
        <v>2</v>
      </c>
      <c r="AX265"/>
      <c r="AY265"/>
      <c r="AZ265" t="s">
        <v>222</v>
      </c>
      <c r="BA265"/>
      <c r="BB265">
        <v>173</v>
      </c>
      <c r="BC265">
        <v>188</v>
      </c>
      <c r="BD265"/>
      <c r="BE265" t="s">
        <v>1969</v>
      </c>
      <c r="BF265" t="str">
        <f>HYPERLINK("http://dx.doi.org/10.1007/s10705-018-9944-4","http://dx.doi.org/10.1007/s10705-018-9944-4")</f>
        <v>http://dx.doi.org/10.1007/s10705-018-9944-4</v>
      </c>
      <c r="BG265"/>
      <c r="BH265"/>
      <c r="BI265"/>
      <c r="BJ265" t="s">
        <v>1970</v>
      </c>
      <c r="BK265"/>
      <c r="BL265"/>
      <c r="BM265"/>
      <c r="BN265"/>
      <c r="BO265"/>
      <c r="BP265"/>
      <c r="BQ265"/>
      <c r="BR265"/>
      <c r="BS265"/>
      <c r="BT265" t="str">
        <f>HYPERLINK("https%3A%2F%2Fwww.webofscience.com%2Fwos%2Fwoscc%2Ffull-record%2F","View Full Record in Web of Science")</f>
        <v>View Full Record in Web of Science</v>
      </c>
    </row>
    <row r="266" spans="1:72" customHeight="1" ht="12.75">
      <c r="A266" t="s">
        <v>72</v>
      </c>
      <c r="B266" t="s">
        <v>1971</v>
      </c>
      <c r="C266"/>
      <c r="D266"/>
      <c r="E266"/>
      <c r="F266" t="s">
        <v>1972</v>
      </c>
      <c r="G266"/>
      <c r="H266"/>
      <c r="I266" t="s">
        <v>1973</v>
      </c>
      <c r="J266" t="s">
        <v>457</v>
      </c>
      <c r="K266"/>
      <c r="L266"/>
      <c r="M266"/>
      <c r="N266" t="s">
        <v>112</v>
      </c>
      <c r="O266"/>
      <c r="P266"/>
      <c r="Q266"/>
      <c r="R266"/>
      <c r="S266"/>
      <c r="T266" t="s">
        <v>1974</v>
      </c>
      <c r="U266" t="s">
        <v>1975</v>
      </c>
      <c r="V266"/>
      <c r="W266"/>
      <c r="X266"/>
      <c r="Y266"/>
      <c r="Z266"/>
      <c r="AA266"/>
      <c r="AB266"/>
      <c r="AC266"/>
      <c r="AD266"/>
      <c r="AE266"/>
      <c r="AF266"/>
      <c r="AG266"/>
      <c r="AH266">
        <v>4</v>
      </c>
      <c r="AI266">
        <v>4</v>
      </c>
      <c r="AJ266"/>
      <c r="AK266"/>
      <c r="AL266"/>
      <c r="AM266"/>
      <c r="AN266"/>
      <c r="AO266"/>
      <c r="AP266" t="s">
        <v>458</v>
      </c>
      <c r="AQ266"/>
      <c r="AR266"/>
      <c r="AS266"/>
      <c r="AT266" t="s">
        <v>92</v>
      </c>
      <c r="AU266">
        <v>2021</v>
      </c>
      <c r="AV266">
        <v>13</v>
      </c>
      <c r="AW266">
        <v>21</v>
      </c>
      <c r="AX266"/>
      <c r="AY266"/>
      <c r="AZ266"/>
      <c r="BA266"/>
      <c r="BB266"/>
      <c r="BC266"/>
      <c r="BD266">
        <v>11732</v>
      </c>
      <c r="BE266" t="s">
        <v>1976</v>
      </c>
      <c r="BF266" t="str">
        <f>HYPERLINK("http://dx.doi.org/10.3390/su132111732","http://dx.doi.org/10.3390/su132111732")</f>
        <v>http://dx.doi.org/10.3390/su132111732</v>
      </c>
      <c r="BG266"/>
      <c r="BH266"/>
      <c r="BI266"/>
      <c r="BJ266" t="s">
        <v>460</v>
      </c>
      <c r="BK266"/>
      <c r="BL266"/>
      <c r="BM266"/>
      <c r="BN266"/>
      <c r="BO266"/>
      <c r="BP266"/>
      <c r="BQ266"/>
      <c r="BR266"/>
      <c r="BS266"/>
      <c r="BT266" t="str">
        <f>HYPERLINK("https%3A%2F%2Fwww.webofscience.com%2Fwos%2Fwoscc%2Ffull-record%2F","View Full Record in Web of Science")</f>
        <v>View Full Record in Web of Science</v>
      </c>
    </row>
    <row r="267" spans="1:72" customHeight="1" ht="12.75">
      <c r="A267" t="s">
        <v>72</v>
      </c>
      <c r="B267" t="s">
        <v>1977</v>
      </c>
      <c r="C267"/>
      <c r="D267"/>
      <c r="E267"/>
      <c r="F267" t="s">
        <v>1978</v>
      </c>
      <c r="G267"/>
      <c r="H267"/>
      <c r="I267" t="s">
        <v>1979</v>
      </c>
      <c r="J267" t="s">
        <v>457</v>
      </c>
      <c r="K267"/>
      <c r="L267"/>
      <c r="M267"/>
      <c r="N267" t="s">
        <v>112</v>
      </c>
      <c r="O267"/>
      <c r="P267"/>
      <c r="Q267"/>
      <c r="R267"/>
      <c r="S267"/>
      <c r="T267" t="s">
        <v>1980</v>
      </c>
      <c r="U267" t="s">
        <v>1981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9</v>
      </c>
      <c r="AI267">
        <v>9</v>
      </c>
      <c r="AJ267"/>
      <c r="AK267"/>
      <c r="AL267"/>
      <c r="AM267"/>
      <c r="AN267"/>
      <c r="AO267"/>
      <c r="AP267" t="s">
        <v>458</v>
      </c>
      <c r="AQ267"/>
      <c r="AR267"/>
      <c r="AS267"/>
      <c r="AT267" t="s">
        <v>145</v>
      </c>
      <c r="AU267">
        <v>2018</v>
      </c>
      <c r="AV267">
        <v>10</v>
      </c>
      <c r="AW267">
        <v>4</v>
      </c>
      <c r="AX267"/>
      <c r="AY267"/>
      <c r="AZ267"/>
      <c r="BA267"/>
      <c r="BB267"/>
      <c r="BC267"/>
      <c r="BD267">
        <v>955</v>
      </c>
      <c r="BE267" t="s">
        <v>1982</v>
      </c>
      <c r="BF267" t="str">
        <f>HYPERLINK("http://dx.doi.org/10.3390/su10040955","http://dx.doi.org/10.3390/su10040955")</f>
        <v>http://dx.doi.org/10.3390/su10040955</v>
      </c>
      <c r="BG267"/>
      <c r="BH267"/>
      <c r="BI267"/>
      <c r="BJ267" t="s">
        <v>460</v>
      </c>
      <c r="BK267"/>
      <c r="BL267"/>
      <c r="BM267"/>
      <c r="BN267"/>
      <c r="BO267"/>
      <c r="BP267"/>
      <c r="BQ267"/>
      <c r="BR267"/>
      <c r="BS267"/>
      <c r="BT267" t="str">
        <f>HYPERLINK("https%3A%2F%2Fwww.webofscience.com%2Fwos%2Fwoscc%2Ffull-record%2F","View Full Record in Web of Science")</f>
        <v>View Full Record in Web of Science</v>
      </c>
    </row>
    <row r="268" spans="1:72" customHeight="1" ht="12.75">
      <c r="A268" t="s">
        <v>72</v>
      </c>
      <c r="B268" t="s">
        <v>1983</v>
      </c>
      <c r="C268"/>
      <c r="D268"/>
      <c r="E268"/>
      <c r="F268" t="s">
        <v>1984</v>
      </c>
      <c r="G268"/>
      <c r="H268"/>
      <c r="I268" t="s">
        <v>1985</v>
      </c>
      <c r="J268" t="s">
        <v>486</v>
      </c>
      <c r="K268"/>
      <c r="L268"/>
      <c r="M268"/>
      <c r="N268" t="s">
        <v>77</v>
      </c>
      <c r="O268"/>
      <c r="P268"/>
      <c r="Q268"/>
      <c r="R268"/>
      <c r="S268"/>
      <c r="T268" t="s">
        <v>1986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>
        <v>15</v>
      </c>
      <c r="AI268">
        <v>17</v>
      </c>
      <c r="AJ268"/>
      <c r="AK268"/>
      <c r="AL268"/>
      <c r="AM268"/>
      <c r="AN268"/>
      <c r="AO268"/>
      <c r="AP268" t="s">
        <v>489</v>
      </c>
      <c r="AQ268"/>
      <c r="AR268"/>
      <c r="AS268"/>
      <c r="AT268" t="s">
        <v>145</v>
      </c>
      <c r="AU268">
        <v>2020</v>
      </c>
      <c r="AV268">
        <v>17</v>
      </c>
      <c r="AW268">
        <v>7</v>
      </c>
      <c r="AX268"/>
      <c r="AY268"/>
      <c r="AZ268"/>
      <c r="BA268"/>
      <c r="BB268"/>
      <c r="BC268"/>
      <c r="BD268">
        <v>2463</v>
      </c>
      <c r="BE268" t="s">
        <v>1987</v>
      </c>
      <c r="BF268" t="str">
        <f>HYPERLINK("http://dx.doi.org/10.3390/ijerph17072463","http://dx.doi.org/10.3390/ijerph17072463")</f>
        <v>http://dx.doi.org/10.3390/ijerph17072463</v>
      </c>
      <c r="BG268"/>
      <c r="BH268"/>
      <c r="BI268"/>
      <c r="BJ268" t="s">
        <v>492</v>
      </c>
      <c r="BK268"/>
      <c r="BL268"/>
      <c r="BM268"/>
      <c r="BN268"/>
      <c r="BO268"/>
      <c r="BP268"/>
      <c r="BQ268"/>
      <c r="BR268"/>
      <c r="BS268"/>
      <c r="BT268" t="str">
        <f>HYPERLINK("https%3A%2F%2Fwww.webofscience.com%2Fwos%2Fwoscc%2Ffull-record%2F","View Full Record in Web of Science")</f>
        <v>View Full Record in Web of Science</v>
      </c>
    </row>
    <row r="269" spans="1:72" customHeight="1" ht="12.75">
      <c r="A269" t="s">
        <v>72</v>
      </c>
      <c r="B269" t="s">
        <v>1988</v>
      </c>
      <c r="C269"/>
      <c r="D269"/>
      <c r="E269"/>
      <c r="F269" t="s">
        <v>1989</v>
      </c>
      <c r="G269"/>
      <c r="H269"/>
      <c r="I269" t="s">
        <v>1990</v>
      </c>
      <c r="J269" t="s">
        <v>1991</v>
      </c>
      <c r="K269"/>
      <c r="L269"/>
      <c r="M269"/>
      <c r="N269" t="s">
        <v>112</v>
      </c>
      <c r="O269"/>
      <c r="P269"/>
      <c r="Q269"/>
      <c r="R269"/>
      <c r="S269"/>
      <c r="T269" t="s">
        <v>1992</v>
      </c>
      <c r="U269" t="s">
        <v>1993</v>
      </c>
      <c r="V269"/>
      <c r="W269"/>
      <c r="X269"/>
      <c r="Y269"/>
      <c r="Z269"/>
      <c r="AA269"/>
      <c r="AB269"/>
      <c r="AC269"/>
      <c r="AD269"/>
      <c r="AE269"/>
      <c r="AF269"/>
      <c r="AG269"/>
      <c r="AH269">
        <v>10</v>
      </c>
      <c r="AI269">
        <v>13</v>
      </c>
      <c r="AJ269"/>
      <c r="AK269"/>
      <c r="AL269"/>
      <c r="AM269"/>
      <c r="AN269"/>
      <c r="AO269" t="s">
        <v>1994</v>
      </c>
      <c r="AP269" t="s">
        <v>1995</v>
      </c>
      <c r="AQ269"/>
      <c r="AR269"/>
      <c r="AS269"/>
      <c r="AT269" t="s">
        <v>385</v>
      </c>
      <c r="AU269">
        <v>2019</v>
      </c>
      <c r="AV269">
        <v>24</v>
      </c>
      <c r="AW269">
        <v>7</v>
      </c>
      <c r="AX269"/>
      <c r="AY269"/>
      <c r="AZ269" t="s">
        <v>222</v>
      </c>
      <c r="BA269"/>
      <c r="BB269">
        <v>1285</v>
      </c>
      <c r="BC269">
        <v>1296</v>
      </c>
      <c r="BD269"/>
      <c r="BE269" t="s">
        <v>1996</v>
      </c>
      <c r="BF269" t="str">
        <f>HYPERLINK("http://dx.doi.org/10.1007/s11367-017-1411-y","http://dx.doi.org/10.1007/s11367-017-1411-y")</f>
        <v>http://dx.doi.org/10.1007/s11367-017-1411-y</v>
      </c>
      <c r="BG269"/>
      <c r="BH269"/>
      <c r="BI269"/>
      <c r="BJ269" t="s">
        <v>119</v>
      </c>
      <c r="BK269"/>
      <c r="BL269"/>
      <c r="BM269"/>
      <c r="BN269"/>
      <c r="BO269"/>
      <c r="BP269"/>
      <c r="BQ269"/>
      <c r="BR269"/>
      <c r="BS269"/>
      <c r="BT269" t="str">
        <f>HYPERLINK("https%3A%2F%2Fwww.webofscience.com%2Fwos%2Fwoscc%2Ffull-record%2F","View Full Record in Web of Science")</f>
        <v>View Full Record in Web of Science</v>
      </c>
    </row>
    <row r="270" spans="1:72" customHeight="1" ht="12.75">
      <c r="A270" t="s">
        <v>72</v>
      </c>
      <c r="B270" t="s">
        <v>1997</v>
      </c>
      <c r="C270"/>
      <c r="D270"/>
      <c r="E270"/>
      <c r="F270" t="s">
        <v>1998</v>
      </c>
      <c r="G270"/>
      <c r="H270"/>
      <c r="I270" t="s">
        <v>1999</v>
      </c>
      <c r="J270" t="s">
        <v>2000</v>
      </c>
      <c r="K270"/>
      <c r="L270"/>
      <c r="M270"/>
      <c r="N270" t="s">
        <v>77</v>
      </c>
      <c r="O270"/>
      <c r="P270"/>
      <c r="Q270"/>
      <c r="R270"/>
      <c r="S270"/>
      <c r="T270"/>
      <c r="U270" t="s">
        <v>2001</v>
      </c>
      <c r="V270"/>
      <c r="W270"/>
      <c r="X270"/>
      <c r="Y270"/>
      <c r="Z270"/>
      <c r="AA270"/>
      <c r="AB270"/>
      <c r="AC270"/>
      <c r="AD270"/>
      <c r="AE270"/>
      <c r="AF270"/>
      <c r="AG270"/>
      <c r="AH270">
        <v>3</v>
      </c>
      <c r="AI270">
        <v>3</v>
      </c>
      <c r="AJ270"/>
      <c r="AK270"/>
      <c r="AL270"/>
      <c r="AM270"/>
      <c r="AN270"/>
      <c r="AO270"/>
      <c r="AP270" t="s">
        <v>2002</v>
      </c>
      <c r="AQ270"/>
      <c r="AR270"/>
      <c r="AS270"/>
      <c r="AT270" t="s">
        <v>2003</v>
      </c>
      <c r="AU270">
        <v>2022</v>
      </c>
      <c r="AV270">
        <v>2</v>
      </c>
      <c r="AW270">
        <v>1</v>
      </c>
      <c r="AX270"/>
      <c r="AY270"/>
      <c r="AZ270"/>
      <c r="BA270"/>
      <c r="BB270"/>
      <c r="BC270"/>
      <c r="BD270">
        <v>30</v>
      </c>
      <c r="BE270" t="s">
        <v>2004</v>
      </c>
      <c r="BF270" t="str">
        <f>HYPERLINK("http://dx.doi.org/10.1038/s42949-022-00076-8","http://dx.doi.org/10.1038/s42949-022-00076-8")</f>
        <v>http://dx.doi.org/10.1038/s42949-022-00076-8</v>
      </c>
      <c r="BG270"/>
      <c r="BH270"/>
      <c r="BI270"/>
      <c r="BJ270" t="s">
        <v>2005</v>
      </c>
      <c r="BK270"/>
      <c r="BL270"/>
      <c r="BM270"/>
      <c r="BN270"/>
      <c r="BO270"/>
      <c r="BP270"/>
      <c r="BQ270"/>
      <c r="BR270"/>
      <c r="BS270"/>
      <c r="BT270" t="str">
        <f>HYPERLINK("https%3A%2F%2Fwww.webofscience.com%2Fwos%2Fwoscc%2Ffull-record%2F","View Full Record in Web of Science")</f>
        <v>View Full Record in Web of Science</v>
      </c>
    </row>
    <row r="271" spans="1:72" customHeight="1" ht="12.75">
      <c r="A271" t="s">
        <v>72</v>
      </c>
      <c r="B271" t="s">
        <v>2006</v>
      </c>
      <c r="C271"/>
      <c r="D271"/>
      <c r="E271"/>
      <c r="F271" t="s">
        <v>2006</v>
      </c>
      <c r="G271"/>
      <c r="H271"/>
      <c r="I271" t="s">
        <v>2007</v>
      </c>
      <c r="J271" t="s">
        <v>722</v>
      </c>
      <c r="K271"/>
      <c r="L271"/>
      <c r="M271"/>
      <c r="N271" t="s">
        <v>112</v>
      </c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>
        <v>0.0</v>
      </c>
      <c r="AI271">
        <v>0.0</v>
      </c>
      <c r="AJ271"/>
      <c r="AK271"/>
      <c r="AL271"/>
      <c r="AM271"/>
      <c r="AN271"/>
      <c r="AO271" t="s">
        <v>725</v>
      </c>
      <c r="AP271"/>
      <c r="AQ271"/>
      <c r="AR271"/>
      <c r="AS271"/>
      <c r="AT271" t="s">
        <v>92</v>
      </c>
      <c r="AU271">
        <v>1994</v>
      </c>
      <c r="AV271">
        <v>23</v>
      </c>
      <c r="AW271">
        <v>7</v>
      </c>
      <c r="AX271"/>
      <c r="AY271"/>
      <c r="AZ271"/>
      <c r="BA271"/>
      <c r="BB271">
        <v>451</v>
      </c>
      <c r="BC271">
        <v>454</v>
      </c>
      <c r="BD271"/>
      <c r="BE271"/>
      <c r="BF271"/>
      <c r="BG271"/>
      <c r="BH271"/>
      <c r="BI271"/>
      <c r="BJ271" t="s">
        <v>119</v>
      </c>
      <c r="BK271"/>
      <c r="BL271"/>
      <c r="BM271"/>
      <c r="BN271"/>
      <c r="BO271"/>
      <c r="BP271"/>
      <c r="BQ271"/>
      <c r="BR271"/>
      <c r="BS271"/>
      <c r="BT271" t="str">
        <f>HYPERLINK("https%3A%2F%2Fwww.webofscience.com%2Fwos%2Fwoscc%2Ffull-record%2F","View Full Record in Web of Science")</f>
        <v>View Full Record in Web of Science</v>
      </c>
    </row>
    <row r="272" spans="1:72" customHeight="1" ht="12.75">
      <c r="A272" t="s">
        <v>72</v>
      </c>
      <c r="B272" t="s">
        <v>2008</v>
      </c>
      <c r="C272"/>
      <c r="D272"/>
      <c r="E272"/>
      <c r="F272" t="s">
        <v>2009</v>
      </c>
      <c r="G272"/>
      <c r="H272"/>
      <c r="I272" t="s">
        <v>2010</v>
      </c>
      <c r="J272" t="s">
        <v>697</v>
      </c>
      <c r="K272"/>
      <c r="L272"/>
      <c r="M272"/>
      <c r="N272" t="s">
        <v>325</v>
      </c>
      <c r="O272"/>
      <c r="P272"/>
      <c r="Q272"/>
      <c r="R272"/>
      <c r="S272"/>
      <c r="T272" t="s">
        <v>2011</v>
      </c>
      <c r="U272" t="s">
        <v>2012</v>
      </c>
      <c r="V272"/>
      <c r="W272"/>
      <c r="X272"/>
      <c r="Y272"/>
      <c r="Z272"/>
      <c r="AA272"/>
      <c r="AB272"/>
      <c r="AC272"/>
      <c r="AD272"/>
      <c r="AE272"/>
      <c r="AF272"/>
      <c r="AG272"/>
      <c r="AH272">
        <v>5</v>
      </c>
      <c r="AI272">
        <v>5</v>
      </c>
      <c r="AJ272"/>
      <c r="AK272"/>
      <c r="AL272"/>
      <c r="AM272"/>
      <c r="AN272"/>
      <c r="AO272" t="s">
        <v>699</v>
      </c>
      <c r="AP272" t="s">
        <v>700</v>
      </c>
      <c r="AQ272"/>
      <c r="AR272"/>
      <c r="AS272"/>
      <c r="AT272" t="s">
        <v>2013</v>
      </c>
      <c r="AU272">
        <v>2021</v>
      </c>
      <c r="AV272">
        <v>72</v>
      </c>
      <c r="AW272"/>
      <c r="AX272"/>
      <c r="AY272"/>
      <c r="AZ272"/>
      <c r="BA272"/>
      <c r="BB272"/>
      <c r="BC272"/>
      <c r="BD272">
        <v>102977</v>
      </c>
      <c r="BE272" t="s">
        <v>2014</v>
      </c>
      <c r="BF272" t="str">
        <f>HYPERLINK("http://dx.doi.org/10.1016/j.scs.2021.102977","http://dx.doi.org/10.1016/j.scs.2021.102977")</f>
        <v>http://dx.doi.org/10.1016/j.scs.2021.102977</v>
      </c>
      <c r="BG272"/>
      <c r="BH272" t="s">
        <v>1844</v>
      </c>
      <c r="BI272"/>
      <c r="BJ272" t="s">
        <v>702</v>
      </c>
      <c r="BK272"/>
      <c r="BL272"/>
      <c r="BM272"/>
      <c r="BN272"/>
      <c r="BO272"/>
      <c r="BP272"/>
      <c r="BQ272"/>
      <c r="BR272"/>
      <c r="BS272"/>
      <c r="BT272" t="str">
        <f>HYPERLINK("https%3A%2F%2Fwww.webofscience.com%2Fwos%2Fwoscc%2Ffull-record%2F","View Full Record in Web of Science")</f>
        <v>View Full Record in Web of Science</v>
      </c>
    </row>
    <row r="273" spans="1:72" customHeight="1" ht="12.75">
      <c r="A273" t="s">
        <v>72</v>
      </c>
      <c r="B273" t="s">
        <v>2015</v>
      </c>
      <c r="C273"/>
      <c r="D273"/>
      <c r="E273"/>
      <c r="F273" t="s">
        <v>2016</v>
      </c>
      <c r="G273"/>
      <c r="H273"/>
      <c r="I273" t="s">
        <v>2017</v>
      </c>
      <c r="J273" t="s">
        <v>457</v>
      </c>
      <c r="K273"/>
      <c r="L273"/>
      <c r="M273"/>
      <c r="N273" t="s">
        <v>112</v>
      </c>
      <c r="O273"/>
      <c r="P273"/>
      <c r="Q273"/>
      <c r="R273"/>
      <c r="S273"/>
      <c r="T273" t="s">
        <v>2018</v>
      </c>
      <c r="U273" t="s">
        <v>2019</v>
      </c>
      <c r="V273"/>
      <c r="W273"/>
      <c r="X273"/>
      <c r="Y273"/>
      <c r="Z273"/>
      <c r="AA273"/>
      <c r="AB273"/>
      <c r="AC273"/>
      <c r="AD273"/>
      <c r="AE273"/>
      <c r="AF273"/>
      <c r="AG273"/>
      <c r="AH273">
        <v>3</v>
      </c>
      <c r="AI273">
        <v>3</v>
      </c>
      <c r="AJ273"/>
      <c r="AK273"/>
      <c r="AL273"/>
      <c r="AM273"/>
      <c r="AN273"/>
      <c r="AO273"/>
      <c r="AP273" t="s">
        <v>458</v>
      </c>
      <c r="AQ273"/>
      <c r="AR273"/>
      <c r="AS273"/>
      <c r="AT273" t="s">
        <v>394</v>
      </c>
      <c r="AU273">
        <v>2020</v>
      </c>
      <c r="AV273">
        <v>12</v>
      </c>
      <c r="AW273">
        <v>3</v>
      </c>
      <c r="AX273"/>
      <c r="AY273"/>
      <c r="AZ273"/>
      <c r="BA273"/>
      <c r="BB273"/>
      <c r="BC273"/>
      <c r="BD273">
        <v>802</v>
      </c>
      <c r="BE273" t="s">
        <v>2020</v>
      </c>
      <c r="BF273" t="str">
        <f>HYPERLINK("http://dx.doi.org/10.3390/su12030802","http://dx.doi.org/10.3390/su12030802")</f>
        <v>http://dx.doi.org/10.3390/su12030802</v>
      </c>
      <c r="BG273"/>
      <c r="BH273"/>
      <c r="BI273"/>
      <c r="BJ273" t="s">
        <v>460</v>
      </c>
      <c r="BK273"/>
      <c r="BL273"/>
      <c r="BM273"/>
      <c r="BN273"/>
      <c r="BO273"/>
      <c r="BP273"/>
      <c r="BQ273"/>
      <c r="BR273"/>
      <c r="BS273"/>
      <c r="BT273" t="str">
        <f>HYPERLINK("https%3A%2F%2Fwww.webofscience.com%2Fwos%2Fwoscc%2Ffull-record%2F","View Full Record in Web of Science")</f>
        <v>View Full Record in Web of Science</v>
      </c>
    </row>
    <row r="274" spans="1:72" customHeight="1" ht="12.75">
      <c r="A274" t="s">
        <v>72</v>
      </c>
      <c r="B274" t="s">
        <v>2021</v>
      </c>
      <c r="C274"/>
      <c r="D274"/>
      <c r="E274"/>
      <c r="F274" t="s">
        <v>2022</v>
      </c>
      <c r="G274"/>
      <c r="H274"/>
      <c r="I274" t="s">
        <v>2023</v>
      </c>
      <c r="J274" t="s">
        <v>111</v>
      </c>
      <c r="K274"/>
      <c r="L274"/>
      <c r="M274"/>
      <c r="N274" t="s">
        <v>77</v>
      </c>
      <c r="O274"/>
      <c r="P274"/>
      <c r="Q274"/>
      <c r="R274"/>
      <c r="S274"/>
      <c r="T274" t="s">
        <v>2024</v>
      </c>
      <c r="U274" t="s">
        <v>2025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>
        <v>55</v>
      </c>
      <c r="AI274">
        <v>57</v>
      </c>
      <c r="AJ274"/>
      <c r="AK274"/>
      <c r="AL274"/>
      <c r="AM274"/>
      <c r="AN274"/>
      <c r="AO274" t="s">
        <v>115</v>
      </c>
      <c r="AP274" t="s">
        <v>116</v>
      </c>
      <c r="AQ274"/>
      <c r="AR274"/>
      <c r="AS274"/>
      <c r="AT274" t="s">
        <v>404</v>
      </c>
      <c r="AU274">
        <v>2018</v>
      </c>
      <c r="AV274">
        <v>128</v>
      </c>
      <c r="AW274"/>
      <c r="AX274"/>
      <c r="AY274"/>
      <c r="AZ274"/>
      <c r="BA274"/>
      <c r="BB274">
        <v>360</v>
      </c>
      <c r="BC274">
        <v>372</v>
      </c>
      <c r="BD274"/>
      <c r="BE274" t="s">
        <v>2026</v>
      </c>
      <c r="BF274" t="str">
        <f>HYPERLINK("http://dx.doi.org/10.1016/j.resconrec.2016.07.017","http://dx.doi.org/10.1016/j.resconrec.2016.07.017")</f>
        <v>http://dx.doi.org/10.1016/j.resconrec.2016.07.017</v>
      </c>
      <c r="BG274"/>
      <c r="BH274"/>
      <c r="BI274"/>
      <c r="BJ274" t="s">
        <v>119</v>
      </c>
      <c r="BK274"/>
      <c r="BL274"/>
      <c r="BM274"/>
      <c r="BN274"/>
      <c r="BO274"/>
      <c r="BP274"/>
      <c r="BQ274"/>
      <c r="BR274"/>
      <c r="BS274"/>
      <c r="BT274" t="str">
        <f>HYPERLINK("https%3A%2F%2Fwww.webofscience.com%2Fwos%2Fwoscc%2Ffull-record%2F","View Full Record in Web of Science")</f>
        <v>View Full Record in Web of Science</v>
      </c>
    </row>
    <row r="275" spans="1:72" customHeight="1" ht="12.75">
      <c r="A275" t="s">
        <v>72</v>
      </c>
      <c r="B275" t="s">
        <v>2027</v>
      </c>
      <c r="C275"/>
      <c r="D275"/>
      <c r="E275"/>
      <c r="F275" t="s">
        <v>2028</v>
      </c>
      <c r="G275"/>
      <c r="H275"/>
      <c r="I275" t="s">
        <v>2029</v>
      </c>
      <c r="J275" t="s">
        <v>254</v>
      </c>
      <c r="K275"/>
      <c r="L275"/>
      <c r="M275"/>
      <c r="N275" t="s">
        <v>112</v>
      </c>
      <c r="O275"/>
      <c r="P275"/>
      <c r="Q275"/>
      <c r="R275"/>
      <c r="S275"/>
      <c r="T275" t="s">
        <v>2030</v>
      </c>
      <c r="U275" t="s">
        <v>2031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>
        <v>0.0</v>
      </c>
      <c r="AI275">
        <v>0.0</v>
      </c>
      <c r="AJ275"/>
      <c r="AK275"/>
      <c r="AL275"/>
      <c r="AM275"/>
      <c r="AN275"/>
      <c r="AO275" t="s">
        <v>257</v>
      </c>
      <c r="AP275"/>
      <c r="AQ275"/>
      <c r="AR275"/>
      <c r="AS275"/>
      <c r="AT275"/>
      <c r="AU275">
        <v>2023</v>
      </c>
      <c r="AV275">
        <v>8</v>
      </c>
      <c r="AW275">
        <v>3</v>
      </c>
      <c r="AX275"/>
      <c r="AY275"/>
      <c r="AZ275"/>
      <c r="BA275"/>
      <c r="BB275">
        <v>319</v>
      </c>
      <c r="BC275">
        <v>329</v>
      </c>
      <c r="BD275"/>
      <c r="BE275" t="s">
        <v>2032</v>
      </c>
      <c r="BF275" t="str">
        <f>HYPERLINK("http://dx.doi.org/10.17645/up.v8i3.6757","http://dx.doi.org/10.17645/up.v8i3.6757")</f>
        <v>http://dx.doi.org/10.17645/up.v8i3.6757</v>
      </c>
      <c r="BG275"/>
      <c r="BH275"/>
      <c r="BI275"/>
      <c r="BJ275" t="s">
        <v>243</v>
      </c>
      <c r="BK275"/>
      <c r="BL275"/>
      <c r="BM275"/>
      <c r="BN275"/>
      <c r="BO275"/>
      <c r="BP275"/>
      <c r="BQ275"/>
      <c r="BR275"/>
      <c r="BS275"/>
      <c r="BT275" t="str">
        <f>HYPERLINK("https%3A%2F%2Fwww.webofscience.com%2Fwos%2Fwoscc%2Ffull-record%2F","View Full Record in Web of Science")</f>
        <v>View Full Record in Web of Science</v>
      </c>
    </row>
    <row r="276" spans="1:72" customHeight="1" ht="12.75">
      <c r="A276" t="s">
        <v>72</v>
      </c>
      <c r="B276" t="s">
        <v>2033</v>
      </c>
      <c r="C276"/>
      <c r="D276"/>
      <c r="E276"/>
      <c r="F276" t="s">
        <v>2034</v>
      </c>
      <c r="G276"/>
      <c r="H276"/>
      <c r="I276" t="s">
        <v>2035</v>
      </c>
      <c r="J276" t="s">
        <v>486</v>
      </c>
      <c r="K276"/>
      <c r="L276"/>
      <c r="M276"/>
      <c r="N276" t="s">
        <v>77</v>
      </c>
      <c r="O276"/>
      <c r="P276"/>
      <c r="Q276"/>
      <c r="R276"/>
      <c r="S276"/>
      <c r="T276" t="s">
        <v>2036</v>
      </c>
      <c r="U276" t="s">
        <v>2037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>
        <v>9</v>
      </c>
      <c r="AI276">
        <v>10</v>
      </c>
      <c r="AJ276"/>
      <c r="AK276"/>
      <c r="AL276"/>
      <c r="AM276"/>
      <c r="AN276"/>
      <c r="AO276"/>
      <c r="AP276" t="s">
        <v>489</v>
      </c>
      <c r="AQ276"/>
      <c r="AR276"/>
      <c r="AS276"/>
      <c r="AT276" t="s">
        <v>117</v>
      </c>
      <c r="AU276">
        <v>2022</v>
      </c>
      <c r="AV276">
        <v>19</v>
      </c>
      <c r="AW276">
        <v>9</v>
      </c>
      <c r="AX276"/>
      <c r="AY276"/>
      <c r="AZ276"/>
      <c r="BA276"/>
      <c r="BB276"/>
      <c r="BC276"/>
      <c r="BD276">
        <v>5177</v>
      </c>
      <c r="BE276" t="s">
        <v>2038</v>
      </c>
      <c r="BF276" t="str">
        <f>HYPERLINK("http://dx.doi.org/10.3390/ijerph19095177","http://dx.doi.org/10.3390/ijerph19095177")</f>
        <v>http://dx.doi.org/10.3390/ijerph19095177</v>
      </c>
      <c r="BG276"/>
      <c r="BH276"/>
      <c r="BI276"/>
      <c r="BJ276" t="s">
        <v>492</v>
      </c>
      <c r="BK276"/>
      <c r="BL276"/>
      <c r="BM276"/>
      <c r="BN276"/>
      <c r="BO276"/>
      <c r="BP276"/>
      <c r="BQ276"/>
      <c r="BR276"/>
      <c r="BS276"/>
      <c r="BT276" t="str">
        <f>HYPERLINK("https%3A%2F%2Fwww.webofscience.com%2Fwos%2Fwoscc%2Ffull-record%2F","View Full Record in Web of Science")</f>
        <v>View Full Record in Web of Science</v>
      </c>
    </row>
    <row r="277" spans="1:72" customHeight="1" ht="12.75">
      <c r="A277" t="s">
        <v>72</v>
      </c>
      <c r="B277" t="s">
        <v>1508</v>
      </c>
      <c r="C277"/>
      <c r="D277"/>
      <c r="E277"/>
      <c r="F277" t="s">
        <v>2039</v>
      </c>
      <c r="G277"/>
      <c r="H277"/>
      <c r="I277" t="s">
        <v>2040</v>
      </c>
      <c r="J277" t="s">
        <v>133</v>
      </c>
      <c r="K277"/>
      <c r="L277"/>
      <c r="M277"/>
      <c r="N277" t="s">
        <v>112</v>
      </c>
      <c r="O277"/>
      <c r="P277"/>
      <c r="Q277"/>
      <c r="R277"/>
      <c r="S277"/>
      <c r="T277" t="s">
        <v>2041</v>
      </c>
      <c r="U277" t="s">
        <v>2042</v>
      </c>
      <c r="V277"/>
      <c r="W277"/>
      <c r="X277"/>
      <c r="Y277"/>
      <c r="Z277"/>
      <c r="AA277"/>
      <c r="AB277"/>
      <c r="AC277"/>
      <c r="AD277"/>
      <c r="AE277"/>
      <c r="AF277"/>
      <c r="AG277"/>
      <c r="AH277">
        <v>11</v>
      </c>
      <c r="AI277">
        <v>11</v>
      </c>
      <c r="AJ277"/>
      <c r="AK277"/>
      <c r="AL277"/>
      <c r="AM277"/>
      <c r="AN277"/>
      <c r="AO277" t="s">
        <v>136</v>
      </c>
      <c r="AP277" t="s">
        <v>137</v>
      </c>
      <c r="AQ277"/>
      <c r="AR277"/>
      <c r="AS277"/>
      <c r="AT277" t="s">
        <v>362</v>
      </c>
      <c r="AU277">
        <v>2019</v>
      </c>
      <c r="AV277">
        <v>23</v>
      </c>
      <c r="AW277">
        <v>3</v>
      </c>
      <c r="AX277"/>
      <c r="AY277"/>
      <c r="AZ277"/>
      <c r="BA277"/>
      <c r="BB277">
        <v>674</v>
      </c>
      <c r="BC277">
        <v>685</v>
      </c>
      <c r="BD277"/>
      <c r="BE277" t="s">
        <v>2043</v>
      </c>
      <c r="BF277" t="str">
        <f>HYPERLINK("http://dx.doi.org/10.1111/jiec.12776","http://dx.doi.org/10.1111/jiec.12776")</f>
        <v>http://dx.doi.org/10.1111/jiec.12776</v>
      </c>
      <c r="BG277"/>
      <c r="BH277"/>
      <c r="BI277"/>
      <c r="BJ277" t="s">
        <v>139</v>
      </c>
      <c r="BK277"/>
      <c r="BL277"/>
      <c r="BM277"/>
      <c r="BN277"/>
      <c r="BO277"/>
      <c r="BP277"/>
      <c r="BQ277"/>
      <c r="BR277"/>
      <c r="BS277"/>
      <c r="BT277" t="str">
        <f>HYPERLINK("https%3A%2F%2Fwww.webofscience.com%2Fwos%2Fwoscc%2Ffull-record%2F","View Full Record in Web of Science")</f>
        <v>View Full Record in Web of Science</v>
      </c>
    </row>
    <row r="278" spans="1:72" customHeight="1" ht="12.75">
      <c r="A278" t="s">
        <v>72</v>
      </c>
      <c r="B278" t="s">
        <v>2044</v>
      </c>
      <c r="C278"/>
      <c r="D278"/>
      <c r="E278"/>
      <c r="F278" t="s">
        <v>2045</v>
      </c>
      <c r="G278"/>
      <c r="H278"/>
      <c r="I278" t="s">
        <v>2046</v>
      </c>
      <c r="J278" t="s">
        <v>1899</v>
      </c>
      <c r="K278"/>
      <c r="L278"/>
      <c r="M278"/>
      <c r="N278" t="s">
        <v>112</v>
      </c>
      <c r="O278"/>
      <c r="P278"/>
      <c r="Q278"/>
      <c r="R278"/>
      <c r="S278"/>
      <c r="T278" t="s">
        <v>2047</v>
      </c>
      <c r="U278" t="s">
        <v>947</v>
      </c>
      <c r="V278"/>
      <c r="W278"/>
      <c r="X278"/>
      <c r="Y278"/>
      <c r="Z278"/>
      <c r="AA278"/>
      <c r="AB278"/>
      <c r="AC278"/>
      <c r="AD278"/>
      <c r="AE278"/>
      <c r="AF278"/>
      <c r="AG278"/>
      <c r="AH278">
        <v>25</v>
      </c>
      <c r="AI278">
        <v>25</v>
      </c>
      <c r="AJ278"/>
      <c r="AK278"/>
      <c r="AL278"/>
      <c r="AM278"/>
      <c r="AN278"/>
      <c r="AO278" t="s">
        <v>1902</v>
      </c>
      <c r="AP278" t="s">
        <v>1903</v>
      </c>
      <c r="AQ278"/>
      <c r="AR278"/>
      <c r="AS278"/>
      <c r="AT278" t="s">
        <v>2048</v>
      </c>
      <c r="AU278">
        <v>2015</v>
      </c>
      <c r="AV278">
        <v>109</v>
      </c>
      <c r="AW278"/>
      <c r="AX278"/>
      <c r="AY278"/>
      <c r="AZ278"/>
      <c r="BA278"/>
      <c r="BB278">
        <v>334</v>
      </c>
      <c r="BC278">
        <v>352</v>
      </c>
      <c r="BD278"/>
      <c r="BE278" t="s">
        <v>2049</v>
      </c>
      <c r="BF278" t="str">
        <f>HYPERLINK("http://dx.doi.org/10.1016/j.enbuild.2015.09.058","http://dx.doi.org/10.1016/j.enbuild.2015.09.058")</f>
        <v>http://dx.doi.org/10.1016/j.enbuild.2015.09.058</v>
      </c>
      <c r="BG278"/>
      <c r="BH278"/>
      <c r="BI278"/>
      <c r="BJ278" t="s">
        <v>1905</v>
      </c>
      <c r="BK278"/>
      <c r="BL278"/>
      <c r="BM278"/>
      <c r="BN278"/>
      <c r="BO278"/>
      <c r="BP278"/>
      <c r="BQ278"/>
      <c r="BR278"/>
      <c r="BS278"/>
      <c r="BT278" t="str">
        <f>HYPERLINK("https%3A%2F%2Fwww.webofscience.com%2Fwos%2Fwoscc%2Ffull-record%2F","View Full Record in Web of Science")</f>
        <v>View Full Record in Web of Science</v>
      </c>
    </row>
    <row r="279" spans="1:72" customHeight="1" ht="12.75">
      <c r="A279" t="s">
        <v>72</v>
      </c>
      <c r="B279" t="s">
        <v>2050</v>
      </c>
      <c r="C279"/>
      <c r="D279"/>
      <c r="E279"/>
      <c r="F279" t="s">
        <v>2051</v>
      </c>
      <c r="G279"/>
      <c r="H279"/>
      <c r="I279" t="s">
        <v>2052</v>
      </c>
      <c r="J279" t="s">
        <v>133</v>
      </c>
      <c r="K279"/>
      <c r="L279"/>
      <c r="M279"/>
      <c r="N279" t="s">
        <v>325</v>
      </c>
      <c r="O279"/>
      <c r="P279"/>
      <c r="Q279"/>
      <c r="R279"/>
      <c r="S279"/>
      <c r="T279" t="s">
        <v>2053</v>
      </c>
      <c r="U279" t="s">
        <v>2054</v>
      </c>
      <c r="V279"/>
      <c r="W279"/>
      <c r="X279"/>
      <c r="Y279"/>
      <c r="Z279"/>
      <c r="AA279"/>
      <c r="AB279"/>
      <c r="AC279"/>
      <c r="AD279"/>
      <c r="AE279"/>
      <c r="AF279"/>
      <c r="AG279"/>
      <c r="AH279">
        <v>23</v>
      </c>
      <c r="AI279">
        <v>24</v>
      </c>
      <c r="AJ279"/>
      <c r="AK279"/>
      <c r="AL279"/>
      <c r="AM279"/>
      <c r="AN279"/>
      <c r="AO279" t="s">
        <v>136</v>
      </c>
      <c r="AP279" t="s">
        <v>137</v>
      </c>
      <c r="AQ279"/>
      <c r="AR279"/>
      <c r="AS279"/>
      <c r="AT279" t="s">
        <v>1028</v>
      </c>
      <c r="AU279">
        <v>2021</v>
      </c>
      <c r="AV279">
        <v>25</v>
      </c>
      <c r="AW279">
        <v>1</v>
      </c>
      <c r="AX279"/>
      <c r="AY279"/>
      <c r="AZ279"/>
      <c r="BA279"/>
      <c r="BB279">
        <v>193</v>
      </c>
      <c r="BC279">
        <v>204</v>
      </c>
      <c r="BD279"/>
      <c r="BE279" t="s">
        <v>2055</v>
      </c>
      <c r="BF279" t="str">
        <f>HYPERLINK("http://dx.doi.org/10.1111/jiec.13043","http://dx.doi.org/10.1111/jiec.13043")</f>
        <v>http://dx.doi.org/10.1111/jiec.13043</v>
      </c>
      <c r="BG279"/>
      <c r="BH279" t="s">
        <v>2056</v>
      </c>
      <c r="BI279"/>
      <c r="BJ279" t="s">
        <v>139</v>
      </c>
      <c r="BK279"/>
      <c r="BL279"/>
      <c r="BM279"/>
      <c r="BN279"/>
      <c r="BO279"/>
      <c r="BP279"/>
      <c r="BQ279"/>
      <c r="BR279"/>
      <c r="BS279"/>
      <c r="BT279" t="str">
        <f>HYPERLINK("https%3A%2F%2Fwww.webofscience.com%2Fwos%2Fwoscc%2Ffull-record%2F","View Full Record in Web of Science")</f>
        <v>View Full Record in Web of Science</v>
      </c>
    </row>
    <row r="280" spans="1:72" customHeight="1" ht="12.75">
      <c r="A280" t="s">
        <v>72</v>
      </c>
      <c r="B280" t="s">
        <v>2057</v>
      </c>
      <c r="C280"/>
      <c r="D280"/>
      <c r="E280"/>
      <c r="F280" t="s">
        <v>2058</v>
      </c>
      <c r="G280"/>
      <c r="H280"/>
      <c r="I280" t="s">
        <v>2059</v>
      </c>
      <c r="J280" t="s">
        <v>87</v>
      </c>
      <c r="K280"/>
      <c r="L280"/>
      <c r="M280"/>
      <c r="N280" t="s">
        <v>112</v>
      </c>
      <c r="O280"/>
      <c r="P280"/>
      <c r="Q280"/>
      <c r="R280"/>
      <c r="S280"/>
      <c r="T280" t="s">
        <v>2060</v>
      </c>
      <c r="U280" t="s">
        <v>2061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>
        <v>19</v>
      </c>
      <c r="AI280">
        <v>19</v>
      </c>
      <c r="AJ280"/>
      <c r="AK280"/>
      <c r="AL280"/>
      <c r="AM280"/>
      <c r="AN280"/>
      <c r="AO280" t="s">
        <v>90</v>
      </c>
      <c r="AP280" t="s">
        <v>91</v>
      </c>
      <c r="AQ280"/>
      <c r="AR280"/>
      <c r="AS280"/>
      <c r="AT280" t="s">
        <v>404</v>
      </c>
      <c r="AU280">
        <v>2020</v>
      </c>
      <c r="AV280">
        <v>108</v>
      </c>
      <c r="AW280"/>
      <c r="AX280"/>
      <c r="AY280"/>
      <c r="AZ280"/>
      <c r="BA280"/>
      <c r="BB280"/>
      <c r="BC280"/>
      <c r="BD280">
        <v>105750</v>
      </c>
      <c r="BE280" t="s">
        <v>2062</v>
      </c>
      <c r="BF280" t="str">
        <f>HYPERLINK("http://dx.doi.org/10.1016/j.ecolind.2019.105750","http://dx.doi.org/10.1016/j.ecolind.2019.105750")</f>
        <v>http://dx.doi.org/10.1016/j.ecolind.2019.105750</v>
      </c>
      <c r="BG280"/>
      <c r="BH280"/>
      <c r="BI280"/>
      <c r="BJ280" t="s">
        <v>94</v>
      </c>
      <c r="BK280"/>
      <c r="BL280"/>
      <c r="BM280"/>
      <c r="BN280"/>
      <c r="BO280"/>
      <c r="BP280"/>
      <c r="BQ280"/>
      <c r="BR280"/>
      <c r="BS280"/>
      <c r="BT280" t="str">
        <f>HYPERLINK("https%3A%2F%2Fwww.webofscience.com%2Fwos%2Fwoscc%2Ffull-record%2F","View Full Record in Web of Science")</f>
        <v>View Full Record in Web of Science</v>
      </c>
    </row>
    <row r="281" spans="1:72" customHeight="1" ht="12.75">
      <c r="A281" t="s">
        <v>72</v>
      </c>
      <c r="B281" t="s">
        <v>2063</v>
      </c>
      <c r="C281"/>
      <c r="D281"/>
      <c r="E281"/>
      <c r="F281" t="s">
        <v>2064</v>
      </c>
      <c r="G281"/>
      <c r="H281"/>
      <c r="I281" t="s">
        <v>2065</v>
      </c>
      <c r="J281" t="s">
        <v>2066</v>
      </c>
      <c r="K281"/>
      <c r="L281"/>
      <c r="M281"/>
      <c r="N281" t="s">
        <v>112</v>
      </c>
      <c r="O281"/>
      <c r="P281"/>
      <c r="Q281"/>
      <c r="R281"/>
      <c r="S281"/>
      <c r="T281" t="s">
        <v>2067</v>
      </c>
      <c r="U281" t="s">
        <v>1500</v>
      </c>
      <c r="V281"/>
      <c r="W281"/>
      <c r="X281"/>
      <c r="Y281"/>
      <c r="Z281"/>
      <c r="AA281"/>
      <c r="AB281"/>
      <c r="AC281"/>
      <c r="AD281"/>
      <c r="AE281"/>
      <c r="AF281"/>
      <c r="AG281"/>
      <c r="AH281">
        <v>2</v>
      </c>
      <c r="AI281">
        <v>2</v>
      </c>
      <c r="AJ281"/>
      <c r="AK281"/>
      <c r="AL281"/>
      <c r="AM281"/>
      <c r="AN281"/>
      <c r="AO281"/>
      <c r="AP281" t="s">
        <v>2068</v>
      </c>
      <c r="AQ281"/>
      <c r="AR281"/>
      <c r="AS281"/>
      <c r="AT281" t="s">
        <v>128</v>
      </c>
      <c r="AU281">
        <v>2021</v>
      </c>
      <c r="AV281">
        <v>6</v>
      </c>
      <c r="AW281">
        <v>4</v>
      </c>
      <c r="AX281"/>
      <c r="AY281"/>
      <c r="AZ281"/>
      <c r="BA281"/>
      <c r="BB281"/>
      <c r="BC281"/>
      <c r="BD281">
        <v>64</v>
      </c>
      <c r="BE281" t="s">
        <v>2069</v>
      </c>
      <c r="BF281" t="str">
        <f>HYPERLINK("http://dx.doi.org/10.3390/biomimetics6040064","http://dx.doi.org/10.3390/biomimetics6040064")</f>
        <v>http://dx.doi.org/10.3390/biomimetics6040064</v>
      </c>
      <c r="BG281"/>
      <c r="BH281"/>
      <c r="BI281"/>
      <c r="BJ281" t="s">
        <v>2070</v>
      </c>
      <c r="BK281"/>
      <c r="BL281"/>
      <c r="BM281"/>
      <c r="BN281"/>
      <c r="BO281"/>
      <c r="BP281"/>
      <c r="BQ281"/>
      <c r="BR281"/>
      <c r="BS281"/>
      <c r="BT281" t="str">
        <f>HYPERLINK("https%3A%2F%2Fwww.webofscience.com%2Fwos%2Fwoscc%2Ffull-record%2F","View Full Record in Web of Science")</f>
        <v>View Full Record in Web of Science</v>
      </c>
    </row>
    <row r="282" spans="1:72" customHeight="1" ht="12.75">
      <c r="A282" t="s">
        <v>72</v>
      </c>
      <c r="B282" t="s">
        <v>2071</v>
      </c>
      <c r="C282"/>
      <c r="D282"/>
      <c r="E282"/>
      <c r="F282" t="s">
        <v>2072</v>
      </c>
      <c r="G282"/>
      <c r="H282"/>
      <c r="I282" t="s">
        <v>2073</v>
      </c>
      <c r="J282" t="s">
        <v>2074</v>
      </c>
      <c r="K282"/>
      <c r="L282"/>
      <c r="M282"/>
      <c r="N282" t="s">
        <v>112</v>
      </c>
      <c r="O282"/>
      <c r="P282"/>
      <c r="Q282"/>
      <c r="R282"/>
      <c r="S282"/>
      <c r="T282" t="s">
        <v>2075</v>
      </c>
      <c r="U282" t="s">
        <v>2076</v>
      </c>
      <c r="V282"/>
      <c r="W282"/>
      <c r="X282"/>
      <c r="Y282"/>
      <c r="Z282"/>
      <c r="AA282"/>
      <c r="AB282"/>
      <c r="AC282"/>
      <c r="AD282"/>
      <c r="AE282"/>
      <c r="AF282"/>
      <c r="AG282"/>
      <c r="AH282">
        <v>262</v>
      </c>
      <c r="AI282">
        <v>290</v>
      </c>
      <c r="AJ282"/>
      <c r="AK282"/>
      <c r="AL282"/>
      <c r="AM282"/>
      <c r="AN282"/>
      <c r="AO282" t="s">
        <v>2077</v>
      </c>
      <c r="AP282" t="s">
        <v>2078</v>
      </c>
      <c r="AQ282"/>
      <c r="AR282"/>
      <c r="AS282"/>
      <c r="AT282" t="s">
        <v>2079</v>
      </c>
      <c r="AU282">
        <v>2015</v>
      </c>
      <c r="AV282">
        <v>112</v>
      </c>
      <c r="AW282">
        <v>19</v>
      </c>
      <c r="AX282"/>
      <c r="AY282"/>
      <c r="AZ282"/>
      <c r="BA282"/>
      <c r="BB282">
        <v>5985</v>
      </c>
      <c r="BC282">
        <v>5990</v>
      </c>
      <c r="BD282"/>
      <c r="BE282" t="s">
        <v>2080</v>
      </c>
      <c r="BF282" t="str">
        <f>HYPERLINK("http://dx.doi.org/10.1073/pnas.1504315112","http://dx.doi.org/10.1073/pnas.1504315112")</f>
        <v>http://dx.doi.org/10.1073/pnas.1504315112</v>
      </c>
      <c r="BG282"/>
      <c r="BH282"/>
      <c r="BI282"/>
      <c r="BJ282" t="s">
        <v>1579</v>
      </c>
      <c r="BK282"/>
      <c r="BL282"/>
      <c r="BM282"/>
      <c r="BN282"/>
      <c r="BO282"/>
      <c r="BP282"/>
      <c r="BQ282"/>
      <c r="BR282"/>
      <c r="BS282"/>
      <c r="BT282" t="str">
        <f>HYPERLINK("https%3A%2F%2Fwww.webofscience.com%2Fwos%2Fwoscc%2Ffull-record%2F","View Full Record in Web of Science")</f>
        <v>View Full Record in Web of Science</v>
      </c>
    </row>
    <row r="283" spans="1:72" customHeight="1" ht="12.75">
      <c r="A283" t="s">
        <v>72</v>
      </c>
      <c r="B283" t="s">
        <v>2081</v>
      </c>
      <c r="C283"/>
      <c r="D283"/>
      <c r="E283"/>
      <c r="F283" t="s">
        <v>2082</v>
      </c>
      <c r="G283"/>
      <c r="H283"/>
      <c r="I283" t="s">
        <v>2083</v>
      </c>
      <c r="J283" t="s">
        <v>2084</v>
      </c>
      <c r="K283"/>
      <c r="L283"/>
      <c r="M283"/>
      <c r="N283" t="s">
        <v>325</v>
      </c>
      <c r="O283"/>
      <c r="P283"/>
      <c r="Q283"/>
      <c r="R283"/>
      <c r="S283"/>
      <c r="T283" t="s">
        <v>2085</v>
      </c>
      <c r="U283" t="s">
        <v>2086</v>
      </c>
      <c r="V283"/>
      <c r="W283"/>
      <c r="X283"/>
      <c r="Y283"/>
      <c r="Z283"/>
      <c r="AA283"/>
      <c r="AB283"/>
      <c r="AC283"/>
      <c r="AD283"/>
      <c r="AE283"/>
      <c r="AF283"/>
      <c r="AG283"/>
      <c r="AH283">
        <v>0.0</v>
      </c>
      <c r="AI283">
        <v>0.0</v>
      </c>
      <c r="AJ283"/>
      <c r="AK283"/>
      <c r="AL283"/>
      <c r="AM283"/>
      <c r="AN283"/>
      <c r="AO283" t="s">
        <v>2087</v>
      </c>
      <c r="AP283" t="s">
        <v>2088</v>
      </c>
      <c r="AQ283"/>
      <c r="AR283"/>
      <c r="AS283"/>
      <c r="AT283" t="s">
        <v>2089</v>
      </c>
      <c r="AU283">
        <v>2023</v>
      </c>
      <c r="AV283"/>
      <c r="AW283"/>
      <c r="AX283"/>
      <c r="AY283"/>
      <c r="AZ283"/>
      <c r="BA283"/>
      <c r="BB283"/>
      <c r="BC283"/>
      <c r="BD283"/>
      <c r="BE283" t="s">
        <v>2090</v>
      </c>
      <c r="BF283" t="str">
        <f>HYPERLINK("http://dx.doi.org/10.1007/s10668-023-03671-6","http://dx.doi.org/10.1007/s10668-023-03671-6")</f>
        <v>http://dx.doi.org/10.1007/s10668-023-03671-6</v>
      </c>
      <c r="BG283"/>
      <c r="BH283" t="s">
        <v>1645</v>
      </c>
      <c r="BI283"/>
      <c r="BJ283" t="s">
        <v>654</v>
      </c>
      <c r="BK283"/>
      <c r="BL283"/>
      <c r="BM283"/>
      <c r="BN283"/>
      <c r="BO283"/>
      <c r="BP283"/>
      <c r="BQ283"/>
      <c r="BR283"/>
      <c r="BS283"/>
      <c r="BT283" t="str">
        <f>HYPERLINK("https%3A%2F%2Fwww.webofscience.com%2Fwos%2Fwoscc%2Ffull-record%2F","View Full Record in Web of Science")</f>
        <v>View Full Record in Web of Science</v>
      </c>
    </row>
    <row r="284" spans="1:72" customHeight="1" ht="12.75">
      <c r="A284" t="s">
        <v>72</v>
      </c>
      <c r="B284" t="s">
        <v>2091</v>
      </c>
      <c r="C284"/>
      <c r="D284"/>
      <c r="E284"/>
      <c r="F284" t="s">
        <v>2092</v>
      </c>
      <c r="G284"/>
      <c r="H284"/>
      <c r="I284" t="s">
        <v>2093</v>
      </c>
      <c r="J284" t="s">
        <v>587</v>
      </c>
      <c r="K284"/>
      <c r="L284"/>
      <c r="M284"/>
      <c r="N284" t="s">
        <v>112</v>
      </c>
      <c r="O284"/>
      <c r="P284"/>
      <c r="Q284"/>
      <c r="R284"/>
      <c r="S284"/>
      <c r="T284" t="s">
        <v>2094</v>
      </c>
      <c r="U284" t="s">
        <v>619</v>
      </c>
      <c r="V284"/>
      <c r="W284"/>
      <c r="X284"/>
      <c r="Y284"/>
      <c r="Z284"/>
      <c r="AA284"/>
      <c r="AB284"/>
      <c r="AC284"/>
      <c r="AD284"/>
      <c r="AE284"/>
      <c r="AF284"/>
      <c r="AG284"/>
      <c r="AH284">
        <v>23</v>
      </c>
      <c r="AI284">
        <v>28</v>
      </c>
      <c r="AJ284"/>
      <c r="AK284"/>
      <c r="AL284"/>
      <c r="AM284"/>
      <c r="AN284"/>
      <c r="AO284" t="s">
        <v>590</v>
      </c>
      <c r="AP284" t="s">
        <v>591</v>
      </c>
      <c r="AQ284"/>
      <c r="AR284"/>
      <c r="AS284"/>
      <c r="AT284" t="s">
        <v>2095</v>
      </c>
      <c r="AU284">
        <v>2020</v>
      </c>
      <c r="AV284">
        <v>257</v>
      </c>
      <c r="AW284"/>
      <c r="AX284"/>
      <c r="AY284"/>
      <c r="AZ284"/>
      <c r="BA284"/>
      <c r="BB284"/>
      <c r="BC284"/>
      <c r="BD284">
        <v>120564</v>
      </c>
      <c r="BE284" t="s">
        <v>2096</v>
      </c>
      <c r="BF284" t="str">
        <f>HYPERLINK("http://dx.doi.org/10.1016/j.jclepro.2020.120564","http://dx.doi.org/10.1016/j.jclepro.2020.120564")</f>
        <v>http://dx.doi.org/10.1016/j.jclepro.2020.120564</v>
      </c>
      <c r="BG284"/>
      <c r="BH284"/>
      <c r="BI284"/>
      <c r="BJ284" t="s">
        <v>139</v>
      </c>
      <c r="BK284"/>
      <c r="BL284"/>
      <c r="BM284"/>
      <c r="BN284"/>
      <c r="BO284"/>
      <c r="BP284"/>
      <c r="BQ284"/>
      <c r="BR284"/>
      <c r="BS284"/>
      <c r="BT284" t="str">
        <f>HYPERLINK("https%3A%2F%2Fwww.webofscience.com%2Fwos%2Fwoscc%2Ffull-record%2F","View Full Record in Web of Science")</f>
        <v>View Full Record in Web of Science</v>
      </c>
    </row>
    <row r="285" spans="1:72" customHeight="1" ht="12.75">
      <c r="A285" t="s">
        <v>72</v>
      </c>
      <c r="B285" t="s">
        <v>2097</v>
      </c>
      <c r="C285"/>
      <c r="D285"/>
      <c r="E285"/>
      <c r="F285" t="s">
        <v>2098</v>
      </c>
      <c r="G285"/>
      <c r="H285"/>
      <c r="I285" t="s">
        <v>2099</v>
      </c>
      <c r="J285" t="s">
        <v>697</v>
      </c>
      <c r="K285"/>
      <c r="L285"/>
      <c r="M285"/>
      <c r="N285" t="s">
        <v>112</v>
      </c>
      <c r="O285"/>
      <c r="P285"/>
      <c r="Q285"/>
      <c r="R285"/>
      <c r="S285"/>
      <c r="T285" t="s">
        <v>2100</v>
      </c>
      <c r="U285" t="s">
        <v>2101</v>
      </c>
      <c r="V285"/>
      <c r="W285"/>
      <c r="X285"/>
      <c r="Y285"/>
      <c r="Z285"/>
      <c r="AA285"/>
      <c r="AB285"/>
      <c r="AC285"/>
      <c r="AD285"/>
      <c r="AE285"/>
      <c r="AF285"/>
      <c r="AG285"/>
      <c r="AH285">
        <v>13</v>
      </c>
      <c r="AI285">
        <v>13</v>
      </c>
      <c r="AJ285"/>
      <c r="AK285"/>
      <c r="AL285"/>
      <c r="AM285"/>
      <c r="AN285"/>
      <c r="AO285" t="s">
        <v>699</v>
      </c>
      <c r="AP285" t="s">
        <v>700</v>
      </c>
      <c r="AQ285"/>
      <c r="AR285"/>
      <c r="AS285"/>
      <c r="AT285" t="s">
        <v>385</v>
      </c>
      <c r="AU285">
        <v>2019</v>
      </c>
      <c r="AV285">
        <v>48</v>
      </c>
      <c r="AW285"/>
      <c r="AX285"/>
      <c r="AY285"/>
      <c r="AZ285"/>
      <c r="BA285"/>
      <c r="BB285"/>
      <c r="BC285"/>
      <c r="BD285">
        <v>101565</v>
      </c>
      <c r="BE285" t="s">
        <v>2102</v>
      </c>
      <c r="BF285" t="str">
        <f>HYPERLINK("http://dx.doi.org/10.1016/j.scs.2019.101565","http://dx.doi.org/10.1016/j.scs.2019.101565")</f>
        <v>http://dx.doi.org/10.1016/j.scs.2019.101565</v>
      </c>
      <c r="BG285"/>
      <c r="BH285"/>
      <c r="BI285"/>
      <c r="BJ285" t="s">
        <v>702</v>
      </c>
      <c r="BK285"/>
      <c r="BL285"/>
      <c r="BM285"/>
      <c r="BN285"/>
      <c r="BO285"/>
      <c r="BP285"/>
      <c r="BQ285"/>
      <c r="BR285"/>
      <c r="BS285"/>
      <c r="BT285" t="str">
        <f>HYPERLINK("https%3A%2F%2Fwww.webofscience.com%2Fwos%2Fwoscc%2Ffull-record%2F","View Full Record in Web of Science")</f>
        <v>View Full Record in Web of Science</v>
      </c>
    </row>
    <row r="286" spans="1:72" customHeight="1" ht="12.75">
      <c r="A286" t="s">
        <v>72</v>
      </c>
      <c r="B286" t="s">
        <v>2103</v>
      </c>
      <c r="C286"/>
      <c r="D286"/>
      <c r="E286"/>
      <c r="F286" t="s">
        <v>2104</v>
      </c>
      <c r="G286"/>
      <c r="H286"/>
      <c r="I286" t="s">
        <v>2105</v>
      </c>
      <c r="J286" t="s">
        <v>2106</v>
      </c>
      <c r="K286"/>
      <c r="L286"/>
      <c r="M286"/>
      <c r="N286" t="s">
        <v>325</v>
      </c>
      <c r="O286"/>
      <c r="P286"/>
      <c r="Q286"/>
      <c r="R286"/>
      <c r="S286"/>
      <c r="T286" t="s">
        <v>2107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>
        <v>1</v>
      </c>
      <c r="AI286">
        <v>1</v>
      </c>
      <c r="AJ286"/>
      <c r="AK286"/>
      <c r="AL286"/>
      <c r="AM286"/>
      <c r="AN286"/>
      <c r="AO286" t="s">
        <v>2108</v>
      </c>
      <c r="AP286"/>
      <c r="AQ286"/>
      <c r="AR286"/>
      <c r="AS286"/>
      <c r="AT286" t="s">
        <v>2109</v>
      </c>
      <c r="AU286">
        <v>2021</v>
      </c>
      <c r="AV286">
        <v>9</v>
      </c>
      <c r="AW286"/>
      <c r="AX286"/>
      <c r="AY286"/>
      <c r="AZ286"/>
      <c r="BA286"/>
      <c r="BB286"/>
      <c r="BC286"/>
      <c r="BD286">
        <v>100055</v>
      </c>
      <c r="BE286" t="s">
        <v>2110</v>
      </c>
      <c r="BF286" t="str">
        <f>HYPERLINK("http://dx.doi.org/10.1016/j.cacint.2020.100055","http://dx.doi.org/10.1016/j.cacint.2020.100055")</f>
        <v>http://dx.doi.org/10.1016/j.cacint.2020.100055</v>
      </c>
      <c r="BG286"/>
      <c r="BH286" t="s">
        <v>2111</v>
      </c>
      <c r="BI286"/>
      <c r="BJ286" t="s">
        <v>2112</v>
      </c>
      <c r="BK286"/>
      <c r="BL286"/>
      <c r="BM286"/>
      <c r="BN286"/>
      <c r="BO286"/>
      <c r="BP286"/>
      <c r="BQ286"/>
      <c r="BR286"/>
      <c r="BS286"/>
      <c r="BT286" t="str">
        <f>HYPERLINK("https%3A%2F%2Fwww.webofscience.com%2Fwos%2Fwoscc%2Ffull-record%2F","View Full Record in Web of Science")</f>
        <v>View Full Record in Web of Science</v>
      </c>
    </row>
    <row r="287" spans="1:72" customHeight="1" ht="12.75">
      <c r="A287" t="s">
        <v>72</v>
      </c>
      <c r="B287" t="s">
        <v>2113</v>
      </c>
      <c r="C287"/>
      <c r="D287"/>
      <c r="E287"/>
      <c r="F287" t="s">
        <v>2114</v>
      </c>
      <c r="G287"/>
      <c r="H287"/>
      <c r="I287" t="s">
        <v>2115</v>
      </c>
      <c r="J287" t="s">
        <v>457</v>
      </c>
      <c r="K287"/>
      <c r="L287"/>
      <c r="M287"/>
      <c r="N287" t="s">
        <v>112</v>
      </c>
      <c r="O287"/>
      <c r="P287"/>
      <c r="Q287"/>
      <c r="R287"/>
      <c r="S287"/>
      <c r="T287" t="s">
        <v>2116</v>
      </c>
      <c r="U287" t="s">
        <v>2117</v>
      </c>
      <c r="V287"/>
      <c r="W287"/>
      <c r="X287"/>
      <c r="Y287"/>
      <c r="Z287"/>
      <c r="AA287"/>
      <c r="AB287"/>
      <c r="AC287"/>
      <c r="AD287"/>
      <c r="AE287"/>
      <c r="AF287"/>
      <c r="AG287"/>
      <c r="AH287">
        <v>17</v>
      </c>
      <c r="AI287">
        <v>17</v>
      </c>
      <c r="AJ287"/>
      <c r="AK287"/>
      <c r="AL287"/>
      <c r="AM287"/>
      <c r="AN287"/>
      <c r="AO287"/>
      <c r="AP287" t="s">
        <v>458</v>
      </c>
      <c r="AQ287"/>
      <c r="AR287"/>
      <c r="AS287"/>
      <c r="AT287" t="s">
        <v>352</v>
      </c>
      <c r="AU287">
        <v>2019</v>
      </c>
      <c r="AV287">
        <v>11</v>
      </c>
      <c r="AW287">
        <v>18</v>
      </c>
      <c r="AX287"/>
      <c r="AY287"/>
      <c r="AZ287"/>
      <c r="BA287"/>
      <c r="BB287"/>
      <c r="BC287"/>
      <c r="BD287">
        <v>4875</v>
      </c>
      <c r="BE287" t="s">
        <v>2118</v>
      </c>
      <c r="BF287" t="str">
        <f>HYPERLINK("http://dx.doi.org/10.3390/su11184875","http://dx.doi.org/10.3390/su11184875")</f>
        <v>http://dx.doi.org/10.3390/su11184875</v>
      </c>
      <c r="BG287"/>
      <c r="BH287"/>
      <c r="BI287"/>
      <c r="BJ287" t="s">
        <v>460</v>
      </c>
      <c r="BK287"/>
      <c r="BL287"/>
      <c r="BM287"/>
      <c r="BN287"/>
      <c r="BO287"/>
      <c r="BP287"/>
      <c r="BQ287"/>
      <c r="BR287"/>
      <c r="BS287"/>
      <c r="BT287" t="str">
        <f>HYPERLINK("https%3A%2F%2Fwww.webofscience.com%2Fwos%2Fwoscc%2Ffull-record%2F","View Full Record in Web of Science")</f>
        <v>View Full Record in Web of Science</v>
      </c>
    </row>
    <row r="288" spans="1:72" customHeight="1" ht="12.75">
      <c r="A288" t="s">
        <v>72</v>
      </c>
      <c r="B288" t="s">
        <v>2119</v>
      </c>
      <c r="C288"/>
      <c r="D288"/>
      <c r="E288"/>
      <c r="F288" t="s">
        <v>2120</v>
      </c>
      <c r="G288"/>
      <c r="H288"/>
      <c r="I288" t="s">
        <v>2121</v>
      </c>
      <c r="J288" t="s">
        <v>133</v>
      </c>
      <c r="K288"/>
      <c r="L288"/>
      <c r="M288"/>
      <c r="N288" t="s">
        <v>112</v>
      </c>
      <c r="O288"/>
      <c r="P288"/>
      <c r="Q288"/>
      <c r="R288"/>
      <c r="S288"/>
      <c r="T288" t="s">
        <v>2122</v>
      </c>
      <c r="U288" t="s">
        <v>2123</v>
      </c>
      <c r="V288"/>
      <c r="W288"/>
      <c r="X288"/>
      <c r="Y288"/>
      <c r="Z288"/>
      <c r="AA288"/>
      <c r="AB288"/>
      <c r="AC288"/>
      <c r="AD288"/>
      <c r="AE288"/>
      <c r="AF288"/>
      <c r="AG288"/>
      <c r="AH288">
        <v>38</v>
      </c>
      <c r="AI288">
        <v>43</v>
      </c>
      <c r="AJ288"/>
      <c r="AK288"/>
      <c r="AL288"/>
      <c r="AM288"/>
      <c r="AN288"/>
      <c r="AO288" t="s">
        <v>136</v>
      </c>
      <c r="AP288"/>
      <c r="AQ288"/>
      <c r="AR288"/>
      <c r="AS288"/>
      <c r="AT288" t="s">
        <v>394</v>
      </c>
      <c r="AU288">
        <v>2009</v>
      </c>
      <c r="AV288">
        <v>13</v>
      </c>
      <c r="AW288">
        <v>1</v>
      </c>
      <c r="AX288"/>
      <c r="AY288"/>
      <c r="AZ288"/>
      <c r="BA288"/>
      <c r="BB288">
        <v>75</v>
      </c>
      <c r="BC288">
        <v>93</v>
      </c>
      <c r="BD288"/>
      <c r="BE288" t="s">
        <v>2124</v>
      </c>
      <c r="BF288" t="str">
        <f>HYPERLINK("http://dx.doi.org/10.1111/j.1530-9290.2008.00103.x","http://dx.doi.org/10.1111/j.1530-9290.2008.00103.x")</f>
        <v>http://dx.doi.org/10.1111/j.1530-9290.2008.00103.x</v>
      </c>
      <c r="BG288"/>
      <c r="BH288"/>
      <c r="BI288"/>
      <c r="BJ288" t="s">
        <v>139</v>
      </c>
      <c r="BK288"/>
      <c r="BL288"/>
      <c r="BM288"/>
      <c r="BN288"/>
      <c r="BO288"/>
      <c r="BP288"/>
      <c r="BQ288"/>
      <c r="BR288"/>
      <c r="BS288"/>
      <c r="BT288" t="str">
        <f>HYPERLINK("https%3A%2F%2Fwww.webofscience.com%2Fwos%2Fwoscc%2Ffull-record%2F","View Full Record in Web of Science")</f>
        <v>View Full Record in Web of Science</v>
      </c>
    </row>
    <row r="289" spans="1:72" customHeight="1" ht="12.75">
      <c r="A289" t="s">
        <v>72</v>
      </c>
      <c r="B289" t="s">
        <v>2125</v>
      </c>
      <c r="C289"/>
      <c r="D289"/>
      <c r="E289"/>
      <c r="F289" t="s">
        <v>2126</v>
      </c>
      <c r="G289"/>
      <c r="H289"/>
      <c r="I289" t="s">
        <v>2127</v>
      </c>
      <c r="J289" t="s">
        <v>448</v>
      </c>
      <c r="K289"/>
      <c r="L289"/>
      <c r="M289"/>
      <c r="N289" t="s">
        <v>112</v>
      </c>
      <c r="O289"/>
      <c r="P289"/>
      <c r="Q289"/>
      <c r="R289"/>
      <c r="S289"/>
      <c r="T289" t="s">
        <v>2128</v>
      </c>
      <c r="U289" t="s">
        <v>2129</v>
      </c>
      <c r="V289"/>
      <c r="W289"/>
      <c r="X289"/>
      <c r="Y289"/>
      <c r="Z289"/>
      <c r="AA289"/>
      <c r="AB289"/>
      <c r="AC289"/>
      <c r="AD289"/>
      <c r="AE289"/>
      <c r="AF289"/>
      <c r="AG289"/>
      <c r="AH289">
        <v>1</v>
      </c>
      <c r="AI289">
        <v>1</v>
      </c>
      <c r="AJ289"/>
      <c r="AK289"/>
      <c r="AL289"/>
      <c r="AM289"/>
      <c r="AN289"/>
      <c r="AO289" t="s">
        <v>451</v>
      </c>
      <c r="AP289"/>
      <c r="AQ289"/>
      <c r="AR289"/>
      <c r="AS289"/>
      <c r="AT289" t="s">
        <v>2130</v>
      </c>
      <c r="AU289">
        <v>2022</v>
      </c>
      <c r="AV289">
        <v>17</v>
      </c>
      <c r="AW289">
        <v>9</v>
      </c>
      <c r="AX289"/>
      <c r="AY289"/>
      <c r="AZ289"/>
      <c r="BA289"/>
      <c r="BB289"/>
      <c r="BC289"/>
      <c r="BD289">
        <v>94025</v>
      </c>
      <c r="BE289" t="s">
        <v>2131</v>
      </c>
      <c r="BF289" t="str">
        <f>HYPERLINK("http://dx.doi.org/10.1088/1748-9326/ac881e","http://dx.doi.org/10.1088/1748-9326/ac881e")</f>
        <v>http://dx.doi.org/10.1088/1748-9326/ac881e</v>
      </c>
      <c r="BG289"/>
      <c r="BH289"/>
      <c r="BI289"/>
      <c r="BJ289" t="s">
        <v>453</v>
      </c>
      <c r="BK289"/>
      <c r="BL289"/>
      <c r="BM289"/>
      <c r="BN289"/>
      <c r="BO289"/>
      <c r="BP289"/>
      <c r="BQ289"/>
      <c r="BR289"/>
      <c r="BS289"/>
      <c r="BT289" t="str">
        <f>HYPERLINK("https%3A%2F%2Fwww.webofscience.com%2Fwos%2Fwoscc%2Ffull-record%2F","View Full Record in Web of Science")</f>
        <v>View Full Record in Web of Science</v>
      </c>
    </row>
    <row r="290" spans="1:72" customHeight="1" ht="12.75">
      <c r="A290" t="s">
        <v>72</v>
      </c>
      <c r="B290" t="s">
        <v>2132</v>
      </c>
      <c r="C290"/>
      <c r="D290"/>
      <c r="E290"/>
      <c r="F290" t="s">
        <v>2133</v>
      </c>
      <c r="G290"/>
      <c r="H290"/>
      <c r="I290" t="s">
        <v>2134</v>
      </c>
      <c r="J290" t="s">
        <v>2135</v>
      </c>
      <c r="K290"/>
      <c r="L290"/>
      <c r="M290"/>
      <c r="N290" t="s">
        <v>2136</v>
      </c>
      <c r="O290"/>
      <c r="P290"/>
      <c r="Q290"/>
      <c r="R290"/>
      <c r="S290"/>
      <c r="T290" t="s">
        <v>2137</v>
      </c>
      <c r="U290" t="s">
        <v>2138</v>
      </c>
      <c r="V290"/>
      <c r="W290"/>
      <c r="X290"/>
      <c r="Y290"/>
      <c r="Z290"/>
      <c r="AA290"/>
      <c r="AB290"/>
      <c r="AC290"/>
      <c r="AD290"/>
      <c r="AE290"/>
      <c r="AF290"/>
      <c r="AG290"/>
      <c r="AH290">
        <v>3</v>
      </c>
      <c r="AI290">
        <v>5</v>
      </c>
      <c r="AJ290"/>
      <c r="AK290"/>
      <c r="AL290"/>
      <c r="AM290"/>
      <c r="AN290"/>
      <c r="AO290"/>
      <c r="AP290" t="s">
        <v>2139</v>
      </c>
      <c r="AQ290"/>
      <c r="AR290"/>
      <c r="AS290"/>
      <c r="AT290" t="s">
        <v>394</v>
      </c>
      <c r="AU290">
        <v>2020</v>
      </c>
      <c r="AV290">
        <v>12</v>
      </c>
      <c r="AW290">
        <v>3</v>
      </c>
      <c r="AX290"/>
      <c r="AY290"/>
      <c r="AZ290"/>
      <c r="BA290"/>
      <c r="BB290"/>
      <c r="BC290"/>
      <c r="BD290">
        <v>370</v>
      </c>
      <c r="BE290" t="s">
        <v>2140</v>
      </c>
      <c r="BF290" t="str">
        <f>HYPERLINK("http://dx.doi.org/10.3390/rs12030370","http://dx.doi.org/10.3390/rs12030370")</f>
        <v>http://dx.doi.org/10.3390/rs12030370</v>
      </c>
      <c r="BG290"/>
      <c r="BH290"/>
      <c r="BI290"/>
      <c r="BJ290" t="s">
        <v>2141</v>
      </c>
      <c r="BK290"/>
      <c r="BL290"/>
      <c r="BM290"/>
      <c r="BN290"/>
      <c r="BO290"/>
      <c r="BP290"/>
      <c r="BQ290"/>
      <c r="BR290"/>
      <c r="BS290"/>
      <c r="BT290" t="str">
        <f>HYPERLINK("https%3A%2F%2Fwww.webofscience.com%2Fwos%2Fwoscc%2Ffull-record%2F","View Full Record in Web of Science")</f>
        <v>View Full Record in Web of Science</v>
      </c>
    </row>
    <row r="291" spans="1:72" customHeight="1" ht="12.75">
      <c r="A291" t="s">
        <v>72</v>
      </c>
      <c r="B291" t="s">
        <v>2142</v>
      </c>
      <c r="C291"/>
      <c r="D291"/>
      <c r="E291"/>
      <c r="F291" t="s">
        <v>2143</v>
      </c>
      <c r="G291"/>
      <c r="H291"/>
      <c r="I291" t="s">
        <v>2144</v>
      </c>
      <c r="J291" t="s">
        <v>2145</v>
      </c>
      <c r="K291"/>
      <c r="L291"/>
      <c r="M291"/>
      <c r="N291" t="s">
        <v>112</v>
      </c>
      <c r="O291"/>
      <c r="P291"/>
      <c r="Q291"/>
      <c r="R291"/>
      <c r="S291"/>
      <c r="T291" t="s">
        <v>2146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>
        <v>0.0</v>
      </c>
      <c r="AI291">
        <v>0.0</v>
      </c>
      <c r="AJ291"/>
      <c r="AK291"/>
      <c r="AL291"/>
      <c r="AM291"/>
      <c r="AN291"/>
      <c r="AO291" t="s">
        <v>2147</v>
      </c>
      <c r="AP291" t="s">
        <v>2148</v>
      </c>
      <c r="AQ291"/>
      <c r="AR291"/>
      <c r="AS291"/>
      <c r="AT291" t="s">
        <v>2149</v>
      </c>
      <c r="AU291">
        <v>2023</v>
      </c>
      <c r="AV291">
        <v>44</v>
      </c>
      <c r="AW291">
        <v>1</v>
      </c>
      <c r="AX291"/>
      <c r="AY291"/>
      <c r="AZ291"/>
      <c r="BA291"/>
      <c r="BB291">
        <v>179</v>
      </c>
      <c r="BC291">
        <v>192</v>
      </c>
      <c r="BD291"/>
      <c r="BE291"/>
      <c r="BF291"/>
      <c r="BG291"/>
      <c r="BH291"/>
      <c r="BI291"/>
      <c r="BJ291" t="s">
        <v>2150</v>
      </c>
      <c r="BK291"/>
      <c r="BL291"/>
      <c r="BM291"/>
      <c r="BN291"/>
      <c r="BO291"/>
      <c r="BP291"/>
      <c r="BQ291"/>
      <c r="BR291"/>
      <c r="BS291"/>
      <c r="BT291" t="str">
        <f>HYPERLINK("https%3A%2F%2Fwww.webofscience.com%2Fwos%2Fwoscc%2Ffull-record%2F","View Full Record in Web of Science")</f>
        <v>View Full Record in Web of Science</v>
      </c>
    </row>
    <row r="292" spans="1:72" customHeight="1" ht="12.75">
      <c r="A292" t="s">
        <v>72</v>
      </c>
      <c r="B292" t="s">
        <v>2151</v>
      </c>
      <c r="C292"/>
      <c r="D292"/>
      <c r="E292"/>
      <c r="F292" t="s">
        <v>2152</v>
      </c>
      <c r="G292"/>
      <c r="H292"/>
      <c r="I292" t="s">
        <v>2153</v>
      </c>
      <c r="J292" t="s">
        <v>133</v>
      </c>
      <c r="K292"/>
      <c r="L292"/>
      <c r="M292"/>
      <c r="N292" t="s">
        <v>112</v>
      </c>
      <c r="O292"/>
      <c r="P292"/>
      <c r="Q292"/>
      <c r="R292"/>
      <c r="S292"/>
      <c r="T292" t="s">
        <v>2154</v>
      </c>
      <c r="U292" t="s">
        <v>2155</v>
      </c>
      <c r="V292"/>
      <c r="W292"/>
      <c r="X292"/>
      <c r="Y292"/>
      <c r="Z292"/>
      <c r="AA292"/>
      <c r="AB292"/>
      <c r="AC292"/>
      <c r="AD292"/>
      <c r="AE292"/>
      <c r="AF292"/>
      <c r="AG292"/>
      <c r="AH292">
        <v>64</v>
      </c>
      <c r="AI292">
        <v>73</v>
      </c>
      <c r="AJ292"/>
      <c r="AK292"/>
      <c r="AL292"/>
      <c r="AM292"/>
      <c r="AN292"/>
      <c r="AO292" t="s">
        <v>136</v>
      </c>
      <c r="AP292" t="s">
        <v>137</v>
      </c>
      <c r="AQ292"/>
      <c r="AR292"/>
      <c r="AS292"/>
      <c r="AT292" t="s">
        <v>198</v>
      </c>
      <c r="AU292">
        <v>2011</v>
      </c>
      <c r="AV292">
        <v>15</v>
      </c>
      <c r="AW292">
        <v>5</v>
      </c>
      <c r="AX292"/>
      <c r="AY292"/>
      <c r="AZ292"/>
      <c r="BA292"/>
      <c r="BB292">
        <v>693</v>
      </c>
      <c r="BC292">
        <v>706</v>
      </c>
      <c r="BD292"/>
      <c r="BE292" t="s">
        <v>2156</v>
      </c>
      <c r="BF292" t="str">
        <f>HYPERLINK("http://dx.doi.org/10.1111/j.1530-9290.2011.00357.x","http://dx.doi.org/10.1111/j.1530-9290.2011.00357.x")</f>
        <v>http://dx.doi.org/10.1111/j.1530-9290.2011.00357.x</v>
      </c>
      <c r="BG292"/>
      <c r="BH292"/>
      <c r="BI292"/>
      <c r="BJ292" t="s">
        <v>139</v>
      </c>
      <c r="BK292"/>
      <c r="BL292"/>
      <c r="BM292"/>
      <c r="BN292"/>
      <c r="BO292"/>
      <c r="BP292"/>
      <c r="BQ292"/>
      <c r="BR292"/>
      <c r="BS292"/>
      <c r="BT292" t="str">
        <f>HYPERLINK("https%3A%2F%2Fwww.webofscience.com%2Fwos%2Fwoscc%2Ffull-record%2F","View Full Record in Web of Science")</f>
        <v>View Full Record in Web of Science</v>
      </c>
    </row>
    <row r="293" spans="1:72" customHeight="1" ht="12.75">
      <c r="A293" t="s">
        <v>72</v>
      </c>
      <c r="B293" t="s">
        <v>2157</v>
      </c>
      <c r="C293"/>
      <c r="D293"/>
      <c r="E293"/>
      <c r="F293" t="s">
        <v>2158</v>
      </c>
      <c r="G293"/>
      <c r="H293"/>
      <c r="I293" t="s">
        <v>2159</v>
      </c>
      <c r="J293" t="s">
        <v>587</v>
      </c>
      <c r="K293"/>
      <c r="L293"/>
      <c r="M293"/>
      <c r="N293" t="s">
        <v>112</v>
      </c>
      <c r="O293"/>
      <c r="P293"/>
      <c r="Q293"/>
      <c r="R293"/>
      <c r="S293"/>
      <c r="T293" t="s">
        <v>2160</v>
      </c>
      <c r="U293" t="s">
        <v>2161</v>
      </c>
      <c r="V293"/>
      <c r="W293"/>
      <c r="X293"/>
      <c r="Y293"/>
      <c r="Z293"/>
      <c r="AA293"/>
      <c r="AB293"/>
      <c r="AC293"/>
      <c r="AD293"/>
      <c r="AE293"/>
      <c r="AF293"/>
      <c r="AG293"/>
      <c r="AH293">
        <v>101</v>
      </c>
      <c r="AI293">
        <v>117</v>
      </c>
      <c r="AJ293"/>
      <c r="AK293"/>
      <c r="AL293"/>
      <c r="AM293"/>
      <c r="AN293"/>
      <c r="AO293" t="s">
        <v>590</v>
      </c>
      <c r="AP293" t="s">
        <v>591</v>
      </c>
      <c r="AQ293"/>
      <c r="AR293"/>
      <c r="AS293"/>
      <c r="AT293" t="s">
        <v>2162</v>
      </c>
      <c r="AU293">
        <v>2016</v>
      </c>
      <c r="AV293">
        <v>112</v>
      </c>
      <c r="AW293"/>
      <c r="AX293">
        <v>5</v>
      </c>
      <c r="AY293"/>
      <c r="AZ293"/>
      <c r="BA293"/>
      <c r="BB293">
        <v>4304</v>
      </c>
      <c r="BC293">
        <v>4317</v>
      </c>
      <c r="BD293"/>
      <c r="BE293" t="s">
        <v>2163</v>
      </c>
      <c r="BF293" t="str">
        <f>HYPERLINK("http://dx.doi.org/10.1016/j.jclepro.2015.06.052","http://dx.doi.org/10.1016/j.jclepro.2015.06.052")</f>
        <v>http://dx.doi.org/10.1016/j.jclepro.2015.06.052</v>
      </c>
      <c r="BG293"/>
      <c r="BH293"/>
      <c r="BI293"/>
      <c r="BJ293" t="s">
        <v>139</v>
      </c>
      <c r="BK293"/>
      <c r="BL293"/>
      <c r="BM293"/>
      <c r="BN293"/>
      <c r="BO293"/>
      <c r="BP293"/>
      <c r="BQ293"/>
      <c r="BR293"/>
      <c r="BS293"/>
      <c r="BT293" t="str">
        <f>HYPERLINK("https%3A%2F%2Fwww.webofscience.com%2Fwos%2Fwoscc%2Ffull-record%2F","View Full Record in Web of Science")</f>
        <v>View Full Record in Web of Science</v>
      </c>
    </row>
    <row r="294" spans="1:72" customHeight="1" ht="12.75">
      <c r="A294" t="s">
        <v>72</v>
      </c>
      <c r="B294" t="s">
        <v>2164</v>
      </c>
      <c r="C294"/>
      <c r="D294"/>
      <c r="E294"/>
      <c r="F294" t="s">
        <v>2165</v>
      </c>
      <c r="G294"/>
      <c r="H294"/>
      <c r="I294" t="s">
        <v>2166</v>
      </c>
      <c r="J294" t="s">
        <v>587</v>
      </c>
      <c r="K294"/>
      <c r="L294"/>
      <c r="M294"/>
      <c r="N294" t="s">
        <v>112</v>
      </c>
      <c r="O294"/>
      <c r="P294"/>
      <c r="Q294"/>
      <c r="R294"/>
      <c r="S294"/>
      <c r="T294" t="s">
        <v>2167</v>
      </c>
      <c r="U294" t="s">
        <v>2168</v>
      </c>
      <c r="V294"/>
      <c r="W294"/>
      <c r="X294"/>
      <c r="Y294"/>
      <c r="Z294"/>
      <c r="AA294"/>
      <c r="AB294"/>
      <c r="AC294"/>
      <c r="AD294"/>
      <c r="AE294"/>
      <c r="AF294"/>
      <c r="AG294"/>
      <c r="AH294">
        <v>29</v>
      </c>
      <c r="AI294">
        <v>32</v>
      </c>
      <c r="AJ294"/>
      <c r="AK294"/>
      <c r="AL294"/>
      <c r="AM294"/>
      <c r="AN294"/>
      <c r="AO294" t="s">
        <v>590</v>
      </c>
      <c r="AP294" t="s">
        <v>591</v>
      </c>
      <c r="AQ294"/>
      <c r="AR294"/>
      <c r="AS294"/>
      <c r="AT294" t="s">
        <v>2169</v>
      </c>
      <c r="AU294">
        <v>2020</v>
      </c>
      <c r="AV294">
        <v>273</v>
      </c>
      <c r="AW294"/>
      <c r="AX294"/>
      <c r="AY294"/>
      <c r="AZ294"/>
      <c r="BA294"/>
      <c r="BB294"/>
      <c r="BC294"/>
      <c r="BD294">
        <v>123010</v>
      </c>
      <c r="BE294" t="s">
        <v>2170</v>
      </c>
      <c r="BF294" t="str">
        <f>HYPERLINK("http://dx.doi.org/10.1016/j.jclepro.2020.123010","http://dx.doi.org/10.1016/j.jclepro.2020.123010")</f>
        <v>http://dx.doi.org/10.1016/j.jclepro.2020.123010</v>
      </c>
      <c r="BG294"/>
      <c r="BH294"/>
      <c r="BI294"/>
      <c r="BJ294" t="s">
        <v>139</v>
      </c>
      <c r="BK294"/>
      <c r="BL294"/>
      <c r="BM294"/>
      <c r="BN294"/>
      <c r="BO294"/>
      <c r="BP294"/>
      <c r="BQ294"/>
      <c r="BR294"/>
      <c r="BS294"/>
      <c r="BT294" t="str">
        <f>HYPERLINK("https%3A%2F%2Fwww.webofscience.com%2Fwos%2Fwoscc%2Ffull-record%2F","View Full Record in Web of Science")</f>
        <v>View Full Record in Web of Science</v>
      </c>
    </row>
    <row r="295" spans="1:72" customHeight="1" ht="12.75">
      <c r="A295" t="s">
        <v>72</v>
      </c>
      <c r="B295" t="s">
        <v>1433</v>
      </c>
      <c r="C295"/>
      <c r="D295"/>
      <c r="E295"/>
      <c r="F295" t="s">
        <v>1434</v>
      </c>
      <c r="G295"/>
      <c r="H295"/>
      <c r="I295" t="s">
        <v>2171</v>
      </c>
      <c r="J295" t="s">
        <v>1299</v>
      </c>
      <c r="K295"/>
      <c r="L295"/>
      <c r="M295"/>
      <c r="N295" t="s">
        <v>112</v>
      </c>
      <c r="O295"/>
      <c r="P295"/>
      <c r="Q295"/>
      <c r="R295"/>
      <c r="S295"/>
      <c r="T295"/>
      <c r="U295" t="s">
        <v>2172</v>
      </c>
      <c r="V295"/>
      <c r="W295"/>
      <c r="X295"/>
      <c r="Y295"/>
      <c r="Z295"/>
      <c r="AA295"/>
      <c r="AB295"/>
      <c r="AC295"/>
      <c r="AD295"/>
      <c r="AE295"/>
      <c r="AF295"/>
      <c r="AG295"/>
      <c r="AH295">
        <v>51</v>
      </c>
      <c r="AI295">
        <v>51</v>
      </c>
      <c r="AJ295"/>
      <c r="AK295"/>
      <c r="AL295"/>
      <c r="AM295"/>
      <c r="AN295"/>
      <c r="AO295" t="s">
        <v>1301</v>
      </c>
      <c r="AP295" t="s">
        <v>1302</v>
      </c>
      <c r="AQ295"/>
      <c r="AR295"/>
      <c r="AS295"/>
      <c r="AT295" t="s">
        <v>2173</v>
      </c>
      <c r="AU295">
        <v>2017</v>
      </c>
      <c r="AV295">
        <v>51</v>
      </c>
      <c r="AW295">
        <v>13</v>
      </c>
      <c r="AX295"/>
      <c r="AY295"/>
      <c r="AZ295"/>
      <c r="BA295"/>
      <c r="BB295">
        <v>7560</v>
      </c>
      <c r="BC295">
        <v>7571</v>
      </c>
      <c r="BD295"/>
      <c r="BE295" t="s">
        <v>2174</v>
      </c>
      <c r="BF295" t="str">
        <f>HYPERLINK("http://dx.doi.org/10.1021/acs.est.7b01694","http://dx.doi.org/10.1021/acs.est.7b01694")</f>
        <v>http://dx.doi.org/10.1021/acs.est.7b01694</v>
      </c>
      <c r="BG295"/>
      <c r="BH295"/>
      <c r="BI295"/>
      <c r="BJ295" t="s">
        <v>119</v>
      </c>
      <c r="BK295"/>
      <c r="BL295"/>
      <c r="BM295"/>
      <c r="BN295"/>
      <c r="BO295"/>
      <c r="BP295"/>
      <c r="BQ295"/>
      <c r="BR295"/>
      <c r="BS295"/>
      <c r="BT295" t="str">
        <f>HYPERLINK("https%3A%2F%2Fwww.webofscience.com%2Fwos%2Fwoscc%2Ffull-record%2F","View Full Record in Web of Science")</f>
        <v>View Full Record in Web of Science</v>
      </c>
    </row>
    <row r="296" spans="1:72" customHeight="1" ht="12.75">
      <c r="A296" t="s">
        <v>72</v>
      </c>
      <c r="B296" t="s">
        <v>2175</v>
      </c>
      <c r="C296"/>
      <c r="D296"/>
      <c r="E296"/>
      <c r="F296" t="s">
        <v>2176</v>
      </c>
      <c r="G296"/>
      <c r="H296"/>
      <c r="I296" t="s">
        <v>2177</v>
      </c>
      <c r="J296" t="s">
        <v>457</v>
      </c>
      <c r="K296"/>
      <c r="L296"/>
      <c r="M296"/>
      <c r="N296" t="s">
        <v>112</v>
      </c>
      <c r="O296"/>
      <c r="P296"/>
      <c r="Q296"/>
      <c r="R296"/>
      <c r="S296"/>
      <c r="T296" t="s">
        <v>2178</v>
      </c>
      <c r="U296" t="s">
        <v>2179</v>
      </c>
      <c r="V296"/>
      <c r="W296"/>
      <c r="X296"/>
      <c r="Y296"/>
      <c r="Z296"/>
      <c r="AA296"/>
      <c r="AB296"/>
      <c r="AC296"/>
      <c r="AD296"/>
      <c r="AE296"/>
      <c r="AF296"/>
      <c r="AG296"/>
      <c r="AH296">
        <v>5</v>
      </c>
      <c r="AI296">
        <v>5</v>
      </c>
      <c r="AJ296"/>
      <c r="AK296"/>
      <c r="AL296"/>
      <c r="AM296"/>
      <c r="AN296"/>
      <c r="AO296"/>
      <c r="AP296" t="s">
        <v>458</v>
      </c>
      <c r="AQ296"/>
      <c r="AR296"/>
      <c r="AS296"/>
      <c r="AT296" t="s">
        <v>92</v>
      </c>
      <c r="AU296">
        <v>2019</v>
      </c>
      <c r="AV296">
        <v>11</v>
      </c>
      <c r="AW296">
        <v>22</v>
      </c>
      <c r="AX296"/>
      <c r="AY296"/>
      <c r="AZ296"/>
      <c r="BA296"/>
      <c r="BB296"/>
      <c r="BC296"/>
      <c r="BD296">
        <v>6294</v>
      </c>
      <c r="BE296" t="s">
        <v>2180</v>
      </c>
      <c r="BF296" t="str">
        <f>HYPERLINK("http://dx.doi.org/10.3390/su11226294","http://dx.doi.org/10.3390/su11226294")</f>
        <v>http://dx.doi.org/10.3390/su11226294</v>
      </c>
      <c r="BG296"/>
      <c r="BH296"/>
      <c r="BI296"/>
      <c r="BJ296" t="s">
        <v>460</v>
      </c>
      <c r="BK296"/>
      <c r="BL296"/>
      <c r="BM296"/>
      <c r="BN296"/>
      <c r="BO296"/>
      <c r="BP296"/>
      <c r="BQ296"/>
      <c r="BR296"/>
      <c r="BS296"/>
      <c r="BT296" t="str">
        <f>HYPERLINK("https%3A%2F%2Fwww.webofscience.com%2Fwos%2Fwoscc%2Ffull-record%2F","View Full Record in Web of Science")</f>
        <v>View Full Record in Web of Science</v>
      </c>
    </row>
    <row r="297" spans="1:72" customHeight="1" ht="12.75">
      <c r="A297" t="s">
        <v>72</v>
      </c>
      <c r="B297" t="s">
        <v>2181</v>
      </c>
      <c r="C297"/>
      <c r="D297"/>
      <c r="E297"/>
      <c r="F297" t="s">
        <v>2182</v>
      </c>
      <c r="G297"/>
      <c r="H297"/>
      <c r="I297" t="s">
        <v>2183</v>
      </c>
      <c r="J297" t="s">
        <v>409</v>
      </c>
      <c r="K297"/>
      <c r="L297"/>
      <c r="M297"/>
      <c r="N297" t="s">
        <v>112</v>
      </c>
      <c r="O297"/>
      <c r="P297"/>
      <c r="Q297"/>
      <c r="R297"/>
      <c r="S297"/>
      <c r="T297" t="s">
        <v>2184</v>
      </c>
      <c r="U297" t="s">
        <v>2185</v>
      </c>
      <c r="V297"/>
      <c r="W297"/>
      <c r="X297"/>
      <c r="Y297"/>
      <c r="Z297"/>
      <c r="AA297"/>
      <c r="AB297"/>
      <c r="AC297"/>
      <c r="AD297"/>
      <c r="AE297"/>
      <c r="AF297"/>
      <c r="AG297"/>
      <c r="AH297">
        <v>71</v>
      </c>
      <c r="AI297">
        <v>83</v>
      </c>
      <c r="AJ297"/>
      <c r="AK297"/>
      <c r="AL297"/>
      <c r="AM297"/>
      <c r="AN297"/>
      <c r="AO297" t="s">
        <v>1080</v>
      </c>
      <c r="AP297" t="s">
        <v>1081</v>
      </c>
      <c r="AQ297"/>
      <c r="AR297"/>
      <c r="AS297"/>
      <c r="AT297" t="s">
        <v>128</v>
      </c>
      <c r="AU297">
        <v>2012</v>
      </c>
      <c r="AV297">
        <v>29</v>
      </c>
      <c r="AW297"/>
      <c r="AX297"/>
      <c r="AY297">
        <v>2</v>
      </c>
      <c r="AZ297" t="s">
        <v>222</v>
      </c>
      <c r="BA297"/>
      <c r="BB297" t="s">
        <v>2186</v>
      </c>
      <c r="BC297" t="s">
        <v>2187</v>
      </c>
      <c r="BD297"/>
      <c r="BE297" t="s">
        <v>2188</v>
      </c>
      <c r="BF297" t="str">
        <f>HYPERLINK("http://dx.doi.org/10.1016/j.cities.2012.06.009","http://dx.doi.org/10.1016/j.cities.2012.06.009")</f>
        <v>http://dx.doi.org/10.1016/j.cities.2012.06.009</v>
      </c>
      <c r="BG297"/>
      <c r="BH297"/>
      <c r="BI297"/>
      <c r="BJ297" t="s">
        <v>243</v>
      </c>
      <c r="BK297"/>
      <c r="BL297"/>
      <c r="BM297"/>
      <c r="BN297"/>
      <c r="BO297"/>
      <c r="BP297"/>
      <c r="BQ297"/>
      <c r="BR297"/>
      <c r="BS297"/>
      <c r="BT297" t="str">
        <f>HYPERLINK("https%3A%2F%2Fwww.webofscience.com%2Fwos%2Fwoscc%2Ffull-record%2F","View Full Record in Web of Science")</f>
        <v>View Full Record in Web of Science</v>
      </c>
    </row>
    <row r="298" spans="1:72" customHeight="1" ht="12.75">
      <c r="A298" t="s">
        <v>72</v>
      </c>
      <c r="B298" t="s">
        <v>2189</v>
      </c>
      <c r="C298"/>
      <c r="D298"/>
      <c r="E298"/>
      <c r="F298" t="s">
        <v>2190</v>
      </c>
      <c r="G298"/>
      <c r="H298"/>
      <c r="I298" t="s">
        <v>2191</v>
      </c>
      <c r="J298" t="s">
        <v>510</v>
      </c>
      <c r="K298"/>
      <c r="L298"/>
      <c r="M298"/>
      <c r="N298" t="s">
        <v>325</v>
      </c>
      <c r="O298"/>
      <c r="P298"/>
      <c r="Q298"/>
      <c r="R298"/>
      <c r="S298"/>
      <c r="T298"/>
      <c r="U298" t="s">
        <v>2192</v>
      </c>
      <c r="V298"/>
      <c r="W298"/>
      <c r="X298"/>
      <c r="Y298"/>
      <c r="Z298"/>
      <c r="AA298"/>
      <c r="AB298"/>
      <c r="AC298"/>
      <c r="AD298"/>
      <c r="AE298"/>
      <c r="AF298"/>
      <c r="AG298"/>
      <c r="AH298">
        <v>3</v>
      </c>
      <c r="AI298">
        <v>3</v>
      </c>
      <c r="AJ298"/>
      <c r="AK298"/>
      <c r="AL298"/>
      <c r="AM298"/>
      <c r="AN298"/>
      <c r="AO298" t="s">
        <v>511</v>
      </c>
      <c r="AP298" t="s">
        <v>512</v>
      </c>
      <c r="AQ298"/>
      <c r="AR298"/>
      <c r="AS298"/>
      <c r="AT298" t="s">
        <v>2193</v>
      </c>
      <c r="AU298">
        <v>2022</v>
      </c>
      <c r="AV298">
        <v>473</v>
      </c>
      <c r="AW298"/>
      <c r="AX298"/>
      <c r="AY298"/>
      <c r="AZ298"/>
      <c r="BA298"/>
      <c r="BB298"/>
      <c r="BC298"/>
      <c r="BD298">
        <v>110010</v>
      </c>
      <c r="BE298" t="s">
        <v>2194</v>
      </c>
      <c r="BF298" t="str">
        <f>HYPERLINK("http://dx.doi.org/10.1016/j.ecolmodel.2022.110010","http://dx.doi.org/10.1016/j.ecolmodel.2022.110010")</f>
        <v>http://dx.doi.org/10.1016/j.ecolmodel.2022.110010</v>
      </c>
      <c r="BG298"/>
      <c r="BH298" t="s">
        <v>2195</v>
      </c>
      <c r="BI298"/>
      <c r="BJ298" t="s">
        <v>181</v>
      </c>
      <c r="BK298"/>
      <c r="BL298"/>
      <c r="BM298"/>
      <c r="BN298"/>
      <c r="BO298"/>
      <c r="BP298"/>
      <c r="BQ298"/>
      <c r="BR298"/>
      <c r="BS298"/>
      <c r="BT298" t="str">
        <f>HYPERLINK("https%3A%2F%2Fwww.webofscience.com%2Fwos%2Fwoscc%2Ffull-record%2F","View Full Record in Web of Science")</f>
        <v>View Full Record in Web of Science</v>
      </c>
    </row>
    <row r="299" spans="1:72" customHeight="1" ht="12.75">
      <c r="A299" t="s">
        <v>72</v>
      </c>
      <c r="B299" t="s">
        <v>2196</v>
      </c>
      <c r="C299"/>
      <c r="D299"/>
      <c r="E299"/>
      <c r="F299" t="s">
        <v>2197</v>
      </c>
      <c r="G299"/>
      <c r="H299"/>
      <c r="I299" t="s">
        <v>2198</v>
      </c>
      <c r="J299" t="s">
        <v>2199</v>
      </c>
      <c r="K299"/>
      <c r="L299"/>
      <c r="M299"/>
      <c r="N299" t="s">
        <v>112</v>
      </c>
      <c r="O299"/>
      <c r="P299"/>
      <c r="Q299"/>
      <c r="R299"/>
      <c r="S299"/>
      <c r="T299" t="s">
        <v>2200</v>
      </c>
      <c r="U299" t="s">
        <v>2201</v>
      </c>
      <c r="V299"/>
      <c r="W299"/>
      <c r="X299"/>
      <c r="Y299"/>
      <c r="Z299"/>
      <c r="AA299"/>
      <c r="AB299"/>
      <c r="AC299"/>
      <c r="AD299"/>
      <c r="AE299"/>
      <c r="AF299"/>
      <c r="AG299"/>
      <c r="AH299">
        <v>1</v>
      </c>
      <c r="AI299">
        <v>1</v>
      </c>
      <c r="AJ299"/>
      <c r="AK299"/>
      <c r="AL299"/>
      <c r="AM299"/>
      <c r="AN299"/>
      <c r="AO299"/>
      <c r="AP299" t="s">
        <v>2202</v>
      </c>
      <c r="AQ299"/>
      <c r="AR299"/>
      <c r="AS299"/>
      <c r="AT299" t="s">
        <v>145</v>
      </c>
      <c r="AU299">
        <v>2020</v>
      </c>
      <c r="AV299">
        <v>8</v>
      </c>
      <c r="AW299">
        <v>4</v>
      </c>
      <c r="AX299"/>
      <c r="AY299"/>
      <c r="AZ299"/>
      <c r="BA299"/>
      <c r="BB299"/>
      <c r="BC299"/>
      <c r="BD299">
        <v>52</v>
      </c>
      <c r="BE299" t="s">
        <v>2203</v>
      </c>
      <c r="BF299" t="str">
        <f>HYPERLINK("http://dx.doi.org/10.3390/cli8040052","http://dx.doi.org/10.3390/cli8040052")</f>
        <v>http://dx.doi.org/10.3390/cli8040052</v>
      </c>
      <c r="BG299"/>
      <c r="BH299"/>
      <c r="BI299"/>
      <c r="BJ299" t="s">
        <v>2204</v>
      </c>
      <c r="BK299"/>
      <c r="BL299"/>
      <c r="BM299"/>
      <c r="BN299"/>
      <c r="BO299"/>
      <c r="BP299"/>
      <c r="BQ299"/>
      <c r="BR299"/>
      <c r="BS299"/>
      <c r="BT299" t="str">
        <f>HYPERLINK("https%3A%2F%2Fwww.webofscience.com%2Fwos%2Fwoscc%2Ffull-record%2F","View Full Record in Web of Science")</f>
        <v>View Full Record in Web of Science</v>
      </c>
    </row>
    <row r="300" spans="1:72" customHeight="1" ht="12.75">
      <c r="A300" t="s">
        <v>72</v>
      </c>
      <c r="B300" t="s">
        <v>2205</v>
      </c>
      <c r="C300"/>
      <c r="D300"/>
      <c r="E300"/>
      <c r="F300" t="s">
        <v>2206</v>
      </c>
      <c r="G300"/>
      <c r="H300"/>
      <c r="I300" t="s">
        <v>2207</v>
      </c>
      <c r="J300" t="s">
        <v>1360</v>
      </c>
      <c r="K300"/>
      <c r="L300"/>
      <c r="M300"/>
      <c r="N300" t="s">
        <v>215</v>
      </c>
      <c r="O300"/>
      <c r="P300"/>
      <c r="Q300"/>
      <c r="R300"/>
      <c r="S300"/>
      <c r="T300" t="s">
        <v>2208</v>
      </c>
      <c r="U300" t="s">
        <v>2209</v>
      </c>
      <c r="V300"/>
      <c r="W300"/>
      <c r="X300"/>
      <c r="Y300"/>
      <c r="Z300"/>
      <c r="AA300"/>
      <c r="AB300"/>
      <c r="AC300"/>
      <c r="AD300"/>
      <c r="AE300"/>
      <c r="AF300"/>
      <c r="AG300"/>
      <c r="AH300">
        <v>60</v>
      </c>
      <c r="AI300">
        <v>66</v>
      </c>
      <c r="AJ300"/>
      <c r="AK300"/>
      <c r="AL300"/>
      <c r="AM300"/>
      <c r="AN300"/>
      <c r="AO300" t="s">
        <v>1363</v>
      </c>
      <c r="AP300" t="s">
        <v>1364</v>
      </c>
      <c r="AQ300"/>
      <c r="AR300"/>
      <c r="AS300"/>
      <c r="AT300" t="s">
        <v>2210</v>
      </c>
      <c r="AU300">
        <v>2017</v>
      </c>
      <c r="AV300">
        <v>186</v>
      </c>
      <c r="AW300"/>
      <c r="AX300">
        <v>2</v>
      </c>
      <c r="AY300"/>
      <c r="AZ300" t="s">
        <v>222</v>
      </c>
      <c r="BA300"/>
      <c r="BB300">
        <v>86</v>
      </c>
      <c r="BC300">
        <v>95</v>
      </c>
      <c r="BD300"/>
      <c r="BE300" t="s">
        <v>2211</v>
      </c>
      <c r="BF300" t="str">
        <f>HYPERLINK("http://dx.doi.org/10.1016/j.apenergy.2016.09.025","http://dx.doi.org/10.1016/j.apenergy.2016.09.025")</f>
        <v>http://dx.doi.org/10.1016/j.apenergy.2016.09.025</v>
      </c>
      <c r="BG300"/>
      <c r="BH300"/>
      <c r="BI300"/>
      <c r="BJ300" t="s">
        <v>1367</v>
      </c>
      <c r="BK300"/>
      <c r="BL300"/>
      <c r="BM300"/>
      <c r="BN300"/>
      <c r="BO300"/>
      <c r="BP300"/>
      <c r="BQ300"/>
      <c r="BR300"/>
      <c r="BS300"/>
      <c r="BT300" t="str">
        <f>HYPERLINK("https%3A%2F%2Fwww.webofscience.com%2Fwos%2Fwoscc%2Ffull-record%2F","View Full Record in Web of Science")</f>
        <v>View Full Record in Web of Science</v>
      </c>
    </row>
    <row r="301" spans="1:72" customHeight="1" ht="12.75">
      <c r="A301" t="s">
        <v>72</v>
      </c>
      <c r="B301" t="s">
        <v>2212</v>
      </c>
      <c r="C301"/>
      <c r="D301"/>
      <c r="E301"/>
      <c r="F301" t="s">
        <v>2213</v>
      </c>
      <c r="G301"/>
      <c r="H301"/>
      <c r="I301" t="s">
        <v>2214</v>
      </c>
      <c r="J301" t="s">
        <v>111</v>
      </c>
      <c r="K301"/>
      <c r="L301"/>
      <c r="M301"/>
      <c r="N301" t="s">
        <v>112</v>
      </c>
      <c r="O301"/>
      <c r="P301"/>
      <c r="Q301"/>
      <c r="R301"/>
      <c r="S301"/>
      <c r="T301" t="s">
        <v>2215</v>
      </c>
      <c r="U301" t="s">
        <v>2216</v>
      </c>
      <c r="V301"/>
      <c r="W301"/>
      <c r="X301"/>
      <c r="Y301"/>
      <c r="Z301"/>
      <c r="AA301"/>
      <c r="AB301"/>
      <c r="AC301"/>
      <c r="AD301"/>
      <c r="AE301"/>
      <c r="AF301"/>
      <c r="AG301"/>
      <c r="AH301">
        <v>27</v>
      </c>
      <c r="AI301">
        <v>31</v>
      </c>
      <c r="AJ301"/>
      <c r="AK301"/>
      <c r="AL301"/>
      <c r="AM301"/>
      <c r="AN301"/>
      <c r="AO301" t="s">
        <v>115</v>
      </c>
      <c r="AP301" t="s">
        <v>116</v>
      </c>
      <c r="AQ301"/>
      <c r="AR301"/>
      <c r="AS301"/>
      <c r="AT301" t="s">
        <v>404</v>
      </c>
      <c r="AU301">
        <v>2014</v>
      </c>
      <c r="AV301">
        <v>82</v>
      </c>
      <c r="AW301"/>
      <c r="AX301"/>
      <c r="AY301"/>
      <c r="AZ301"/>
      <c r="BA301"/>
      <c r="BB301">
        <v>63</v>
      </c>
      <c r="BC301">
        <v>74</v>
      </c>
      <c r="BD301"/>
      <c r="BE301" t="s">
        <v>2217</v>
      </c>
      <c r="BF301" t="str">
        <f>HYPERLINK("http://dx.doi.org/10.1016/j.resconrec.2013.10.016","http://dx.doi.org/10.1016/j.resconrec.2013.10.016")</f>
        <v>http://dx.doi.org/10.1016/j.resconrec.2013.10.016</v>
      </c>
      <c r="BG301"/>
      <c r="BH301"/>
      <c r="BI301"/>
      <c r="BJ301" t="s">
        <v>119</v>
      </c>
      <c r="BK301"/>
      <c r="BL301"/>
      <c r="BM301"/>
      <c r="BN301"/>
      <c r="BO301"/>
      <c r="BP301"/>
      <c r="BQ301"/>
      <c r="BR301"/>
      <c r="BS301"/>
      <c r="BT301" t="str">
        <f>HYPERLINK("https%3A%2F%2Fwww.webofscience.com%2Fwos%2Fwoscc%2Ffull-record%2F","View Full Record in Web of Science")</f>
        <v>View Full Record in Web of Science</v>
      </c>
    </row>
    <row r="302" spans="1:72" customHeight="1" ht="12.75">
      <c r="A302" t="s">
        <v>72</v>
      </c>
      <c r="B302" t="s">
        <v>2218</v>
      </c>
      <c r="C302"/>
      <c r="D302"/>
      <c r="E302"/>
      <c r="F302" t="s">
        <v>2219</v>
      </c>
      <c r="G302"/>
      <c r="H302"/>
      <c r="I302" t="s">
        <v>2220</v>
      </c>
      <c r="J302" t="s">
        <v>2221</v>
      </c>
      <c r="K302"/>
      <c r="L302"/>
      <c r="M302"/>
      <c r="N302" t="s">
        <v>325</v>
      </c>
      <c r="O302"/>
      <c r="P302"/>
      <c r="Q302"/>
      <c r="R302"/>
      <c r="S302"/>
      <c r="T302" t="s">
        <v>2222</v>
      </c>
      <c r="U302" t="s">
        <v>2223</v>
      </c>
      <c r="V302"/>
      <c r="W302"/>
      <c r="X302"/>
      <c r="Y302"/>
      <c r="Z302"/>
      <c r="AA302"/>
      <c r="AB302"/>
      <c r="AC302"/>
      <c r="AD302"/>
      <c r="AE302"/>
      <c r="AF302"/>
      <c r="AG302"/>
      <c r="AH302">
        <v>4</v>
      </c>
      <c r="AI302">
        <v>4</v>
      </c>
      <c r="AJ302"/>
      <c r="AK302"/>
      <c r="AL302"/>
      <c r="AM302"/>
      <c r="AN302"/>
      <c r="AO302" t="s">
        <v>2224</v>
      </c>
      <c r="AP302"/>
      <c r="AQ302"/>
      <c r="AR302"/>
      <c r="AS302"/>
      <c r="AT302" t="s">
        <v>2225</v>
      </c>
      <c r="AU302">
        <v>2022</v>
      </c>
      <c r="AV302">
        <v>5</v>
      </c>
      <c r="AW302"/>
      <c r="AX302"/>
      <c r="AY302"/>
      <c r="AZ302"/>
      <c r="BA302"/>
      <c r="BB302"/>
      <c r="BC302"/>
      <c r="BD302">
        <v>100080</v>
      </c>
      <c r="BE302" t="s">
        <v>2226</v>
      </c>
      <c r="BF302" t="str">
        <f>HYPERLINK("http://dx.doi.org/10.1016/j.cesys.2022.100080","http://dx.doi.org/10.1016/j.cesys.2022.100080")</f>
        <v>http://dx.doi.org/10.1016/j.cesys.2022.100080</v>
      </c>
      <c r="BG302"/>
      <c r="BH302" t="s">
        <v>1109</v>
      </c>
      <c r="BI302"/>
      <c r="BJ302" t="s">
        <v>2227</v>
      </c>
      <c r="BK302"/>
      <c r="BL302"/>
      <c r="BM302"/>
      <c r="BN302"/>
      <c r="BO302"/>
      <c r="BP302"/>
      <c r="BQ302"/>
      <c r="BR302"/>
      <c r="BS302"/>
      <c r="BT302" t="str">
        <f>HYPERLINK("https%3A%2F%2Fwww.webofscience.com%2Fwos%2Fwoscc%2Ffull-record%2F","View Full Record in Web of Science")</f>
        <v>View Full Record in Web of Science</v>
      </c>
    </row>
    <row r="303" spans="1:72" customHeight="1" ht="12.75">
      <c r="A303" t="s">
        <v>72</v>
      </c>
      <c r="B303" t="s">
        <v>1296</v>
      </c>
      <c r="C303"/>
      <c r="D303"/>
      <c r="E303"/>
      <c r="F303" t="s">
        <v>2228</v>
      </c>
      <c r="G303"/>
      <c r="H303"/>
      <c r="I303" t="s">
        <v>2229</v>
      </c>
      <c r="J303" t="s">
        <v>510</v>
      </c>
      <c r="K303"/>
      <c r="L303"/>
      <c r="M303"/>
      <c r="N303" t="s">
        <v>112</v>
      </c>
      <c r="O303"/>
      <c r="P303"/>
      <c r="Q303"/>
      <c r="R303"/>
      <c r="S303"/>
      <c r="T303" t="s">
        <v>2230</v>
      </c>
      <c r="U303" t="s">
        <v>2231</v>
      </c>
      <c r="V303"/>
      <c r="W303"/>
      <c r="X303"/>
      <c r="Y303"/>
      <c r="Z303"/>
      <c r="AA303"/>
      <c r="AB303"/>
      <c r="AC303"/>
      <c r="AD303"/>
      <c r="AE303"/>
      <c r="AF303"/>
      <c r="AG303"/>
      <c r="AH303">
        <v>78</v>
      </c>
      <c r="AI303">
        <v>89</v>
      </c>
      <c r="AJ303"/>
      <c r="AK303"/>
      <c r="AL303"/>
      <c r="AM303"/>
      <c r="AN303"/>
      <c r="AO303" t="s">
        <v>511</v>
      </c>
      <c r="AP303" t="s">
        <v>512</v>
      </c>
      <c r="AQ303"/>
      <c r="AR303"/>
      <c r="AS303"/>
      <c r="AT303" t="s">
        <v>1031</v>
      </c>
      <c r="AU303">
        <v>2006</v>
      </c>
      <c r="AV303">
        <v>196</v>
      </c>
      <c r="AW303" t="s">
        <v>2232</v>
      </c>
      <c r="AX303"/>
      <c r="AY303"/>
      <c r="AZ303"/>
      <c r="BA303"/>
      <c r="BB303">
        <v>77</v>
      </c>
      <c r="BC303">
        <v>89</v>
      </c>
      <c r="BD303"/>
      <c r="BE303" t="s">
        <v>2233</v>
      </c>
      <c r="BF303" t="str">
        <f>HYPERLINK("http://dx.doi.org/10.1016/j.ecolmodel.2006.02.001","http://dx.doi.org/10.1016/j.ecolmodel.2006.02.001")</f>
        <v>http://dx.doi.org/10.1016/j.ecolmodel.2006.02.001</v>
      </c>
      <c r="BG303"/>
      <c r="BH303"/>
      <c r="BI303"/>
      <c r="BJ303" t="s">
        <v>181</v>
      </c>
      <c r="BK303"/>
      <c r="BL303"/>
      <c r="BM303"/>
      <c r="BN303"/>
      <c r="BO303"/>
      <c r="BP303"/>
      <c r="BQ303"/>
      <c r="BR303"/>
      <c r="BS303"/>
      <c r="BT303" t="str">
        <f>HYPERLINK("https%3A%2F%2Fwww.webofscience.com%2Fwos%2Fwoscc%2Ffull-record%2F","View Full Record in Web of Science")</f>
        <v>View Full Record in Web of Science</v>
      </c>
    </row>
    <row r="304" spans="1:72" customHeight="1" ht="12.75">
      <c r="A304" t="s">
        <v>72</v>
      </c>
      <c r="B304" t="s">
        <v>2234</v>
      </c>
      <c r="C304"/>
      <c r="D304"/>
      <c r="E304"/>
      <c r="F304" t="s">
        <v>2235</v>
      </c>
      <c r="G304"/>
      <c r="H304"/>
      <c r="I304" t="s">
        <v>2236</v>
      </c>
      <c r="J304" t="s">
        <v>1991</v>
      </c>
      <c r="K304"/>
      <c r="L304"/>
      <c r="M304"/>
      <c r="N304" t="s">
        <v>112</v>
      </c>
      <c r="O304"/>
      <c r="P304"/>
      <c r="Q304"/>
      <c r="R304"/>
      <c r="S304"/>
      <c r="T304" t="s">
        <v>2237</v>
      </c>
      <c r="U304" t="s">
        <v>2238</v>
      </c>
      <c r="V304"/>
      <c r="W304"/>
      <c r="X304"/>
      <c r="Y304"/>
      <c r="Z304"/>
      <c r="AA304"/>
      <c r="AB304"/>
      <c r="AC304"/>
      <c r="AD304"/>
      <c r="AE304"/>
      <c r="AF304"/>
      <c r="AG304"/>
      <c r="AH304">
        <v>41</v>
      </c>
      <c r="AI304">
        <v>41</v>
      </c>
      <c r="AJ304"/>
      <c r="AK304"/>
      <c r="AL304"/>
      <c r="AM304"/>
      <c r="AN304"/>
      <c r="AO304" t="s">
        <v>1994</v>
      </c>
      <c r="AP304" t="s">
        <v>1995</v>
      </c>
      <c r="AQ304"/>
      <c r="AR304"/>
      <c r="AS304"/>
      <c r="AT304" t="s">
        <v>385</v>
      </c>
      <c r="AU304">
        <v>2019</v>
      </c>
      <c r="AV304">
        <v>24</v>
      </c>
      <c r="AW304">
        <v>7</v>
      </c>
      <c r="AX304"/>
      <c r="AY304"/>
      <c r="AZ304" t="s">
        <v>222</v>
      </c>
      <c r="BA304"/>
      <c r="BB304">
        <v>1269</v>
      </c>
      <c r="BC304">
        <v>1284</v>
      </c>
      <c r="BD304"/>
      <c r="BE304" t="s">
        <v>2239</v>
      </c>
      <c r="BF304" t="str">
        <f>HYPERLINK("http://dx.doi.org/10.1007/s11367-018-1494-0","http://dx.doi.org/10.1007/s11367-018-1494-0")</f>
        <v>http://dx.doi.org/10.1007/s11367-018-1494-0</v>
      </c>
      <c r="BG304"/>
      <c r="BH304"/>
      <c r="BI304"/>
      <c r="BJ304" t="s">
        <v>119</v>
      </c>
      <c r="BK304"/>
      <c r="BL304"/>
      <c r="BM304"/>
      <c r="BN304"/>
      <c r="BO304"/>
      <c r="BP304"/>
      <c r="BQ304"/>
      <c r="BR304"/>
      <c r="BS304"/>
      <c r="BT304" t="str">
        <f>HYPERLINK("https%3A%2F%2Fwww.webofscience.com%2Fwos%2Fwoscc%2Ffull-record%2F","View Full Record in Web of Science")</f>
        <v>View Full Record in Web of Science</v>
      </c>
    </row>
    <row r="305" spans="1:72" customHeight="1" ht="12.75">
      <c r="A305" t="s">
        <v>72</v>
      </c>
      <c r="B305" t="s">
        <v>2240</v>
      </c>
      <c r="C305"/>
      <c r="D305"/>
      <c r="E305"/>
      <c r="F305" t="s">
        <v>2241</v>
      </c>
      <c r="G305"/>
      <c r="H305"/>
      <c r="I305" t="s">
        <v>2242</v>
      </c>
      <c r="J305" t="s">
        <v>409</v>
      </c>
      <c r="K305"/>
      <c r="L305"/>
      <c r="M305"/>
      <c r="N305" t="s">
        <v>77</v>
      </c>
      <c r="O305"/>
      <c r="P305"/>
      <c r="Q305"/>
      <c r="R305"/>
      <c r="S305"/>
      <c r="T305" t="s">
        <v>2243</v>
      </c>
      <c r="U305" t="s">
        <v>2244</v>
      </c>
      <c r="V305"/>
      <c r="W305"/>
      <c r="X305"/>
      <c r="Y305"/>
      <c r="Z305"/>
      <c r="AA305"/>
      <c r="AB305"/>
      <c r="AC305"/>
      <c r="AD305"/>
      <c r="AE305"/>
      <c r="AF305"/>
      <c r="AG305"/>
      <c r="AH305">
        <v>34</v>
      </c>
      <c r="AI305">
        <v>39</v>
      </c>
      <c r="AJ305"/>
      <c r="AK305"/>
      <c r="AL305"/>
      <c r="AM305"/>
      <c r="AN305"/>
      <c r="AO305" t="s">
        <v>1080</v>
      </c>
      <c r="AP305" t="s">
        <v>1081</v>
      </c>
      <c r="AQ305"/>
      <c r="AR305"/>
      <c r="AS305"/>
      <c r="AT305" t="s">
        <v>198</v>
      </c>
      <c r="AU305">
        <v>2017</v>
      </c>
      <c r="AV305">
        <v>70</v>
      </c>
      <c r="AW305"/>
      <c r="AX305"/>
      <c r="AY305"/>
      <c r="AZ305"/>
      <c r="BA305"/>
      <c r="BB305">
        <v>91</v>
      </c>
      <c r="BC305">
        <v>110</v>
      </c>
      <c r="BD305"/>
      <c r="BE305" t="s">
        <v>2245</v>
      </c>
      <c r="BF305" t="str">
        <f>HYPERLINK("http://dx.doi.org/10.1016/j.cities.2017.06.005","http://dx.doi.org/10.1016/j.cities.2017.06.005")</f>
        <v>http://dx.doi.org/10.1016/j.cities.2017.06.005</v>
      </c>
      <c r="BG305"/>
      <c r="BH305"/>
      <c r="BI305"/>
      <c r="BJ305" t="s">
        <v>243</v>
      </c>
      <c r="BK305"/>
      <c r="BL305"/>
      <c r="BM305"/>
      <c r="BN305"/>
      <c r="BO305"/>
      <c r="BP305"/>
      <c r="BQ305"/>
      <c r="BR305"/>
      <c r="BS305"/>
      <c r="BT305" t="str">
        <f>HYPERLINK("https%3A%2F%2Fwww.webofscience.com%2Fwos%2Fwoscc%2Ffull-record%2F","View Full Record in Web of Science")</f>
        <v>View Full Record in Web of Science</v>
      </c>
    </row>
    <row r="306" spans="1:72" customHeight="1" ht="12.75">
      <c r="A306" t="s">
        <v>72</v>
      </c>
      <c r="B306" t="s">
        <v>2246</v>
      </c>
      <c r="C306"/>
      <c r="D306"/>
      <c r="E306"/>
      <c r="F306" t="s">
        <v>2247</v>
      </c>
      <c r="G306"/>
      <c r="H306"/>
      <c r="I306" t="s">
        <v>2248</v>
      </c>
      <c r="J306" t="s">
        <v>133</v>
      </c>
      <c r="K306"/>
      <c r="L306"/>
      <c r="M306"/>
      <c r="N306" t="s">
        <v>112</v>
      </c>
      <c r="O306"/>
      <c r="P306"/>
      <c r="Q306"/>
      <c r="R306"/>
      <c r="S306"/>
      <c r="T306" t="s">
        <v>2249</v>
      </c>
      <c r="U306" t="s">
        <v>2250</v>
      </c>
      <c r="V306"/>
      <c r="W306"/>
      <c r="X306"/>
      <c r="Y306"/>
      <c r="Z306"/>
      <c r="AA306"/>
      <c r="AB306"/>
      <c r="AC306"/>
      <c r="AD306"/>
      <c r="AE306"/>
      <c r="AF306"/>
      <c r="AG306"/>
      <c r="AH306">
        <v>23</v>
      </c>
      <c r="AI306">
        <v>25</v>
      </c>
      <c r="AJ306"/>
      <c r="AK306"/>
      <c r="AL306"/>
      <c r="AM306"/>
      <c r="AN306"/>
      <c r="AO306" t="s">
        <v>136</v>
      </c>
      <c r="AP306" t="s">
        <v>137</v>
      </c>
      <c r="AQ306"/>
      <c r="AR306"/>
      <c r="AS306"/>
      <c r="AT306" t="s">
        <v>154</v>
      </c>
      <c r="AU306">
        <v>2017</v>
      </c>
      <c r="AV306">
        <v>21</v>
      </c>
      <c r="AW306">
        <v>4</v>
      </c>
      <c r="AX306"/>
      <c r="AY306"/>
      <c r="AZ306"/>
      <c r="BA306"/>
      <c r="BB306">
        <v>995</v>
      </c>
      <c r="BC306">
        <v>1009</v>
      </c>
      <c r="BD306"/>
      <c r="BE306" t="s">
        <v>2251</v>
      </c>
      <c r="BF306" t="str">
        <f>HYPERLINK("http://dx.doi.org/10.1111/jiec.12456","http://dx.doi.org/10.1111/jiec.12456")</f>
        <v>http://dx.doi.org/10.1111/jiec.12456</v>
      </c>
      <c r="BG306"/>
      <c r="BH306"/>
      <c r="BI306"/>
      <c r="BJ306" t="s">
        <v>139</v>
      </c>
      <c r="BK306"/>
      <c r="BL306"/>
      <c r="BM306"/>
      <c r="BN306"/>
      <c r="BO306"/>
      <c r="BP306"/>
      <c r="BQ306"/>
      <c r="BR306"/>
      <c r="BS306"/>
      <c r="BT306" t="str">
        <f>HYPERLINK("https%3A%2F%2Fwww.webofscience.com%2Fwos%2Fwoscc%2Ffull-record%2F","View Full Record in Web of Science")</f>
        <v>View Full Record in Web of Science</v>
      </c>
    </row>
    <row r="307" spans="1:72" customHeight="1" ht="12.75">
      <c r="A307" t="s">
        <v>72</v>
      </c>
      <c r="B307" t="s">
        <v>2252</v>
      </c>
      <c r="C307"/>
      <c r="D307"/>
      <c r="E307"/>
      <c r="F307" t="s">
        <v>2253</v>
      </c>
      <c r="G307"/>
      <c r="H307"/>
      <c r="I307" t="s">
        <v>2254</v>
      </c>
      <c r="J307" t="s">
        <v>2255</v>
      </c>
      <c r="K307"/>
      <c r="L307"/>
      <c r="M307"/>
      <c r="N307" t="s">
        <v>112</v>
      </c>
      <c r="O307"/>
      <c r="P307"/>
      <c r="Q307"/>
      <c r="R307"/>
      <c r="S307"/>
      <c r="T307" t="s">
        <v>2256</v>
      </c>
      <c r="U307" t="s">
        <v>2257</v>
      </c>
      <c r="V307"/>
      <c r="W307"/>
      <c r="X307"/>
      <c r="Y307"/>
      <c r="Z307"/>
      <c r="AA307"/>
      <c r="AB307"/>
      <c r="AC307"/>
      <c r="AD307"/>
      <c r="AE307"/>
      <c r="AF307"/>
      <c r="AG307"/>
      <c r="AH307">
        <v>8</v>
      </c>
      <c r="AI307">
        <v>8</v>
      </c>
      <c r="AJ307"/>
      <c r="AK307"/>
      <c r="AL307"/>
      <c r="AM307"/>
      <c r="AN307"/>
      <c r="AO307" t="s">
        <v>2258</v>
      </c>
      <c r="AP307" t="s">
        <v>2259</v>
      </c>
      <c r="AQ307"/>
      <c r="AR307"/>
      <c r="AS307"/>
      <c r="AT307" t="s">
        <v>2260</v>
      </c>
      <c r="AU307">
        <v>2019</v>
      </c>
      <c r="AV307">
        <v>14</v>
      </c>
      <c r="AW307">
        <v>1</v>
      </c>
      <c r="AX307"/>
      <c r="AY307"/>
      <c r="AZ307"/>
      <c r="BA307"/>
      <c r="BB307">
        <v>3</v>
      </c>
      <c r="BC307">
        <v>29</v>
      </c>
      <c r="BD307"/>
      <c r="BE307"/>
      <c r="BF307"/>
      <c r="BG307"/>
      <c r="BH307"/>
      <c r="BI307"/>
      <c r="BJ307" t="s">
        <v>233</v>
      </c>
      <c r="BK307"/>
      <c r="BL307"/>
      <c r="BM307"/>
      <c r="BN307"/>
      <c r="BO307"/>
      <c r="BP307"/>
      <c r="BQ307"/>
      <c r="BR307"/>
      <c r="BS307"/>
      <c r="BT307" t="str">
        <f>HYPERLINK("https%3A%2F%2Fwww.webofscience.com%2Fwos%2Fwoscc%2Ffull-record%2F","View Full Record in Web of Science")</f>
        <v>View Full Record in Web of Science</v>
      </c>
    </row>
    <row r="308" spans="1:72" customHeight="1" ht="12.75">
      <c r="A308" t="s">
        <v>72</v>
      </c>
      <c r="B308" t="s">
        <v>2261</v>
      </c>
      <c r="C308"/>
      <c r="D308"/>
      <c r="E308"/>
      <c r="F308" t="s">
        <v>2262</v>
      </c>
      <c r="G308"/>
      <c r="H308"/>
      <c r="I308" t="s">
        <v>2263</v>
      </c>
      <c r="J308" t="s">
        <v>133</v>
      </c>
      <c r="K308"/>
      <c r="L308"/>
      <c r="M308"/>
      <c r="N308" t="s">
        <v>112</v>
      </c>
      <c r="O308"/>
      <c r="P308"/>
      <c r="Q308"/>
      <c r="R308"/>
      <c r="S308"/>
      <c r="T308" t="s">
        <v>2264</v>
      </c>
      <c r="U308" t="s">
        <v>2265</v>
      </c>
      <c r="V308"/>
      <c r="W308"/>
      <c r="X308"/>
      <c r="Y308"/>
      <c r="Z308"/>
      <c r="AA308"/>
      <c r="AB308"/>
      <c r="AC308"/>
      <c r="AD308"/>
      <c r="AE308"/>
      <c r="AF308"/>
      <c r="AG308"/>
      <c r="AH308">
        <v>33</v>
      </c>
      <c r="AI308">
        <v>35</v>
      </c>
      <c r="AJ308"/>
      <c r="AK308"/>
      <c r="AL308"/>
      <c r="AM308"/>
      <c r="AN308"/>
      <c r="AO308" t="s">
        <v>136</v>
      </c>
      <c r="AP308" t="s">
        <v>137</v>
      </c>
      <c r="AQ308"/>
      <c r="AR308"/>
      <c r="AS308"/>
      <c r="AT308" t="s">
        <v>198</v>
      </c>
      <c r="AU308">
        <v>2017</v>
      </c>
      <c r="AV308">
        <v>21</v>
      </c>
      <c r="AW308">
        <v>5</v>
      </c>
      <c r="AX308"/>
      <c r="AY308"/>
      <c r="AZ308"/>
      <c r="BA308"/>
      <c r="BB308">
        <v>1237</v>
      </c>
      <c r="BC308">
        <v>1249</v>
      </c>
      <c r="BD308"/>
      <c r="BE308" t="s">
        <v>2266</v>
      </c>
      <c r="BF308" t="str">
        <f>HYPERLINK("http://dx.doi.org/10.1111/jiec.12508","http://dx.doi.org/10.1111/jiec.12508")</f>
        <v>http://dx.doi.org/10.1111/jiec.12508</v>
      </c>
      <c r="BG308"/>
      <c r="BH308"/>
      <c r="BI308"/>
      <c r="BJ308" t="s">
        <v>139</v>
      </c>
      <c r="BK308"/>
      <c r="BL308"/>
      <c r="BM308"/>
      <c r="BN308"/>
      <c r="BO308"/>
      <c r="BP308"/>
      <c r="BQ308"/>
      <c r="BR308"/>
      <c r="BS308"/>
      <c r="BT308" t="str">
        <f>HYPERLINK("https%3A%2F%2Fwww.webofscience.com%2Fwos%2Fwoscc%2Ffull-record%2F","View Full Record in Web of Science")</f>
        <v>View Full Record in Web of Science</v>
      </c>
    </row>
    <row r="309" spans="1:72" customHeight="1" ht="12.75">
      <c r="A309" t="s">
        <v>72</v>
      </c>
      <c r="B309" t="s">
        <v>1296</v>
      </c>
      <c r="C309"/>
      <c r="D309"/>
      <c r="E309"/>
      <c r="F309" t="s">
        <v>1297</v>
      </c>
      <c r="G309"/>
      <c r="H309"/>
      <c r="I309" t="s">
        <v>2267</v>
      </c>
      <c r="J309" t="s">
        <v>510</v>
      </c>
      <c r="K309"/>
      <c r="L309"/>
      <c r="M309"/>
      <c r="N309" t="s">
        <v>112</v>
      </c>
      <c r="O309"/>
      <c r="P309"/>
      <c r="Q309"/>
      <c r="R309"/>
      <c r="S309"/>
      <c r="T309" t="s">
        <v>2268</v>
      </c>
      <c r="U309" t="s">
        <v>2269</v>
      </c>
      <c r="V309"/>
      <c r="W309"/>
      <c r="X309"/>
      <c r="Y309"/>
      <c r="Z309"/>
      <c r="AA309"/>
      <c r="AB309"/>
      <c r="AC309"/>
      <c r="AD309"/>
      <c r="AE309"/>
      <c r="AF309"/>
      <c r="AG309"/>
      <c r="AH309">
        <v>99</v>
      </c>
      <c r="AI309">
        <v>109</v>
      </c>
      <c r="AJ309"/>
      <c r="AK309"/>
      <c r="AL309"/>
      <c r="AM309"/>
      <c r="AN309"/>
      <c r="AO309" t="s">
        <v>511</v>
      </c>
      <c r="AP309" t="s">
        <v>512</v>
      </c>
      <c r="AQ309"/>
      <c r="AR309"/>
      <c r="AS309"/>
      <c r="AT309" t="s">
        <v>2270</v>
      </c>
      <c r="AU309">
        <v>2009</v>
      </c>
      <c r="AV309">
        <v>220</v>
      </c>
      <c r="AW309" t="s">
        <v>2271</v>
      </c>
      <c r="AX309"/>
      <c r="AY309"/>
      <c r="AZ309"/>
      <c r="BA309"/>
      <c r="BB309">
        <v>1690</v>
      </c>
      <c r="BC309">
        <v>1696</v>
      </c>
      <c r="BD309"/>
      <c r="BE309" t="s">
        <v>2272</v>
      </c>
      <c r="BF309" t="str">
        <f>HYPERLINK("http://dx.doi.org/10.1016/j.ecolmodel.2009.04.002","http://dx.doi.org/10.1016/j.ecolmodel.2009.04.002")</f>
        <v>http://dx.doi.org/10.1016/j.ecolmodel.2009.04.002</v>
      </c>
      <c r="BG309"/>
      <c r="BH309"/>
      <c r="BI309"/>
      <c r="BJ309" t="s">
        <v>181</v>
      </c>
      <c r="BK309"/>
      <c r="BL309"/>
      <c r="BM309"/>
      <c r="BN309"/>
      <c r="BO309"/>
      <c r="BP309"/>
      <c r="BQ309"/>
      <c r="BR309"/>
      <c r="BS309"/>
      <c r="BT309" t="str">
        <f>HYPERLINK("https%3A%2F%2Fwww.webofscience.com%2Fwos%2Fwoscc%2Ffull-record%2F","View Full Record in Web of Science")</f>
        <v>View Full Record in Web of Science</v>
      </c>
    </row>
    <row r="310" spans="1:72" customHeight="1" ht="12.75">
      <c r="A310" t="s">
        <v>72</v>
      </c>
      <c r="B310" t="s">
        <v>2273</v>
      </c>
      <c r="C310"/>
      <c r="D310"/>
      <c r="E310"/>
      <c r="F310" t="s">
        <v>2274</v>
      </c>
      <c r="G310"/>
      <c r="H310"/>
      <c r="I310" t="s">
        <v>2275</v>
      </c>
      <c r="J310" t="s">
        <v>133</v>
      </c>
      <c r="K310"/>
      <c r="L310"/>
      <c r="M310"/>
      <c r="N310" t="s">
        <v>112</v>
      </c>
      <c r="O310"/>
      <c r="P310"/>
      <c r="Q310"/>
      <c r="R310"/>
      <c r="S310"/>
      <c r="T310" t="s">
        <v>2276</v>
      </c>
      <c r="U310" t="s">
        <v>2277</v>
      </c>
      <c r="V310"/>
      <c r="W310"/>
      <c r="X310"/>
      <c r="Y310"/>
      <c r="Z310"/>
      <c r="AA310"/>
      <c r="AB310"/>
      <c r="AC310"/>
      <c r="AD310"/>
      <c r="AE310"/>
      <c r="AF310"/>
      <c r="AG310"/>
      <c r="AH310">
        <v>35</v>
      </c>
      <c r="AI310">
        <v>40</v>
      </c>
      <c r="AJ310"/>
      <c r="AK310"/>
      <c r="AL310"/>
      <c r="AM310"/>
      <c r="AN310"/>
      <c r="AO310" t="s">
        <v>136</v>
      </c>
      <c r="AP310" t="s">
        <v>137</v>
      </c>
      <c r="AQ310"/>
      <c r="AR310"/>
      <c r="AS310"/>
      <c r="AT310" t="s">
        <v>154</v>
      </c>
      <c r="AU310">
        <v>2017</v>
      </c>
      <c r="AV310">
        <v>21</v>
      </c>
      <c r="AW310">
        <v>4</v>
      </c>
      <c r="AX310"/>
      <c r="AY310"/>
      <c r="AZ310"/>
      <c r="BA310"/>
      <c r="BB310">
        <v>887</v>
      </c>
      <c r="BC310">
        <v>902</v>
      </c>
      <c r="BD310"/>
      <c r="BE310" t="s">
        <v>2278</v>
      </c>
      <c r="BF310" t="str">
        <f>HYPERLINK("http://dx.doi.org/10.1111/jiec.12461","http://dx.doi.org/10.1111/jiec.12461")</f>
        <v>http://dx.doi.org/10.1111/jiec.12461</v>
      </c>
      <c r="BG310"/>
      <c r="BH310"/>
      <c r="BI310"/>
      <c r="BJ310" t="s">
        <v>139</v>
      </c>
      <c r="BK310"/>
      <c r="BL310"/>
      <c r="BM310"/>
      <c r="BN310"/>
      <c r="BO310"/>
      <c r="BP310"/>
      <c r="BQ310"/>
      <c r="BR310"/>
      <c r="BS310"/>
      <c r="BT310" t="str">
        <f>HYPERLINK("https%3A%2F%2Fwww.webofscience.com%2Fwos%2Fwoscc%2Ffull-record%2F","View Full Record in Web of Science")</f>
        <v>View Full Record in Web of Science</v>
      </c>
    </row>
    <row r="311" spans="1:72" customHeight="1" ht="12.75">
      <c r="A311" t="s">
        <v>72</v>
      </c>
      <c r="B311" t="s">
        <v>2279</v>
      </c>
      <c r="C311"/>
      <c r="D311"/>
      <c r="E311"/>
      <c r="F311" t="s">
        <v>2280</v>
      </c>
      <c r="G311"/>
      <c r="H311"/>
      <c r="I311" t="s">
        <v>2281</v>
      </c>
      <c r="J311" t="s">
        <v>2282</v>
      </c>
      <c r="K311"/>
      <c r="L311"/>
      <c r="M311"/>
      <c r="N311" t="s">
        <v>215</v>
      </c>
      <c r="O311"/>
      <c r="P311"/>
      <c r="Q311"/>
      <c r="R311"/>
      <c r="S311"/>
      <c r="T311" t="s">
        <v>2283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>
        <v>18</v>
      </c>
      <c r="AI311">
        <v>21</v>
      </c>
      <c r="AJ311"/>
      <c r="AK311"/>
      <c r="AL311"/>
      <c r="AM311"/>
      <c r="AN311"/>
      <c r="AO311" t="s">
        <v>2284</v>
      </c>
      <c r="AP311" t="s">
        <v>2285</v>
      </c>
      <c r="AQ311"/>
      <c r="AR311"/>
      <c r="AS311"/>
      <c r="AT311"/>
      <c r="AU311">
        <v>2017</v>
      </c>
      <c r="AV311">
        <v>41</v>
      </c>
      <c r="AW311">
        <v>8</v>
      </c>
      <c r="AX311"/>
      <c r="AY311"/>
      <c r="AZ311" t="s">
        <v>222</v>
      </c>
      <c r="BA311"/>
      <c r="BB311">
        <v>1009</v>
      </c>
      <c r="BC311">
        <v>1025</v>
      </c>
      <c r="BD311"/>
      <c r="BE311" t="s">
        <v>2286</v>
      </c>
      <c r="BF311" t="str">
        <f>HYPERLINK("http://dx.doi.org/10.1080/21683565.2017.1334737","http://dx.doi.org/10.1080/21683565.2017.1334737")</f>
        <v>http://dx.doi.org/10.1080/21683565.2017.1334737</v>
      </c>
      <c r="BG311"/>
      <c r="BH311"/>
      <c r="BI311"/>
      <c r="BJ311" t="s">
        <v>2287</v>
      </c>
      <c r="BK311"/>
      <c r="BL311"/>
      <c r="BM311"/>
      <c r="BN311"/>
      <c r="BO311"/>
      <c r="BP311"/>
      <c r="BQ311"/>
      <c r="BR311"/>
      <c r="BS311"/>
      <c r="BT311" t="str">
        <f>HYPERLINK("https%3A%2F%2Fwww.webofscience.com%2Fwos%2Fwoscc%2Ffull-record%2F","View Full Record in Web of Science")</f>
        <v>View Full Record in Web of Science</v>
      </c>
    </row>
    <row r="312" spans="1:72" customHeight="1" ht="12.75">
      <c r="A312" t="s">
        <v>72</v>
      </c>
      <c r="B312" t="s">
        <v>2288</v>
      </c>
      <c r="C312"/>
      <c r="D312"/>
      <c r="E312"/>
      <c r="F312" t="s">
        <v>2289</v>
      </c>
      <c r="G312"/>
      <c r="H312"/>
      <c r="I312" t="s">
        <v>2290</v>
      </c>
      <c r="J312" t="s">
        <v>587</v>
      </c>
      <c r="K312"/>
      <c r="L312"/>
      <c r="M312"/>
      <c r="N312" t="s">
        <v>112</v>
      </c>
      <c r="O312"/>
      <c r="P312"/>
      <c r="Q312"/>
      <c r="R312"/>
      <c r="S312"/>
      <c r="T312" t="s">
        <v>2291</v>
      </c>
      <c r="U312" t="s">
        <v>2292</v>
      </c>
      <c r="V312"/>
      <c r="W312"/>
      <c r="X312"/>
      <c r="Y312"/>
      <c r="Z312"/>
      <c r="AA312"/>
      <c r="AB312"/>
      <c r="AC312"/>
      <c r="AD312"/>
      <c r="AE312"/>
      <c r="AF312"/>
      <c r="AG312"/>
      <c r="AH312">
        <v>29</v>
      </c>
      <c r="AI312">
        <v>31</v>
      </c>
      <c r="AJ312"/>
      <c r="AK312"/>
      <c r="AL312"/>
      <c r="AM312"/>
      <c r="AN312"/>
      <c r="AO312" t="s">
        <v>590</v>
      </c>
      <c r="AP312" t="s">
        <v>591</v>
      </c>
      <c r="AQ312"/>
      <c r="AR312"/>
      <c r="AS312"/>
      <c r="AT312" t="s">
        <v>2293</v>
      </c>
      <c r="AU312">
        <v>2016</v>
      </c>
      <c r="AV312">
        <v>134</v>
      </c>
      <c r="AW312"/>
      <c r="AX312" t="s">
        <v>2294</v>
      </c>
      <c r="AY312"/>
      <c r="AZ312" t="s">
        <v>222</v>
      </c>
      <c r="BA312"/>
      <c r="BB312">
        <v>22</v>
      </c>
      <c r="BC312">
        <v>30</v>
      </c>
      <c r="BD312"/>
      <c r="BE312" t="s">
        <v>2295</v>
      </c>
      <c r="BF312" t="str">
        <f>HYPERLINK("http://dx.doi.org/10.1016/j.jclepro.2015.10.053","http://dx.doi.org/10.1016/j.jclepro.2015.10.053")</f>
        <v>http://dx.doi.org/10.1016/j.jclepro.2015.10.053</v>
      </c>
      <c r="BG312"/>
      <c r="BH312"/>
      <c r="BI312"/>
      <c r="BJ312" t="s">
        <v>139</v>
      </c>
      <c r="BK312"/>
      <c r="BL312"/>
      <c r="BM312"/>
      <c r="BN312"/>
      <c r="BO312"/>
      <c r="BP312"/>
      <c r="BQ312"/>
      <c r="BR312"/>
      <c r="BS312"/>
      <c r="BT312" t="str">
        <f>HYPERLINK("https%3A%2F%2Fwww.webofscience.com%2Fwos%2Fwoscc%2Ffull-record%2F","View Full Record in Web of Science")</f>
        <v>View Full Record in Web of Science</v>
      </c>
    </row>
    <row r="313" spans="1:72" customHeight="1" ht="12.75">
      <c r="A313" t="s">
        <v>72</v>
      </c>
      <c r="B313" t="s">
        <v>2296</v>
      </c>
      <c r="C313"/>
      <c r="D313"/>
      <c r="E313"/>
      <c r="F313" t="s">
        <v>2297</v>
      </c>
      <c r="G313"/>
      <c r="H313"/>
      <c r="I313" t="s">
        <v>2298</v>
      </c>
      <c r="J313" t="s">
        <v>1067</v>
      </c>
      <c r="K313"/>
      <c r="L313"/>
      <c r="M313"/>
      <c r="N313" t="s">
        <v>325</v>
      </c>
      <c r="O313"/>
      <c r="P313"/>
      <c r="Q313"/>
      <c r="R313"/>
      <c r="S313"/>
      <c r="T313" t="s">
        <v>2299</v>
      </c>
      <c r="U313" t="s">
        <v>2300</v>
      </c>
      <c r="V313"/>
      <c r="W313"/>
      <c r="X313"/>
      <c r="Y313"/>
      <c r="Z313"/>
      <c r="AA313"/>
      <c r="AB313"/>
      <c r="AC313"/>
      <c r="AD313"/>
      <c r="AE313"/>
      <c r="AF313"/>
      <c r="AG313"/>
      <c r="AH313">
        <v>12</v>
      </c>
      <c r="AI313">
        <v>12</v>
      </c>
      <c r="AJ313"/>
      <c r="AK313"/>
      <c r="AL313"/>
      <c r="AM313"/>
      <c r="AN313"/>
      <c r="AO313" t="s">
        <v>1070</v>
      </c>
      <c r="AP313" t="s">
        <v>1071</v>
      </c>
      <c r="AQ313"/>
      <c r="AR313"/>
      <c r="AS313"/>
      <c r="AT313" t="s">
        <v>2301</v>
      </c>
      <c r="AU313">
        <v>2022</v>
      </c>
      <c r="AV313">
        <v>837</v>
      </c>
      <c r="AW313"/>
      <c r="AX313"/>
      <c r="AY313"/>
      <c r="AZ313"/>
      <c r="BA313"/>
      <c r="BB313"/>
      <c r="BC313"/>
      <c r="BD313">
        <v>155875</v>
      </c>
      <c r="BE313" t="s">
        <v>2302</v>
      </c>
      <c r="BF313" t="str">
        <f>HYPERLINK("http://dx.doi.org/10.1016/j.scitotenv.2022.155875","http://dx.doi.org/10.1016/j.scitotenv.2022.155875")</f>
        <v>http://dx.doi.org/10.1016/j.scitotenv.2022.155875</v>
      </c>
      <c r="BG313"/>
      <c r="BH313" t="s">
        <v>1109</v>
      </c>
      <c r="BI313"/>
      <c r="BJ313" t="s">
        <v>224</v>
      </c>
      <c r="BK313"/>
      <c r="BL313"/>
      <c r="BM313"/>
      <c r="BN313"/>
      <c r="BO313"/>
      <c r="BP313"/>
      <c r="BQ313"/>
      <c r="BR313"/>
      <c r="BS313"/>
      <c r="BT313" t="str">
        <f>HYPERLINK("https%3A%2F%2Fwww.webofscience.com%2Fwos%2Fwoscc%2Ffull-record%2F","View Full Record in Web of Science")</f>
        <v>View Full Record in Web of Science</v>
      </c>
    </row>
    <row r="314" spans="1:72" customHeight="1" ht="12.75">
      <c r="A314" t="s">
        <v>72</v>
      </c>
      <c r="B314" t="s">
        <v>2303</v>
      </c>
      <c r="C314"/>
      <c r="D314"/>
      <c r="E314"/>
      <c r="F314" t="s">
        <v>2304</v>
      </c>
      <c r="G314"/>
      <c r="H314"/>
      <c r="I314" t="s">
        <v>2305</v>
      </c>
      <c r="J314" t="s">
        <v>510</v>
      </c>
      <c r="K314"/>
      <c r="L314"/>
      <c r="M314"/>
      <c r="N314" t="s">
        <v>112</v>
      </c>
      <c r="O314"/>
      <c r="P314"/>
      <c r="Q314"/>
      <c r="R314"/>
      <c r="S314"/>
      <c r="T314" t="s">
        <v>2306</v>
      </c>
      <c r="U314" t="s">
        <v>2307</v>
      </c>
      <c r="V314"/>
      <c r="W314"/>
      <c r="X314"/>
      <c r="Y314"/>
      <c r="Z314"/>
      <c r="AA314"/>
      <c r="AB314"/>
      <c r="AC314"/>
      <c r="AD314"/>
      <c r="AE314"/>
      <c r="AF314"/>
      <c r="AG314"/>
      <c r="AH314">
        <v>34</v>
      </c>
      <c r="AI314">
        <v>37</v>
      </c>
      <c r="AJ314"/>
      <c r="AK314"/>
      <c r="AL314"/>
      <c r="AM314"/>
      <c r="AN314"/>
      <c r="AO314" t="s">
        <v>511</v>
      </c>
      <c r="AP314" t="s">
        <v>512</v>
      </c>
      <c r="AQ314"/>
      <c r="AR314"/>
      <c r="AS314"/>
      <c r="AT314" t="s">
        <v>2308</v>
      </c>
      <c r="AU314">
        <v>2017</v>
      </c>
      <c r="AV314">
        <v>351</v>
      </c>
      <c r="AW314"/>
      <c r="AX314"/>
      <c r="AY314"/>
      <c r="AZ314"/>
      <c r="BA314"/>
      <c r="BB314">
        <v>51</v>
      </c>
      <c r="BC314">
        <v>62</v>
      </c>
      <c r="BD314"/>
      <c r="BE314" t="s">
        <v>2309</v>
      </c>
      <c r="BF314" t="str">
        <f>HYPERLINK("http://dx.doi.org/10.1016/j.ecolmodel.2017.02.015","http://dx.doi.org/10.1016/j.ecolmodel.2017.02.015")</f>
        <v>http://dx.doi.org/10.1016/j.ecolmodel.2017.02.015</v>
      </c>
      <c r="BG314"/>
      <c r="BH314"/>
      <c r="BI314"/>
      <c r="BJ314" t="s">
        <v>181</v>
      </c>
      <c r="BK314"/>
      <c r="BL314"/>
      <c r="BM314"/>
      <c r="BN314"/>
      <c r="BO314"/>
      <c r="BP314"/>
      <c r="BQ314"/>
      <c r="BR314"/>
      <c r="BS314"/>
      <c r="BT314" t="str">
        <f>HYPERLINK("https%3A%2F%2Fwww.webofscience.com%2Fwos%2Fwoscc%2Ffull-record%2F","View Full Record in Web of Science")</f>
        <v>View Full Record in Web of Science</v>
      </c>
    </row>
    <row r="315" spans="1:72" customHeight="1" ht="12.75">
      <c r="A315" t="s">
        <v>72</v>
      </c>
      <c r="B315" t="s">
        <v>2310</v>
      </c>
      <c r="C315"/>
      <c r="D315"/>
      <c r="E315"/>
      <c r="F315" t="s">
        <v>2311</v>
      </c>
      <c r="G315"/>
      <c r="H315"/>
      <c r="I315" t="s">
        <v>2312</v>
      </c>
      <c r="J315" t="s">
        <v>2313</v>
      </c>
      <c r="K315"/>
      <c r="L315"/>
      <c r="M315"/>
      <c r="N315" t="s">
        <v>112</v>
      </c>
      <c r="O315"/>
      <c r="P315"/>
      <c r="Q315"/>
      <c r="R315"/>
      <c r="S315"/>
      <c r="T315" t="s">
        <v>2314</v>
      </c>
      <c r="U315" t="s">
        <v>2315</v>
      </c>
      <c r="V315"/>
      <c r="W315"/>
      <c r="X315"/>
      <c r="Y315"/>
      <c r="Z315"/>
      <c r="AA315"/>
      <c r="AB315"/>
      <c r="AC315"/>
      <c r="AD315"/>
      <c r="AE315"/>
      <c r="AF315"/>
      <c r="AG315"/>
      <c r="AH315">
        <v>25</v>
      </c>
      <c r="AI315">
        <v>26</v>
      </c>
      <c r="AJ315"/>
      <c r="AK315"/>
      <c r="AL315"/>
      <c r="AM315"/>
      <c r="AN315"/>
      <c r="AO315" t="s">
        <v>2316</v>
      </c>
      <c r="AP315" t="s">
        <v>2317</v>
      </c>
      <c r="AQ315"/>
      <c r="AR315"/>
      <c r="AS315"/>
      <c r="AT315" t="s">
        <v>190</v>
      </c>
      <c r="AU315">
        <v>2017</v>
      </c>
      <c r="AV315">
        <v>21</v>
      </c>
      <c r="AW315"/>
      <c r="AX315"/>
      <c r="AY315"/>
      <c r="AZ315"/>
      <c r="BA315"/>
      <c r="BB315">
        <v>1</v>
      </c>
      <c r="BC315">
        <v>18</v>
      </c>
      <c r="BD315"/>
      <c r="BE315" t="s">
        <v>2318</v>
      </c>
      <c r="BF315" t="str">
        <f>HYPERLINK("http://dx.doi.org/10.1016/j.envdev.2016.11.006","http://dx.doi.org/10.1016/j.envdev.2016.11.006")</f>
        <v>http://dx.doi.org/10.1016/j.envdev.2016.11.006</v>
      </c>
      <c r="BG315"/>
      <c r="BH315"/>
      <c r="BI315"/>
      <c r="BJ315" t="s">
        <v>224</v>
      </c>
      <c r="BK315"/>
      <c r="BL315"/>
      <c r="BM315"/>
      <c r="BN315"/>
      <c r="BO315"/>
      <c r="BP315"/>
      <c r="BQ315"/>
      <c r="BR315"/>
      <c r="BS315"/>
      <c r="BT315" t="str">
        <f>HYPERLINK("https%3A%2F%2Fwww.webofscience.com%2Fwos%2Fwoscc%2Ffull-record%2F","View Full Record in Web of Science")</f>
        <v>View Full Record in Web of Science</v>
      </c>
    </row>
    <row r="316" spans="1:72" customHeight="1" ht="12.75">
      <c r="A316" t="s">
        <v>72</v>
      </c>
      <c r="B316" t="s">
        <v>2319</v>
      </c>
      <c r="C316"/>
      <c r="D316"/>
      <c r="E316"/>
      <c r="F316" t="s">
        <v>2320</v>
      </c>
      <c r="G316"/>
      <c r="H316"/>
      <c r="I316" t="s">
        <v>2321</v>
      </c>
      <c r="J316" t="s">
        <v>510</v>
      </c>
      <c r="K316"/>
      <c r="L316"/>
      <c r="M316"/>
      <c r="N316" t="s">
        <v>112</v>
      </c>
      <c r="O316"/>
      <c r="P316"/>
      <c r="Q316"/>
      <c r="R316"/>
      <c r="S316"/>
      <c r="T316" t="s">
        <v>2322</v>
      </c>
      <c r="U316" t="s">
        <v>2323</v>
      </c>
      <c r="V316"/>
      <c r="W316"/>
      <c r="X316"/>
      <c r="Y316"/>
      <c r="Z316"/>
      <c r="AA316"/>
      <c r="AB316"/>
      <c r="AC316"/>
      <c r="AD316"/>
      <c r="AE316"/>
      <c r="AF316"/>
      <c r="AG316"/>
      <c r="AH316">
        <v>106</v>
      </c>
      <c r="AI316">
        <v>121</v>
      </c>
      <c r="AJ316"/>
      <c r="AK316"/>
      <c r="AL316"/>
      <c r="AM316"/>
      <c r="AN316"/>
      <c r="AO316" t="s">
        <v>511</v>
      </c>
      <c r="AP316" t="s">
        <v>512</v>
      </c>
      <c r="AQ316"/>
      <c r="AR316"/>
      <c r="AS316"/>
      <c r="AT316" t="s">
        <v>2324</v>
      </c>
      <c r="AU316">
        <v>2010</v>
      </c>
      <c r="AV316">
        <v>221</v>
      </c>
      <c r="AW316">
        <v>16</v>
      </c>
      <c r="AX316"/>
      <c r="AY316"/>
      <c r="AZ316"/>
      <c r="BA316"/>
      <c r="BB316">
        <v>1865</v>
      </c>
      <c r="BC316">
        <v>1879</v>
      </c>
      <c r="BD316"/>
      <c r="BE316" t="s">
        <v>2325</v>
      </c>
      <c r="BF316" t="str">
        <f>HYPERLINK("http://dx.doi.org/10.1016/j.ecolmodel.2010.05.006","http://dx.doi.org/10.1016/j.ecolmodel.2010.05.006")</f>
        <v>http://dx.doi.org/10.1016/j.ecolmodel.2010.05.006</v>
      </c>
      <c r="BG316"/>
      <c r="BH316"/>
      <c r="BI316"/>
      <c r="BJ316" t="s">
        <v>181</v>
      </c>
      <c r="BK316"/>
      <c r="BL316"/>
      <c r="BM316"/>
      <c r="BN316"/>
      <c r="BO316"/>
      <c r="BP316"/>
      <c r="BQ316"/>
      <c r="BR316"/>
      <c r="BS316"/>
      <c r="BT316" t="str">
        <f>HYPERLINK("https%3A%2F%2Fwww.webofscience.com%2Fwos%2Fwoscc%2Ffull-record%2F","View Full Record in Web of Science")</f>
        <v>View Full Record in Web of Science</v>
      </c>
    </row>
    <row r="317" spans="1:72" customHeight="1" ht="12.75">
      <c r="A317" t="s">
        <v>72</v>
      </c>
      <c r="B317" t="s">
        <v>2326</v>
      </c>
      <c r="C317"/>
      <c r="D317"/>
      <c r="E317"/>
      <c r="F317" t="s">
        <v>2327</v>
      </c>
      <c r="G317"/>
      <c r="H317"/>
      <c r="I317" t="s">
        <v>2328</v>
      </c>
      <c r="J317" t="s">
        <v>166</v>
      </c>
      <c r="K317"/>
      <c r="L317"/>
      <c r="M317"/>
      <c r="N317" t="s">
        <v>112</v>
      </c>
      <c r="O317"/>
      <c r="P317"/>
      <c r="Q317"/>
      <c r="R317"/>
      <c r="S317"/>
      <c r="T317" t="s">
        <v>2329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>
        <v>5</v>
      </c>
      <c r="AI317">
        <v>5</v>
      </c>
      <c r="AJ317"/>
      <c r="AK317"/>
      <c r="AL317"/>
      <c r="AM317"/>
      <c r="AN317"/>
      <c r="AO317"/>
      <c r="AP317" t="s">
        <v>169</v>
      </c>
      <c r="AQ317"/>
      <c r="AR317"/>
      <c r="AS317"/>
      <c r="AT317"/>
      <c r="AU317">
        <v>2019</v>
      </c>
      <c r="AV317">
        <v>1</v>
      </c>
      <c r="AW317"/>
      <c r="AX317"/>
      <c r="AY317"/>
      <c r="AZ317"/>
      <c r="BA317"/>
      <c r="BB317"/>
      <c r="BC317"/>
      <c r="BD317">
        <v>6</v>
      </c>
      <c r="BE317" t="s">
        <v>2330</v>
      </c>
      <c r="BF317" t="str">
        <f>HYPERLINK("http://dx.doi.org/10.3389/frsc.2019.00006","http://dx.doi.org/10.3389/frsc.2019.00006")</f>
        <v>http://dx.doi.org/10.3389/frsc.2019.00006</v>
      </c>
      <c r="BG317"/>
      <c r="BH317"/>
      <c r="BI317"/>
      <c r="BJ317" t="s">
        <v>171</v>
      </c>
      <c r="BK317"/>
      <c r="BL317"/>
      <c r="BM317"/>
      <c r="BN317"/>
      <c r="BO317"/>
      <c r="BP317"/>
      <c r="BQ317"/>
      <c r="BR317"/>
      <c r="BS317"/>
      <c r="BT317" t="str">
        <f>HYPERLINK("https%3A%2F%2Fwww.webofscience.com%2Fwos%2Fwoscc%2Ffull-record%2F","View Full Record in Web of Science")</f>
        <v>View Full Record in Web of Science</v>
      </c>
    </row>
    <row r="318" spans="1:72" customHeight="1" ht="12.75">
      <c r="A318" t="s">
        <v>72</v>
      </c>
      <c r="B318" t="s">
        <v>2331</v>
      </c>
      <c r="C318"/>
      <c r="D318"/>
      <c r="E318"/>
      <c r="F318" t="s">
        <v>2332</v>
      </c>
      <c r="G318"/>
      <c r="H318"/>
      <c r="I318" t="s">
        <v>2333</v>
      </c>
      <c r="J318" t="s">
        <v>166</v>
      </c>
      <c r="K318"/>
      <c r="L318"/>
      <c r="M318"/>
      <c r="N318" t="s">
        <v>77</v>
      </c>
      <c r="O318"/>
      <c r="P318"/>
      <c r="Q318"/>
      <c r="R318"/>
      <c r="S318"/>
      <c r="T318" t="s">
        <v>2334</v>
      </c>
      <c r="U318" t="s">
        <v>2335</v>
      </c>
      <c r="V318"/>
      <c r="W318"/>
      <c r="X318"/>
      <c r="Y318"/>
      <c r="Z318"/>
      <c r="AA318"/>
      <c r="AB318"/>
      <c r="AC318"/>
      <c r="AD318"/>
      <c r="AE318"/>
      <c r="AF318"/>
      <c r="AG318"/>
      <c r="AH318">
        <v>9</v>
      </c>
      <c r="AI318">
        <v>9</v>
      </c>
      <c r="AJ318"/>
      <c r="AK318"/>
      <c r="AL318"/>
      <c r="AM318"/>
      <c r="AN318"/>
      <c r="AO318"/>
      <c r="AP318" t="s">
        <v>169</v>
      </c>
      <c r="AQ318"/>
      <c r="AR318"/>
      <c r="AS318"/>
      <c r="AT318"/>
      <c r="AU318">
        <v>2019</v>
      </c>
      <c r="AV318">
        <v>1</v>
      </c>
      <c r="AW318"/>
      <c r="AX318"/>
      <c r="AY318"/>
      <c r="AZ318"/>
      <c r="BA318"/>
      <c r="BB318"/>
      <c r="BC318"/>
      <c r="BD318">
        <v>9</v>
      </c>
      <c r="BE318" t="s">
        <v>2336</v>
      </c>
      <c r="BF318" t="str">
        <f>HYPERLINK("http://dx.doi.org/10.3389/frsc.2019.00009","http://dx.doi.org/10.3389/frsc.2019.00009")</f>
        <v>http://dx.doi.org/10.3389/frsc.2019.00009</v>
      </c>
      <c r="BG318"/>
      <c r="BH318"/>
      <c r="BI318"/>
      <c r="BJ318" t="s">
        <v>171</v>
      </c>
      <c r="BK318"/>
      <c r="BL318"/>
      <c r="BM318"/>
      <c r="BN318"/>
      <c r="BO318"/>
      <c r="BP318"/>
      <c r="BQ318"/>
      <c r="BR318"/>
      <c r="BS318"/>
      <c r="BT318" t="str">
        <f>HYPERLINK("https%3A%2F%2Fwww.webofscience.com%2Fwos%2Fwoscc%2Ffull-record%2F","View Full Record in Web of Science")</f>
        <v>View Full Record in Web of Science</v>
      </c>
    </row>
    <row r="319" spans="1:72" customHeight="1" ht="12.75">
      <c r="A319" t="s">
        <v>72</v>
      </c>
      <c r="B319" t="s">
        <v>2337</v>
      </c>
      <c r="C319"/>
      <c r="D319"/>
      <c r="E319"/>
      <c r="F319" t="s">
        <v>2338</v>
      </c>
      <c r="G319"/>
      <c r="H319"/>
      <c r="I319" t="s">
        <v>2339</v>
      </c>
      <c r="J319" t="s">
        <v>587</v>
      </c>
      <c r="K319"/>
      <c r="L319"/>
      <c r="M319"/>
      <c r="N319" t="s">
        <v>112</v>
      </c>
      <c r="O319"/>
      <c r="P319"/>
      <c r="Q319"/>
      <c r="R319"/>
      <c r="S319"/>
      <c r="T319" t="s">
        <v>2340</v>
      </c>
      <c r="U319" t="s">
        <v>2341</v>
      </c>
      <c r="V319"/>
      <c r="W319"/>
      <c r="X319"/>
      <c r="Y319"/>
      <c r="Z319"/>
      <c r="AA319"/>
      <c r="AB319"/>
      <c r="AC319"/>
      <c r="AD319"/>
      <c r="AE319"/>
      <c r="AF319"/>
      <c r="AG319"/>
      <c r="AH319">
        <v>26</v>
      </c>
      <c r="AI319">
        <v>30</v>
      </c>
      <c r="AJ319"/>
      <c r="AK319"/>
      <c r="AL319"/>
      <c r="AM319"/>
      <c r="AN319"/>
      <c r="AO319" t="s">
        <v>590</v>
      </c>
      <c r="AP319" t="s">
        <v>591</v>
      </c>
      <c r="AQ319"/>
      <c r="AR319"/>
      <c r="AS319"/>
      <c r="AT319" t="s">
        <v>249</v>
      </c>
      <c r="AU319">
        <v>2015</v>
      </c>
      <c r="AV319">
        <v>103</v>
      </c>
      <c r="AW319"/>
      <c r="AX319"/>
      <c r="AY319"/>
      <c r="AZ319"/>
      <c r="BA319"/>
      <c r="BB319">
        <v>884</v>
      </c>
      <c r="BC319">
        <v>897</v>
      </c>
      <c r="BD319"/>
      <c r="BE319" t="s">
        <v>2342</v>
      </c>
      <c r="BF319" t="str">
        <f>HYPERLINK("http://dx.doi.org/10.1016/j.jclepro.2014.07.075","http://dx.doi.org/10.1016/j.jclepro.2014.07.075")</f>
        <v>http://dx.doi.org/10.1016/j.jclepro.2014.07.075</v>
      </c>
      <c r="BG319"/>
      <c r="BH319"/>
      <c r="BI319"/>
      <c r="BJ319" t="s">
        <v>139</v>
      </c>
      <c r="BK319"/>
      <c r="BL319"/>
      <c r="BM319"/>
      <c r="BN319"/>
      <c r="BO319"/>
      <c r="BP319"/>
      <c r="BQ319"/>
      <c r="BR319"/>
      <c r="BS319"/>
      <c r="BT319" t="str">
        <f>HYPERLINK("https%3A%2F%2Fwww.webofscience.com%2Fwos%2Fwoscc%2Ffull-record%2F","View Full Record in Web of Science")</f>
        <v>View Full Record in Web of Science</v>
      </c>
    </row>
    <row r="320" spans="1:72" customHeight="1" ht="12.75">
      <c r="A320" t="s">
        <v>72</v>
      </c>
      <c r="B320" t="s">
        <v>2343</v>
      </c>
      <c r="C320"/>
      <c r="D320"/>
      <c r="E320"/>
      <c r="F320" t="s">
        <v>2344</v>
      </c>
      <c r="G320"/>
      <c r="H320"/>
      <c r="I320" t="s">
        <v>2345</v>
      </c>
      <c r="J320" t="s">
        <v>133</v>
      </c>
      <c r="K320"/>
      <c r="L320"/>
      <c r="M320"/>
      <c r="N320" t="s">
        <v>112</v>
      </c>
      <c r="O320"/>
      <c r="P320"/>
      <c r="Q320"/>
      <c r="R320"/>
      <c r="S320"/>
      <c r="T320" t="s">
        <v>2346</v>
      </c>
      <c r="U320" t="s">
        <v>2347</v>
      </c>
      <c r="V320"/>
      <c r="W320"/>
      <c r="X320"/>
      <c r="Y320"/>
      <c r="Z320"/>
      <c r="AA320"/>
      <c r="AB320"/>
      <c r="AC320"/>
      <c r="AD320"/>
      <c r="AE320"/>
      <c r="AF320"/>
      <c r="AG320"/>
      <c r="AH320">
        <v>30</v>
      </c>
      <c r="AI320">
        <v>32</v>
      </c>
      <c r="AJ320"/>
      <c r="AK320"/>
      <c r="AL320"/>
      <c r="AM320"/>
      <c r="AN320"/>
      <c r="AO320" t="s">
        <v>136</v>
      </c>
      <c r="AP320" t="s">
        <v>137</v>
      </c>
      <c r="AQ320"/>
      <c r="AR320"/>
      <c r="AS320"/>
      <c r="AT320" t="s">
        <v>394</v>
      </c>
      <c r="AU320">
        <v>2016</v>
      </c>
      <c r="AV320">
        <v>20</v>
      </c>
      <c r="AW320">
        <v>1</v>
      </c>
      <c r="AX320"/>
      <c r="AY320"/>
      <c r="AZ320"/>
      <c r="BA320"/>
      <c r="BB320">
        <v>166</v>
      </c>
      <c r="BC320">
        <v>178</v>
      </c>
      <c r="BD320"/>
      <c r="BE320" t="s">
        <v>2348</v>
      </c>
      <c r="BF320" t="str">
        <f>HYPERLINK("http://dx.doi.org/10.1111/jiec.12299","http://dx.doi.org/10.1111/jiec.12299")</f>
        <v>http://dx.doi.org/10.1111/jiec.12299</v>
      </c>
      <c r="BG320"/>
      <c r="BH320"/>
      <c r="BI320"/>
      <c r="BJ320" t="s">
        <v>139</v>
      </c>
      <c r="BK320"/>
      <c r="BL320"/>
      <c r="BM320"/>
      <c r="BN320"/>
      <c r="BO320"/>
      <c r="BP320"/>
      <c r="BQ320"/>
      <c r="BR320"/>
      <c r="BS320"/>
      <c r="BT320" t="str">
        <f>HYPERLINK("https%3A%2F%2Fwww.webofscience.com%2Fwos%2Fwoscc%2Ffull-record%2F","View Full Record in Web of Science")</f>
        <v>View Full Record in Web of Science</v>
      </c>
    </row>
    <row r="321" spans="1:72" customHeight="1" ht="12.75">
      <c r="A321" t="s">
        <v>72</v>
      </c>
      <c r="B321" t="s">
        <v>890</v>
      </c>
      <c r="C321"/>
      <c r="D321"/>
      <c r="E321"/>
      <c r="F321" t="s">
        <v>891</v>
      </c>
      <c r="G321"/>
      <c r="H321"/>
      <c r="I321" t="s">
        <v>2349</v>
      </c>
      <c r="J321" t="s">
        <v>2350</v>
      </c>
      <c r="K321"/>
      <c r="L321"/>
      <c r="M321"/>
      <c r="N321" t="s">
        <v>112</v>
      </c>
      <c r="O321"/>
      <c r="P321"/>
      <c r="Q321"/>
      <c r="R321"/>
      <c r="S321"/>
      <c r="T321" t="s">
        <v>2351</v>
      </c>
      <c r="U321" t="s">
        <v>2352</v>
      </c>
      <c r="V321"/>
      <c r="W321"/>
      <c r="X321"/>
      <c r="Y321"/>
      <c r="Z321"/>
      <c r="AA321"/>
      <c r="AB321"/>
      <c r="AC321"/>
      <c r="AD321"/>
      <c r="AE321"/>
      <c r="AF321"/>
      <c r="AG321"/>
      <c r="AH321">
        <v>14</v>
      </c>
      <c r="AI321">
        <v>15</v>
      </c>
      <c r="AJ321"/>
      <c r="AK321"/>
      <c r="AL321"/>
      <c r="AM321"/>
      <c r="AN321"/>
      <c r="AO321" t="s">
        <v>2353</v>
      </c>
      <c r="AP321" t="s">
        <v>2354</v>
      </c>
      <c r="AQ321"/>
      <c r="AR321"/>
      <c r="AS321"/>
      <c r="AT321" t="s">
        <v>394</v>
      </c>
      <c r="AU321">
        <v>2020</v>
      </c>
      <c r="AV321">
        <v>60</v>
      </c>
      <c r="AW321"/>
      <c r="AX321"/>
      <c r="AY321"/>
      <c r="AZ321"/>
      <c r="BA321"/>
      <c r="BB321"/>
      <c r="BC321"/>
      <c r="BD321">
        <v>101313</v>
      </c>
      <c r="BE321" t="s">
        <v>2355</v>
      </c>
      <c r="BF321" t="str">
        <f>HYPERLINK("http://dx.doi.org/10.1016/j.erss.2019.101313","http://dx.doi.org/10.1016/j.erss.2019.101313")</f>
        <v>http://dx.doi.org/10.1016/j.erss.2019.101313</v>
      </c>
      <c r="BG321"/>
      <c r="BH321"/>
      <c r="BI321"/>
      <c r="BJ321" t="s">
        <v>359</v>
      </c>
      <c r="BK321"/>
      <c r="BL321"/>
      <c r="BM321"/>
      <c r="BN321"/>
      <c r="BO321"/>
      <c r="BP321"/>
      <c r="BQ321"/>
      <c r="BR321"/>
      <c r="BS321"/>
      <c r="BT321" t="str">
        <f>HYPERLINK("https%3A%2F%2Fwww.webofscience.com%2Fwos%2Fwoscc%2Ffull-record%2F","View Full Record in Web of Science")</f>
        <v>View Full Record in Web of Science</v>
      </c>
    </row>
    <row r="322" spans="1:72" customHeight="1" ht="12.75">
      <c r="A322" t="s">
        <v>72</v>
      </c>
      <c r="B322" t="s">
        <v>2356</v>
      </c>
      <c r="C322"/>
      <c r="D322"/>
      <c r="E322"/>
      <c r="F322" t="s">
        <v>2357</v>
      </c>
      <c r="G322"/>
      <c r="H322"/>
      <c r="I322" t="s">
        <v>2358</v>
      </c>
      <c r="J322" t="s">
        <v>87</v>
      </c>
      <c r="K322"/>
      <c r="L322"/>
      <c r="M322"/>
      <c r="N322" t="s">
        <v>112</v>
      </c>
      <c r="O322"/>
      <c r="P322"/>
      <c r="Q322"/>
      <c r="R322"/>
      <c r="S322"/>
      <c r="T322" t="s">
        <v>2359</v>
      </c>
      <c r="U322" t="s">
        <v>2360</v>
      </c>
      <c r="V322"/>
      <c r="W322"/>
      <c r="X322"/>
      <c r="Y322"/>
      <c r="Z322"/>
      <c r="AA322"/>
      <c r="AB322"/>
      <c r="AC322"/>
      <c r="AD322"/>
      <c r="AE322"/>
      <c r="AF322"/>
      <c r="AG322"/>
      <c r="AH322">
        <v>12</v>
      </c>
      <c r="AI322">
        <v>13</v>
      </c>
      <c r="AJ322"/>
      <c r="AK322"/>
      <c r="AL322"/>
      <c r="AM322"/>
      <c r="AN322"/>
      <c r="AO322" t="s">
        <v>90</v>
      </c>
      <c r="AP322" t="s">
        <v>91</v>
      </c>
      <c r="AQ322"/>
      <c r="AR322"/>
      <c r="AS322"/>
      <c r="AT322" t="s">
        <v>92</v>
      </c>
      <c r="AU322">
        <v>2018</v>
      </c>
      <c r="AV322">
        <v>94</v>
      </c>
      <c r="AW322"/>
      <c r="AX322">
        <v>1</v>
      </c>
      <c r="AY322"/>
      <c r="AZ322"/>
      <c r="BA322"/>
      <c r="BB322">
        <v>39</v>
      </c>
      <c r="BC322">
        <v>51</v>
      </c>
      <c r="BD322"/>
      <c r="BE322" t="s">
        <v>2361</v>
      </c>
      <c r="BF322" t="str">
        <f>HYPERLINK("http://dx.doi.org/10.1016/j.ecolind.2018.06.039","http://dx.doi.org/10.1016/j.ecolind.2018.06.039")</f>
        <v>http://dx.doi.org/10.1016/j.ecolind.2018.06.039</v>
      </c>
      <c r="BG322"/>
      <c r="BH322"/>
      <c r="BI322"/>
      <c r="BJ322" t="s">
        <v>94</v>
      </c>
      <c r="BK322"/>
      <c r="BL322"/>
      <c r="BM322"/>
      <c r="BN322"/>
      <c r="BO322"/>
      <c r="BP322"/>
      <c r="BQ322"/>
      <c r="BR322"/>
      <c r="BS322"/>
      <c r="BT322" t="str">
        <f>HYPERLINK("https%3A%2F%2Fwww.webofscience.com%2Fwos%2Fwoscc%2Ffull-record%2F","View Full Record in Web of Science")</f>
        <v>View Full Record in Web of Science</v>
      </c>
    </row>
    <row r="323" spans="1:72" customHeight="1" ht="12.75">
      <c r="A323" t="s">
        <v>72</v>
      </c>
      <c r="B323" t="s">
        <v>2362</v>
      </c>
      <c r="C323"/>
      <c r="D323"/>
      <c r="E323"/>
      <c r="F323" t="s">
        <v>2363</v>
      </c>
      <c r="G323"/>
      <c r="H323"/>
      <c r="I323" t="s">
        <v>2364</v>
      </c>
      <c r="J323" t="s">
        <v>283</v>
      </c>
      <c r="K323"/>
      <c r="L323"/>
      <c r="M323"/>
      <c r="N323" t="s">
        <v>112</v>
      </c>
      <c r="O323"/>
      <c r="P323"/>
      <c r="Q323"/>
      <c r="R323"/>
      <c r="S323"/>
      <c r="T323" t="s">
        <v>2365</v>
      </c>
      <c r="U323" t="s">
        <v>2366</v>
      </c>
      <c r="V323"/>
      <c r="W323"/>
      <c r="X323"/>
      <c r="Y323"/>
      <c r="Z323"/>
      <c r="AA323"/>
      <c r="AB323"/>
      <c r="AC323"/>
      <c r="AD323"/>
      <c r="AE323"/>
      <c r="AF323"/>
      <c r="AG323"/>
      <c r="AH323">
        <v>57</v>
      </c>
      <c r="AI323">
        <v>62</v>
      </c>
      <c r="AJ323"/>
      <c r="AK323"/>
      <c r="AL323"/>
      <c r="AM323"/>
      <c r="AN323"/>
      <c r="AO323" t="s">
        <v>286</v>
      </c>
      <c r="AP323" t="s">
        <v>287</v>
      </c>
      <c r="AQ323"/>
      <c r="AR323"/>
      <c r="AS323"/>
      <c r="AT323" t="s">
        <v>404</v>
      </c>
      <c r="AU323">
        <v>2015</v>
      </c>
      <c r="AV323">
        <v>58</v>
      </c>
      <c r="AW323"/>
      <c r="AX323"/>
      <c r="AY323"/>
      <c r="AZ323"/>
      <c r="BA323"/>
      <c r="BB323">
        <v>38</v>
      </c>
      <c r="BC323">
        <v>50</v>
      </c>
      <c r="BD323"/>
      <c r="BE323" t="s">
        <v>2367</v>
      </c>
      <c r="BF323" t="str">
        <f>HYPERLINK("http://dx.doi.org/10.1016/j.geoforum.2014.10.011","http://dx.doi.org/10.1016/j.geoforum.2014.10.011")</f>
        <v>http://dx.doi.org/10.1016/j.geoforum.2014.10.011</v>
      </c>
      <c r="BG323"/>
      <c r="BH323"/>
      <c r="BI323"/>
      <c r="BJ323" t="s">
        <v>83</v>
      </c>
      <c r="BK323"/>
      <c r="BL323"/>
      <c r="BM323"/>
      <c r="BN323"/>
      <c r="BO323"/>
      <c r="BP323"/>
      <c r="BQ323"/>
      <c r="BR323"/>
      <c r="BS323"/>
      <c r="BT323" t="str">
        <f>HYPERLINK("https%3A%2F%2Fwww.webofscience.com%2Fwos%2Fwoscc%2Ffull-record%2F","View Full Record in Web of Science")</f>
        <v>View Full Record in Web of Science</v>
      </c>
    </row>
    <row r="324" spans="1:72" customHeight="1" ht="12.75">
      <c r="A324" t="s">
        <v>72</v>
      </c>
      <c r="B324" t="s">
        <v>2368</v>
      </c>
      <c r="C324"/>
      <c r="D324"/>
      <c r="E324"/>
      <c r="F324" t="s">
        <v>2369</v>
      </c>
      <c r="G324"/>
      <c r="H324"/>
      <c r="I324" t="s">
        <v>2370</v>
      </c>
      <c r="J324" t="s">
        <v>133</v>
      </c>
      <c r="K324"/>
      <c r="L324"/>
      <c r="M324"/>
      <c r="N324" t="s">
        <v>325</v>
      </c>
      <c r="O324"/>
      <c r="P324"/>
      <c r="Q324"/>
      <c r="R324"/>
      <c r="S324"/>
      <c r="T324" t="s">
        <v>2371</v>
      </c>
      <c r="U324" t="s">
        <v>2372</v>
      </c>
      <c r="V324"/>
      <c r="W324"/>
      <c r="X324"/>
      <c r="Y324"/>
      <c r="Z324"/>
      <c r="AA324"/>
      <c r="AB324"/>
      <c r="AC324"/>
      <c r="AD324"/>
      <c r="AE324"/>
      <c r="AF324"/>
      <c r="AG324"/>
      <c r="AH324">
        <v>10</v>
      </c>
      <c r="AI324">
        <v>10</v>
      </c>
      <c r="AJ324"/>
      <c r="AK324"/>
      <c r="AL324"/>
      <c r="AM324"/>
      <c r="AN324"/>
      <c r="AO324" t="s">
        <v>136</v>
      </c>
      <c r="AP324" t="s">
        <v>137</v>
      </c>
      <c r="AQ324"/>
      <c r="AR324"/>
      <c r="AS324"/>
      <c r="AT324" t="s">
        <v>867</v>
      </c>
      <c r="AU324">
        <v>2022</v>
      </c>
      <c r="AV324">
        <v>26</v>
      </c>
      <c r="AW324">
        <v>4</v>
      </c>
      <c r="AX324"/>
      <c r="AY324"/>
      <c r="AZ324"/>
      <c r="BA324"/>
      <c r="BB324">
        <v>1195</v>
      </c>
      <c r="BC324">
        <v>1217</v>
      </c>
      <c r="BD324"/>
      <c r="BE324" t="s">
        <v>2373</v>
      </c>
      <c r="BF324" t="str">
        <f>HYPERLINK("http://dx.doi.org/10.1111/jiec.13254","http://dx.doi.org/10.1111/jiec.13254")</f>
        <v>http://dx.doi.org/10.1111/jiec.13254</v>
      </c>
      <c r="BG324"/>
      <c r="BH324" t="s">
        <v>869</v>
      </c>
      <c r="BI324"/>
      <c r="BJ324" t="s">
        <v>139</v>
      </c>
      <c r="BK324"/>
      <c r="BL324"/>
      <c r="BM324"/>
      <c r="BN324"/>
      <c r="BO324"/>
      <c r="BP324"/>
      <c r="BQ324"/>
      <c r="BR324"/>
      <c r="BS324"/>
      <c r="BT324" t="str">
        <f>HYPERLINK("https%3A%2F%2Fwww.webofscience.com%2Fwos%2Fwoscc%2Ffull-record%2F","View Full Record in Web of Science")</f>
        <v>View Full Record in Web of Science</v>
      </c>
    </row>
    <row r="325" spans="1:72" customHeight="1" ht="12.75">
      <c r="A325" t="s">
        <v>72</v>
      </c>
      <c r="B325" t="s">
        <v>2374</v>
      </c>
      <c r="C325"/>
      <c r="D325"/>
      <c r="E325"/>
      <c r="F325" t="s">
        <v>2375</v>
      </c>
      <c r="G325"/>
      <c r="H325"/>
      <c r="I325" t="s">
        <v>2376</v>
      </c>
      <c r="J325" t="s">
        <v>1680</v>
      </c>
      <c r="K325"/>
      <c r="L325"/>
      <c r="M325"/>
      <c r="N325" t="s">
        <v>112</v>
      </c>
      <c r="O325"/>
      <c r="P325"/>
      <c r="Q325"/>
      <c r="R325"/>
      <c r="S325"/>
      <c r="T325" t="s">
        <v>2377</v>
      </c>
      <c r="U325" t="s">
        <v>2378</v>
      </c>
      <c r="V325"/>
      <c r="W325"/>
      <c r="X325"/>
      <c r="Y325"/>
      <c r="Z325"/>
      <c r="AA325"/>
      <c r="AB325"/>
      <c r="AC325"/>
      <c r="AD325"/>
      <c r="AE325"/>
      <c r="AF325"/>
      <c r="AG325"/>
      <c r="AH325">
        <v>32</v>
      </c>
      <c r="AI325">
        <v>35</v>
      </c>
      <c r="AJ325"/>
      <c r="AK325"/>
      <c r="AL325"/>
      <c r="AM325"/>
      <c r="AN325"/>
      <c r="AO325" t="s">
        <v>1683</v>
      </c>
      <c r="AP325" t="s">
        <v>1684</v>
      </c>
      <c r="AQ325"/>
      <c r="AR325"/>
      <c r="AS325"/>
      <c r="AT325" t="s">
        <v>352</v>
      </c>
      <c r="AU325">
        <v>2008</v>
      </c>
      <c r="AV325">
        <v>88</v>
      </c>
      <c r="AW325">
        <v>4</v>
      </c>
      <c r="AX325"/>
      <c r="AY325"/>
      <c r="AZ325"/>
      <c r="BA325"/>
      <c r="BB325">
        <v>1047</v>
      </c>
      <c r="BC325">
        <v>1055</v>
      </c>
      <c r="BD325"/>
      <c r="BE325" t="s">
        <v>2379</v>
      </c>
      <c r="BF325" t="str">
        <f>HYPERLINK("http://dx.doi.org/10.1016/j.jenvman.2007.05.008","http://dx.doi.org/10.1016/j.jenvman.2007.05.008")</f>
        <v>http://dx.doi.org/10.1016/j.jenvman.2007.05.008</v>
      </c>
      <c r="BG325"/>
      <c r="BH325"/>
      <c r="BI325"/>
      <c r="BJ325" t="s">
        <v>224</v>
      </c>
      <c r="BK325"/>
      <c r="BL325"/>
      <c r="BM325"/>
      <c r="BN325"/>
      <c r="BO325"/>
      <c r="BP325"/>
      <c r="BQ325"/>
      <c r="BR325"/>
      <c r="BS325"/>
      <c r="BT325" t="str">
        <f>HYPERLINK("https%3A%2F%2Fwww.webofscience.com%2Fwos%2Fwoscc%2Ffull-record%2F","View Full Record in Web of Science")</f>
        <v>View Full Record in Web of Science</v>
      </c>
    </row>
    <row r="326" spans="1:72" customHeight="1" ht="12.75">
      <c r="A326" t="s">
        <v>72</v>
      </c>
      <c r="B326" t="s">
        <v>2380</v>
      </c>
      <c r="C326"/>
      <c r="D326"/>
      <c r="E326"/>
      <c r="F326" t="s">
        <v>2381</v>
      </c>
      <c r="G326"/>
      <c r="H326"/>
      <c r="I326" t="s">
        <v>2382</v>
      </c>
      <c r="J326" t="s">
        <v>133</v>
      </c>
      <c r="K326"/>
      <c r="L326"/>
      <c r="M326"/>
      <c r="N326" t="s">
        <v>112</v>
      </c>
      <c r="O326"/>
      <c r="P326"/>
      <c r="Q326"/>
      <c r="R326"/>
      <c r="S326"/>
      <c r="T326" t="s">
        <v>2383</v>
      </c>
      <c r="U326" t="s">
        <v>2384</v>
      </c>
      <c r="V326"/>
      <c r="W326"/>
      <c r="X326"/>
      <c r="Y326"/>
      <c r="Z326"/>
      <c r="AA326"/>
      <c r="AB326"/>
      <c r="AC326"/>
      <c r="AD326"/>
      <c r="AE326"/>
      <c r="AF326"/>
      <c r="AG326"/>
      <c r="AH326">
        <v>118</v>
      </c>
      <c r="AI326">
        <v>134</v>
      </c>
      <c r="AJ326"/>
      <c r="AK326"/>
      <c r="AL326"/>
      <c r="AM326"/>
      <c r="AN326"/>
      <c r="AO326" t="s">
        <v>136</v>
      </c>
      <c r="AP326" t="s">
        <v>137</v>
      </c>
      <c r="AQ326"/>
      <c r="AR326"/>
      <c r="AS326"/>
      <c r="AT326" t="s">
        <v>128</v>
      </c>
      <c r="AU326">
        <v>2012</v>
      </c>
      <c r="AV326">
        <v>16</v>
      </c>
      <c r="AW326">
        <v>6</v>
      </c>
      <c r="AX326"/>
      <c r="AY326"/>
      <c r="AZ326" t="s">
        <v>222</v>
      </c>
      <c r="BA326"/>
      <c r="BB326">
        <v>801</v>
      </c>
      <c r="BC326">
        <v>813</v>
      </c>
      <c r="BD326"/>
      <c r="BE326" t="s">
        <v>2385</v>
      </c>
      <c r="BF326" t="str">
        <f>HYPERLINK("http://dx.doi.org/10.1111/j.1530-9290.2012.00566.x","http://dx.doi.org/10.1111/j.1530-9290.2012.00566.x")</f>
        <v>http://dx.doi.org/10.1111/j.1530-9290.2012.00566.x</v>
      </c>
      <c r="BG326"/>
      <c r="BH326"/>
      <c r="BI326"/>
      <c r="BJ326" t="s">
        <v>139</v>
      </c>
      <c r="BK326"/>
      <c r="BL326"/>
      <c r="BM326"/>
      <c r="BN326"/>
      <c r="BO326"/>
      <c r="BP326"/>
      <c r="BQ326"/>
      <c r="BR326"/>
      <c r="BS326"/>
      <c r="BT326" t="str">
        <f>HYPERLINK("https%3A%2F%2Fwww.webofscience.com%2Fwos%2Fwoscc%2Ffull-record%2F","View Full Record in Web of Science")</f>
        <v>View Full Record in Web of Science</v>
      </c>
    </row>
    <row r="327" spans="1:72" customHeight="1" ht="12.75">
      <c r="A327" t="s">
        <v>72</v>
      </c>
      <c r="B327" t="s">
        <v>2386</v>
      </c>
      <c r="C327"/>
      <c r="D327"/>
      <c r="E327"/>
      <c r="F327" t="s">
        <v>2387</v>
      </c>
      <c r="G327"/>
      <c r="H327"/>
      <c r="I327" t="s">
        <v>2388</v>
      </c>
      <c r="J327" t="s">
        <v>510</v>
      </c>
      <c r="K327"/>
      <c r="L327"/>
      <c r="M327"/>
      <c r="N327" t="s">
        <v>215</v>
      </c>
      <c r="O327"/>
      <c r="P327"/>
      <c r="Q327"/>
      <c r="R327"/>
      <c r="S327"/>
      <c r="T327" t="s">
        <v>2389</v>
      </c>
      <c r="U327" t="s">
        <v>2390</v>
      </c>
      <c r="V327"/>
      <c r="W327"/>
      <c r="X327"/>
      <c r="Y327"/>
      <c r="Z327"/>
      <c r="AA327"/>
      <c r="AB327"/>
      <c r="AC327"/>
      <c r="AD327"/>
      <c r="AE327"/>
      <c r="AF327"/>
      <c r="AG327"/>
      <c r="AH327">
        <v>70</v>
      </c>
      <c r="AI327">
        <v>81</v>
      </c>
      <c r="AJ327"/>
      <c r="AK327"/>
      <c r="AL327"/>
      <c r="AM327"/>
      <c r="AN327"/>
      <c r="AO327" t="s">
        <v>511</v>
      </c>
      <c r="AP327"/>
      <c r="AQ327"/>
      <c r="AR327"/>
      <c r="AS327"/>
      <c r="AT327" t="s">
        <v>2391</v>
      </c>
      <c r="AU327">
        <v>2011</v>
      </c>
      <c r="AV327">
        <v>222</v>
      </c>
      <c r="AW327">
        <v>14</v>
      </c>
      <c r="AX327"/>
      <c r="AY327"/>
      <c r="AZ327" t="s">
        <v>222</v>
      </c>
      <c r="BA327"/>
      <c r="BB327">
        <v>2377</v>
      </c>
      <c r="BC327">
        <v>2384</v>
      </c>
      <c r="BD327"/>
      <c r="BE327" t="s">
        <v>2392</v>
      </c>
      <c r="BF327" t="str">
        <f>HYPERLINK("http://dx.doi.org/10.1016/j.ecolmodel.2010.09.017","http://dx.doi.org/10.1016/j.ecolmodel.2010.09.017")</f>
        <v>http://dx.doi.org/10.1016/j.ecolmodel.2010.09.017</v>
      </c>
      <c r="BG327"/>
      <c r="BH327"/>
      <c r="BI327"/>
      <c r="BJ327" t="s">
        <v>181</v>
      </c>
      <c r="BK327"/>
      <c r="BL327"/>
      <c r="BM327"/>
      <c r="BN327"/>
      <c r="BO327"/>
      <c r="BP327"/>
      <c r="BQ327"/>
      <c r="BR327"/>
      <c r="BS327"/>
      <c r="BT327" t="str">
        <f>HYPERLINK("https%3A%2F%2Fwww.webofscience.com%2Fwos%2Fwoscc%2Ffull-record%2F","View Full Record in Web of Science")</f>
        <v>View Full Record in Web of Science</v>
      </c>
    </row>
    <row r="328" spans="1:72" customHeight="1" ht="12.75">
      <c r="A328" t="s">
        <v>72</v>
      </c>
      <c r="B328" t="s">
        <v>2393</v>
      </c>
      <c r="C328"/>
      <c r="D328"/>
      <c r="E328"/>
      <c r="F328" t="s">
        <v>2394</v>
      </c>
      <c r="G328"/>
      <c r="H328"/>
      <c r="I328" t="s">
        <v>2395</v>
      </c>
      <c r="J328" t="s">
        <v>133</v>
      </c>
      <c r="K328"/>
      <c r="L328"/>
      <c r="M328"/>
      <c r="N328" t="s">
        <v>112</v>
      </c>
      <c r="O328"/>
      <c r="P328"/>
      <c r="Q328"/>
      <c r="R328"/>
      <c r="S328"/>
      <c r="T328" t="s">
        <v>2396</v>
      </c>
      <c r="U328" t="s">
        <v>2397</v>
      </c>
      <c r="V328"/>
      <c r="W328"/>
      <c r="X328"/>
      <c r="Y328"/>
      <c r="Z328"/>
      <c r="AA328"/>
      <c r="AB328"/>
      <c r="AC328"/>
      <c r="AD328"/>
      <c r="AE328"/>
      <c r="AF328"/>
      <c r="AG328"/>
      <c r="AH328">
        <v>17</v>
      </c>
      <c r="AI328">
        <v>18</v>
      </c>
      <c r="AJ328"/>
      <c r="AK328"/>
      <c r="AL328"/>
      <c r="AM328"/>
      <c r="AN328"/>
      <c r="AO328" t="s">
        <v>136</v>
      </c>
      <c r="AP328" t="s">
        <v>137</v>
      </c>
      <c r="AQ328"/>
      <c r="AR328"/>
      <c r="AS328"/>
      <c r="AT328" t="s">
        <v>128</v>
      </c>
      <c r="AU328">
        <v>2018</v>
      </c>
      <c r="AV328">
        <v>22</v>
      </c>
      <c r="AW328">
        <v>6</v>
      </c>
      <c r="AX328"/>
      <c r="AY328"/>
      <c r="AZ328"/>
      <c r="BA328"/>
      <c r="BB328">
        <v>1339</v>
      </c>
      <c r="BC328">
        <v>1351</v>
      </c>
      <c r="BD328"/>
      <c r="BE328" t="s">
        <v>2398</v>
      </c>
      <c r="BF328" t="str">
        <f>HYPERLINK("http://dx.doi.org/10.1111/jiec.12700","http://dx.doi.org/10.1111/jiec.12700")</f>
        <v>http://dx.doi.org/10.1111/jiec.12700</v>
      </c>
      <c r="BG328"/>
      <c r="BH328"/>
      <c r="BI328"/>
      <c r="BJ328" t="s">
        <v>139</v>
      </c>
      <c r="BK328"/>
      <c r="BL328"/>
      <c r="BM328"/>
      <c r="BN328"/>
      <c r="BO328"/>
      <c r="BP328"/>
      <c r="BQ328"/>
      <c r="BR328"/>
      <c r="BS328"/>
      <c r="BT328" t="str">
        <f>HYPERLINK("https%3A%2F%2Fwww.webofscience.com%2Fwos%2Fwoscc%2Ffull-record%2F","View Full Record in Web of Science")</f>
        <v>View Full Record in Web of Science</v>
      </c>
    </row>
    <row r="329" spans="1:72" customHeight="1" ht="12.75">
      <c r="A329" t="s">
        <v>72</v>
      </c>
      <c r="B329" t="s">
        <v>2399</v>
      </c>
      <c r="C329"/>
      <c r="D329"/>
      <c r="E329"/>
      <c r="F329" t="s">
        <v>2400</v>
      </c>
      <c r="G329"/>
      <c r="H329"/>
      <c r="I329" t="s">
        <v>2401</v>
      </c>
      <c r="J329" t="s">
        <v>1884</v>
      </c>
      <c r="K329"/>
      <c r="L329"/>
      <c r="M329"/>
      <c r="N329" t="s">
        <v>112</v>
      </c>
      <c r="O329"/>
      <c r="P329"/>
      <c r="Q329"/>
      <c r="R329"/>
      <c r="S329"/>
      <c r="T329" t="s">
        <v>2402</v>
      </c>
      <c r="U329" t="s">
        <v>2403</v>
      </c>
      <c r="V329"/>
      <c r="W329"/>
      <c r="X329"/>
      <c r="Y329"/>
      <c r="Z329"/>
      <c r="AA329"/>
      <c r="AB329"/>
      <c r="AC329"/>
      <c r="AD329"/>
      <c r="AE329"/>
      <c r="AF329"/>
      <c r="AG329"/>
      <c r="AH329">
        <v>15</v>
      </c>
      <c r="AI329">
        <v>16</v>
      </c>
      <c r="AJ329"/>
      <c r="AK329"/>
      <c r="AL329"/>
      <c r="AM329"/>
      <c r="AN329"/>
      <c r="AO329" t="s">
        <v>1887</v>
      </c>
      <c r="AP329" t="s">
        <v>1888</v>
      </c>
      <c r="AQ329"/>
      <c r="AR329"/>
      <c r="AS329"/>
      <c r="AT329" t="s">
        <v>394</v>
      </c>
      <c r="AU329">
        <v>2015</v>
      </c>
      <c r="AV329">
        <v>15</v>
      </c>
      <c r="AW329">
        <v>2</v>
      </c>
      <c r="AX329"/>
      <c r="AY329"/>
      <c r="AZ329"/>
      <c r="BA329"/>
      <c r="BB329">
        <v>317</v>
      </c>
      <c r="BC329">
        <v>327</v>
      </c>
      <c r="BD329"/>
      <c r="BE329" t="s">
        <v>2404</v>
      </c>
      <c r="BF329" t="str">
        <f>HYPERLINK("http://dx.doi.org/10.1007/s10113-014-0653-5","http://dx.doi.org/10.1007/s10113-014-0653-5")</f>
        <v>http://dx.doi.org/10.1007/s10113-014-0653-5</v>
      </c>
      <c r="BG329"/>
      <c r="BH329"/>
      <c r="BI329"/>
      <c r="BJ329" t="s">
        <v>799</v>
      </c>
      <c r="BK329"/>
      <c r="BL329"/>
      <c r="BM329"/>
      <c r="BN329"/>
      <c r="BO329"/>
      <c r="BP329"/>
      <c r="BQ329"/>
      <c r="BR329"/>
      <c r="BS329"/>
      <c r="BT329" t="str">
        <f>HYPERLINK("https%3A%2F%2Fwww.webofscience.com%2Fwos%2Fwoscc%2Ffull-record%2F","View Full Record in Web of Science")</f>
        <v>View Full Record in Web of Science</v>
      </c>
    </row>
    <row r="330" spans="1:72" customHeight="1" ht="12.75">
      <c r="A330" t="s">
        <v>72</v>
      </c>
      <c r="B330" t="s">
        <v>2405</v>
      </c>
      <c r="C330"/>
      <c r="D330"/>
      <c r="E330"/>
      <c r="F330" t="s">
        <v>2406</v>
      </c>
      <c r="G330"/>
      <c r="H330"/>
      <c r="I330" t="s">
        <v>2407</v>
      </c>
      <c r="J330" t="s">
        <v>464</v>
      </c>
      <c r="K330"/>
      <c r="L330"/>
      <c r="M330"/>
      <c r="N330" t="s">
        <v>112</v>
      </c>
      <c r="O330"/>
      <c r="P330"/>
      <c r="Q330"/>
      <c r="R330"/>
      <c r="S330"/>
      <c r="T330" t="s">
        <v>2408</v>
      </c>
      <c r="U330" t="s">
        <v>2409</v>
      </c>
      <c r="V330"/>
      <c r="W330"/>
      <c r="X330"/>
      <c r="Y330"/>
      <c r="Z330"/>
      <c r="AA330"/>
      <c r="AB330"/>
      <c r="AC330"/>
      <c r="AD330"/>
      <c r="AE330"/>
      <c r="AF330"/>
      <c r="AG330"/>
      <c r="AH330">
        <v>4</v>
      </c>
      <c r="AI330">
        <v>4</v>
      </c>
      <c r="AJ330"/>
      <c r="AK330"/>
      <c r="AL330"/>
      <c r="AM330"/>
      <c r="AN330"/>
      <c r="AO330" t="s">
        <v>465</v>
      </c>
      <c r="AP330" t="s">
        <v>466</v>
      </c>
      <c r="AQ330"/>
      <c r="AR330"/>
      <c r="AS330"/>
      <c r="AT330" t="s">
        <v>128</v>
      </c>
      <c r="AU330">
        <v>2016</v>
      </c>
      <c r="AV330">
        <v>19</v>
      </c>
      <c r="AW330">
        <v>4</v>
      </c>
      <c r="AX330"/>
      <c r="AY330"/>
      <c r="AZ330"/>
      <c r="BA330"/>
      <c r="BB330">
        <v>1499</v>
      </c>
      <c r="BC330">
        <v>1534</v>
      </c>
      <c r="BD330"/>
      <c r="BE330" t="s">
        <v>2410</v>
      </c>
      <c r="BF330" t="str">
        <f>HYPERLINK("http://dx.doi.org/10.1007/s11252-013-0342-z","http://dx.doi.org/10.1007/s11252-013-0342-z")</f>
        <v>http://dx.doi.org/10.1007/s11252-013-0342-z</v>
      </c>
      <c r="BG330"/>
      <c r="BH330"/>
      <c r="BI330"/>
      <c r="BJ330" t="s">
        <v>468</v>
      </c>
      <c r="BK330"/>
      <c r="BL330"/>
      <c r="BM330"/>
      <c r="BN330"/>
      <c r="BO330"/>
      <c r="BP330"/>
      <c r="BQ330"/>
      <c r="BR330"/>
      <c r="BS330"/>
      <c r="BT330" t="str">
        <f>HYPERLINK("https%3A%2F%2Fwww.webofscience.com%2Fwos%2Fwoscc%2Ffull-record%2F","View Full Record in Web of Science")</f>
        <v>View Full Record in Web of Science</v>
      </c>
    </row>
    <row r="331" spans="1:72" customHeight="1" ht="12.75">
      <c r="A331" t="s">
        <v>72</v>
      </c>
      <c r="B331" t="s">
        <v>2411</v>
      </c>
      <c r="C331"/>
      <c r="D331"/>
      <c r="E331"/>
      <c r="F331" t="s">
        <v>2412</v>
      </c>
      <c r="G331"/>
      <c r="H331"/>
      <c r="I331" t="s">
        <v>2413</v>
      </c>
      <c r="J331" t="s">
        <v>1067</v>
      </c>
      <c r="K331"/>
      <c r="L331"/>
      <c r="M331"/>
      <c r="N331" t="s">
        <v>112</v>
      </c>
      <c r="O331"/>
      <c r="P331"/>
      <c r="Q331"/>
      <c r="R331"/>
      <c r="S331"/>
      <c r="T331" t="s">
        <v>2414</v>
      </c>
      <c r="U331" t="s">
        <v>2415</v>
      </c>
      <c r="V331"/>
      <c r="W331"/>
      <c r="X331"/>
      <c r="Y331"/>
      <c r="Z331"/>
      <c r="AA331"/>
      <c r="AB331"/>
      <c r="AC331"/>
      <c r="AD331"/>
      <c r="AE331"/>
      <c r="AF331"/>
      <c r="AG331"/>
      <c r="AH331">
        <v>33</v>
      </c>
      <c r="AI331">
        <v>36</v>
      </c>
      <c r="AJ331"/>
      <c r="AK331"/>
      <c r="AL331"/>
      <c r="AM331"/>
      <c r="AN331"/>
      <c r="AO331" t="s">
        <v>1070</v>
      </c>
      <c r="AP331" t="s">
        <v>1071</v>
      </c>
      <c r="AQ331"/>
      <c r="AR331"/>
      <c r="AS331"/>
      <c r="AT331" t="s">
        <v>708</v>
      </c>
      <c r="AU331">
        <v>2016</v>
      </c>
      <c r="AV331">
        <v>544</v>
      </c>
      <c r="AW331"/>
      <c r="AX331"/>
      <c r="AY331"/>
      <c r="AZ331"/>
      <c r="BA331"/>
      <c r="BB331">
        <v>103</v>
      </c>
      <c r="BC331">
        <v>113</v>
      </c>
      <c r="BD331"/>
      <c r="BE331" t="s">
        <v>2416</v>
      </c>
      <c r="BF331" t="str">
        <f>HYPERLINK("http://dx.doi.org/10.1016/j.scitotenv.2015.11.110","http://dx.doi.org/10.1016/j.scitotenv.2015.11.110")</f>
        <v>http://dx.doi.org/10.1016/j.scitotenv.2015.11.110</v>
      </c>
      <c r="BG331"/>
      <c r="BH331"/>
      <c r="BI331"/>
      <c r="BJ331" t="s">
        <v>224</v>
      </c>
      <c r="BK331"/>
      <c r="BL331"/>
      <c r="BM331"/>
      <c r="BN331"/>
      <c r="BO331"/>
      <c r="BP331"/>
      <c r="BQ331"/>
      <c r="BR331"/>
      <c r="BS331"/>
      <c r="BT331" t="str">
        <f>HYPERLINK("https%3A%2F%2Fwww.webofscience.com%2Fwos%2Fwoscc%2Ffull-record%2F","View Full Record in Web of Science")</f>
        <v>View Full Record in Web of Science</v>
      </c>
    </row>
    <row r="332" spans="1:72" customHeight="1" ht="12.75">
      <c r="A332" t="s">
        <v>72</v>
      </c>
      <c r="B332" t="s">
        <v>2417</v>
      </c>
      <c r="C332"/>
      <c r="D332"/>
      <c r="E332"/>
      <c r="F332" t="s">
        <v>2418</v>
      </c>
      <c r="G332"/>
      <c r="H332"/>
      <c r="I332" t="s">
        <v>2419</v>
      </c>
      <c r="J332" t="s">
        <v>587</v>
      </c>
      <c r="K332"/>
      <c r="L332"/>
      <c r="M332"/>
      <c r="N332" t="s">
        <v>112</v>
      </c>
      <c r="O332"/>
      <c r="P332"/>
      <c r="Q332"/>
      <c r="R332"/>
      <c r="S332"/>
      <c r="T332" t="s">
        <v>2420</v>
      </c>
      <c r="U332" t="s">
        <v>2421</v>
      </c>
      <c r="V332"/>
      <c r="W332"/>
      <c r="X332"/>
      <c r="Y332"/>
      <c r="Z332"/>
      <c r="AA332"/>
      <c r="AB332"/>
      <c r="AC332"/>
      <c r="AD332"/>
      <c r="AE332"/>
      <c r="AF332"/>
      <c r="AG332"/>
      <c r="AH332">
        <v>4</v>
      </c>
      <c r="AI332">
        <v>5</v>
      </c>
      <c r="AJ332"/>
      <c r="AK332"/>
      <c r="AL332"/>
      <c r="AM332"/>
      <c r="AN332"/>
      <c r="AO332" t="s">
        <v>590</v>
      </c>
      <c r="AP332" t="s">
        <v>591</v>
      </c>
      <c r="AQ332"/>
      <c r="AR332"/>
      <c r="AS332"/>
      <c r="AT332" t="s">
        <v>2169</v>
      </c>
      <c r="AU332">
        <v>2018</v>
      </c>
      <c r="AV332">
        <v>201</v>
      </c>
      <c r="AW332"/>
      <c r="AX332"/>
      <c r="AY332"/>
      <c r="AZ332"/>
      <c r="BA332"/>
      <c r="BB332">
        <v>295</v>
      </c>
      <c r="BC332">
        <v>307</v>
      </c>
      <c r="BD332"/>
      <c r="BE332" t="s">
        <v>2422</v>
      </c>
      <c r="BF332" t="str">
        <f>HYPERLINK("http://dx.doi.org/10.1016/j.jclepro.2018.07.306","http://dx.doi.org/10.1016/j.jclepro.2018.07.306")</f>
        <v>http://dx.doi.org/10.1016/j.jclepro.2018.07.306</v>
      </c>
      <c r="BG332"/>
      <c r="BH332"/>
      <c r="BI332"/>
      <c r="BJ332" t="s">
        <v>139</v>
      </c>
      <c r="BK332"/>
      <c r="BL332"/>
      <c r="BM332"/>
      <c r="BN332"/>
      <c r="BO332"/>
      <c r="BP332"/>
      <c r="BQ332"/>
      <c r="BR332"/>
      <c r="BS332"/>
      <c r="BT332" t="str">
        <f>HYPERLINK("https%3A%2F%2Fwww.webofscience.com%2Fwos%2Fwoscc%2Ffull-record%2F","View Full Record in Web of Science")</f>
        <v>View Full Record in Web of Science</v>
      </c>
    </row>
    <row r="333" spans="1:72" customHeight="1" ht="12.75">
      <c r="A333" t="s">
        <v>72</v>
      </c>
      <c r="B333" t="s">
        <v>360</v>
      </c>
      <c r="C333"/>
      <c r="D333"/>
      <c r="E333"/>
      <c r="F333" t="s">
        <v>361</v>
      </c>
      <c r="G333"/>
      <c r="H333"/>
      <c r="I333" t="s">
        <v>2423</v>
      </c>
      <c r="J333" t="s">
        <v>133</v>
      </c>
      <c r="K333"/>
      <c r="L333"/>
      <c r="M333"/>
      <c r="N333" t="s">
        <v>112</v>
      </c>
      <c r="O333"/>
      <c r="P333"/>
      <c r="Q333"/>
      <c r="R333"/>
      <c r="S333"/>
      <c r="T333" t="s">
        <v>2424</v>
      </c>
      <c r="U333" t="s">
        <v>409</v>
      </c>
      <c r="V333"/>
      <c r="W333"/>
      <c r="X333"/>
      <c r="Y333"/>
      <c r="Z333"/>
      <c r="AA333"/>
      <c r="AB333"/>
      <c r="AC333"/>
      <c r="AD333"/>
      <c r="AE333"/>
      <c r="AF333"/>
      <c r="AG333"/>
      <c r="AH333">
        <v>188</v>
      </c>
      <c r="AI333">
        <v>210</v>
      </c>
      <c r="AJ333"/>
      <c r="AK333"/>
      <c r="AL333"/>
      <c r="AM333"/>
      <c r="AN333"/>
      <c r="AO333" t="s">
        <v>136</v>
      </c>
      <c r="AP333"/>
      <c r="AQ333"/>
      <c r="AR333"/>
      <c r="AS333"/>
      <c r="AT333" t="s">
        <v>128</v>
      </c>
      <c r="AU333">
        <v>2009</v>
      </c>
      <c r="AV333">
        <v>13</v>
      </c>
      <c r="AW333">
        <v>6</v>
      </c>
      <c r="AX333"/>
      <c r="AY333"/>
      <c r="AZ333"/>
      <c r="BA333"/>
      <c r="BB333">
        <v>898</v>
      </c>
      <c r="BC333">
        <v>913</v>
      </c>
      <c r="BD333"/>
      <c r="BE333" t="s">
        <v>2425</v>
      </c>
      <c r="BF333" t="str">
        <f>HYPERLINK("http://dx.doi.org/10.1111/j.1530-9290.2009.00169.x","http://dx.doi.org/10.1111/j.1530-9290.2009.00169.x")</f>
        <v>http://dx.doi.org/10.1111/j.1530-9290.2009.00169.x</v>
      </c>
      <c r="BG333"/>
      <c r="BH333"/>
      <c r="BI333"/>
      <c r="BJ333" t="s">
        <v>139</v>
      </c>
      <c r="BK333"/>
      <c r="BL333"/>
      <c r="BM333"/>
      <c r="BN333"/>
      <c r="BO333"/>
      <c r="BP333"/>
      <c r="BQ333"/>
      <c r="BR333"/>
      <c r="BS333"/>
      <c r="BT333" t="str">
        <f>HYPERLINK("https%3A%2F%2Fwww.webofscience.com%2Fwos%2Fwoscc%2Ffull-record%2F","View Full Record in Web of Science")</f>
        <v>View Full Record in Web of Science</v>
      </c>
    </row>
    <row r="334" spans="1:72" customHeight="1" ht="12.75">
      <c r="A334" t="s">
        <v>72</v>
      </c>
      <c r="B334" t="s">
        <v>2426</v>
      </c>
      <c r="C334"/>
      <c r="D334"/>
      <c r="E334"/>
      <c r="F334" t="s">
        <v>2427</v>
      </c>
      <c r="G334"/>
      <c r="H334"/>
      <c r="I334" t="s">
        <v>2428</v>
      </c>
      <c r="J334" t="s">
        <v>587</v>
      </c>
      <c r="K334"/>
      <c r="L334"/>
      <c r="M334"/>
      <c r="N334" t="s">
        <v>112</v>
      </c>
      <c r="O334"/>
      <c r="P334"/>
      <c r="Q334"/>
      <c r="R334"/>
      <c r="S334"/>
      <c r="T334" t="s">
        <v>2429</v>
      </c>
      <c r="U334" t="s">
        <v>2430</v>
      </c>
      <c r="V334"/>
      <c r="W334"/>
      <c r="X334"/>
      <c r="Y334"/>
      <c r="Z334"/>
      <c r="AA334"/>
      <c r="AB334"/>
      <c r="AC334"/>
      <c r="AD334"/>
      <c r="AE334"/>
      <c r="AF334"/>
      <c r="AG334"/>
      <c r="AH334">
        <v>15</v>
      </c>
      <c r="AI334">
        <v>16</v>
      </c>
      <c r="AJ334"/>
      <c r="AK334"/>
      <c r="AL334"/>
      <c r="AM334"/>
      <c r="AN334"/>
      <c r="AO334" t="s">
        <v>590</v>
      </c>
      <c r="AP334" t="s">
        <v>591</v>
      </c>
      <c r="AQ334"/>
      <c r="AR334"/>
      <c r="AS334"/>
      <c r="AT334" t="s">
        <v>2308</v>
      </c>
      <c r="AU334">
        <v>2017</v>
      </c>
      <c r="AV334">
        <v>151</v>
      </c>
      <c r="AW334"/>
      <c r="AX334"/>
      <c r="AY334"/>
      <c r="AZ334"/>
      <c r="BA334"/>
      <c r="BB334">
        <v>10</v>
      </c>
      <c r="BC334">
        <v>20</v>
      </c>
      <c r="BD334"/>
      <c r="BE334" t="s">
        <v>2431</v>
      </c>
      <c r="BF334" t="str">
        <f>HYPERLINK("http://dx.doi.org/10.1016/j.jclepro.2017.03.048","http://dx.doi.org/10.1016/j.jclepro.2017.03.048")</f>
        <v>http://dx.doi.org/10.1016/j.jclepro.2017.03.048</v>
      </c>
      <c r="BG334"/>
      <c r="BH334"/>
      <c r="BI334"/>
      <c r="BJ334" t="s">
        <v>139</v>
      </c>
      <c r="BK334"/>
      <c r="BL334"/>
      <c r="BM334"/>
      <c r="BN334"/>
      <c r="BO334"/>
      <c r="BP334"/>
      <c r="BQ334"/>
      <c r="BR334"/>
      <c r="BS334"/>
      <c r="BT334" t="str">
        <f>HYPERLINK("https%3A%2F%2Fwww.webofscience.com%2Fwos%2Fwoscc%2Ffull-record%2F","View Full Record in Web of Science")</f>
        <v>View Full Record in Web of Science</v>
      </c>
    </row>
    <row r="335" spans="1:72" customHeight="1" ht="12.75">
      <c r="A335" t="s">
        <v>72</v>
      </c>
      <c r="B335" t="s">
        <v>758</v>
      </c>
      <c r="C335"/>
      <c r="D335"/>
      <c r="E335"/>
      <c r="F335" t="s">
        <v>759</v>
      </c>
      <c r="G335"/>
      <c r="H335"/>
      <c r="I335" t="s">
        <v>2432</v>
      </c>
      <c r="J335" t="s">
        <v>111</v>
      </c>
      <c r="K335"/>
      <c r="L335"/>
      <c r="M335"/>
      <c r="N335" t="s">
        <v>77</v>
      </c>
      <c r="O335"/>
      <c r="P335"/>
      <c r="Q335"/>
      <c r="R335"/>
      <c r="S335"/>
      <c r="T335" t="s">
        <v>2433</v>
      </c>
      <c r="U335" t="s">
        <v>2434</v>
      </c>
      <c r="V335"/>
      <c r="W335"/>
      <c r="X335"/>
      <c r="Y335"/>
      <c r="Z335"/>
      <c r="AA335"/>
      <c r="AB335"/>
      <c r="AC335"/>
      <c r="AD335"/>
      <c r="AE335"/>
      <c r="AF335"/>
      <c r="AG335"/>
      <c r="AH335">
        <v>37</v>
      </c>
      <c r="AI335">
        <v>39</v>
      </c>
      <c r="AJ335"/>
      <c r="AK335"/>
      <c r="AL335"/>
      <c r="AM335"/>
      <c r="AN335"/>
      <c r="AO335" t="s">
        <v>115</v>
      </c>
      <c r="AP335" t="s">
        <v>116</v>
      </c>
      <c r="AQ335"/>
      <c r="AR335"/>
      <c r="AS335"/>
      <c r="AT335" t="s">
        <v>128</v>
      </c>
      <c r="AU335">
        <v>2020</v>
      </c>
      <c r="AV335">
        <v>163</v>
      </c>
      <c r="AW335"/>
      <c r="AX335"/>
      <c r="AY335"/>
      <c r="AZ335"/>
      <c r="BA335"/>
      <c r="BB335"/>
      <c r="BC335"/>
      <c r="BD335">
        <v>105095</v>
      </c>
      <c r="BE335" t="s">
        <v>2435</v>
      </c>
      <c r="BF335" t="str">
        <f>HYPERLINK("http://dx.doi.org/10.1016/j.resconrec.2020.105095","http://dx.doi.org/10.1016/j.resconrec.2020.105095")</f>
        <v>http://dx.doi.org/10.1016/j.resconrec.2020.105095</v>
      </c>
      <c r="BG335"/>
      <c r="BH335"/>
      <c r="BI335"/>
      <c r="BJ335" t="s">
        <v>119</v>
      </c>
      <c r="BK335"/>
      <c r="BL335"/>
      <c r="BM335"/>
      <c r="BN335"/>
      <c r="BO335"/>
      <c r="BP335"/>
      <c r="BQ335"/>
      <c r="BR335"/>
      <c r="BS335"/>
      <c r="BT335" t="str">
        <f>HYPERLINK("https%3A%2F%2Fwww.webofscience.com%2Fwos%2Fwoscc%2Ffull-record%2F","View Full Record in Web of Science")</f>
        <v>View Full Record in Web of Science</v>
      </c>
    </row>
    <row r="336" spans="1:72" customHeight="1" ht="12.75">
      <c r="A336" t="s">
        <v>72</v>
      </c>
      <c r="B336" t="s">
        <v>2436</v>
      </c>
      <c r="C336"/>
      <c r="D336"/>
      <c r="E336"/>
      <c r="F336" t="s">
        <v>2437</v>
      </c>
      <c r="G336"/>
      <c r="H336"/>
      <c r="I336" t="s">
        <v>2438</v>
      </c>
      <c r="J336" t="s">
        <v>587</v>
      </c>
      <c r="K336"/>
      <c r="L336"/>
      <c r="M336"/>
      <c r="N336" t="s">
        <v>112</v>
      </c>
      <c r="O336"/>
      <c r="P336"/>
      <c r="Q336"/>
      <c r="R336"/>
      <c r="S336"/>
      <c r="T336" t="s">
        <v>2439</v>
      </c>
      <c r="U336" t="s">
        <v>2440</v>
      </c>
      <c r="V336"/>
      <c r="W336"/>
      <c r="X336"/>
      <c r="Y336"/>
      <c r="Z336"/>
      <c r="AA336"/>
      <c r="AB336"/>
      <c r="AC336"/>
      <c r="AD336"/>
      <c r="AE336"/>
      <c r="AF336"/>
      <c r="AG336"/>
      <c r="AH336">
        <v>21</v>
      </c>
      <c r="AI336">
        <v>22</v>
      </c>
      <c r="AJ336"/>
      <c r="AK336"/>
      <c r="AL336"/>
      <c r="AM336"/>
      <c r="AN336"/>
      <c r="AO336" t="s">
        <v>590</v>
      </c>
      <c r="AP336" t="s">
        <v>591</v>
      </c>
      <c r="AQ336"/>
      <c r="AR336"/>
      <c r="AS336"/>
      <c r="AT336" t="s">
        <v>2441</v>
      </c>
      <c r="AU336">
        <v>2020</v>
      </c>
      <c r="AV336">
        <v>249</v>
      </c>
      <c r="AW336"/>
      <c r="AX336"/>
      <c r="AY336"/>
      <c r="AZ336"/>
      <c r="BA336"/>
      <c r="BB336"/>
      <c r="BC336"/>
      <c r="BD336">
        <v>119338</v>
      </c>
      <c r="BE336" t="s">
        <v>2442</v>
      </c>
      <c r="BF336" t="str">
        <f>HYPERLINK("http://dx.doi.org/10.1016/j.jclepro.2019.119338","http://dx.doi.org/10.1016/j.jclepro.2019.119338")</f>
        <v>http://dx.doi.org/10.1016/j.jclepro.2019.119338</v>
      </c>
      <c r="BG336"/>
      <c r="BH336"/>
      <c r="BI336"/>
      <c r="BJ336" t="s">
        <v>139</v>
      </c>
      <c r="BK336"/>
      <c r="BL336"/>
      <c r="BM336"/>
      <c r="BN336"/>
      <c r="BO336"/>
      <c r="BP336"/>
      <c r="BQ336"/>
      <c r="BR336"/>
      <c r="BS336"/>
      <c r="BT336" t="str">
        <f>HYPERLINK("https%3A%2F%2Fwww.webofscience.com%2Fwos%2Fwoscc%2Ffull-record%2F","View Full Record in Web of Science")</f>
        <v>View Full Record in Web of Science</v>
      </c>
    </row>
    <row r="337" spans="1:72" customHeight="1" ht="12.75">
      <c r="A337" t="s">
        <v>72</v>
      </c>
      <c r="B337" t="s">
        <v>2443</v>
      </c>
      <c r="C337"/>
      <c r="D337"/>
      <c r="E337"/>
      <c r="F337" t="s">
        <v>2444</v>
      </c>
      <c r="G337"/>
      <c r="H337"/>
      <c r="I337" t="s">
        <v>2445</v>
      </c>
      <c r="J337" t="s">
        <v>587</v>
      </c>
      <c r="K337"/>
      <c r="L337"/>
      <c r="M337"/>
      <c r="N337" t="s">
        <v>325</v>
      </c>
      <c r="O337"/>
      <c r="P337"/>
      <c r="Q337"/>
      <c r="R337"/>
      <c r="S337"/>
      <c r="T337" t="s">
        <v>2446</v>
      </c>
      <c r="U337" t="s">
        <v>2447</v>
      </c>
      <c r="V337"/>
      <c r="W337"/>
      <c r="X337"/>
      <c r="Y337"/>
      <c r="Z337"/>
      <c r="AA337"/>
      <c r="AB337"/>
      <c r="AC337"/>
      <c r="AD337"/>
      <c r="AE337"/>
      <c r="AF337"/>
      <c r="AG337"/>
      <c r="AH337">
        <v>3</v>
      </c>
      <c r="AI337">
        <v>3</v>
      </c>
      <c r="AJ337"/>
      <c r="AK337"/>
      <c r="AL337"/>
      <c r="AM337"/>
      <c r="AN337"/>
      <c r="AO337" t="s">
        <v>590</v>
      </c>
      <c r="AP337" t="s">
        <v>591</v>
      </c>
      <c r="AQ337"/>
      <c r="AR337"/>
      <c r="AS337"/>
      <c r="AT337" t="s">
        <v>2448</v>
      </c>
      <c r="AU337">
        <v>2022</v>
      </c>
      <c r="AV337">
        <v>336</v>
      </c>
      <c r="AW337"/>
      <c r="AX337"/>
      <c r="AY337"/>
      <c r="AZ337"/>
      <c r="BA337"/>
      <c r="BB337"/>
      <c r="BC337"/>
      <c r="BD337">
        <v>130402</v>
      </c>
      <c r="BE337" t="s">
        <v>2449</v>
      </c>
      <c r="BF337" t="str">
        <f>HYPERLINK("http://dx.doi.org/10.1016/j.jclepro.2022.130402","http://dx.doi.org/10.1016/j.jclepro.2022.130402")</f>
        <v>http://dx.doi.org/10.1016/j.jclepro.2022.130402</v>
      </c>
      <c r="BG337"/>
      <c r="BH337" t="s">
        <v>2450</v>
      </c>
      <c r="BI337"/>
      <c r="BJ337" t="s">
        <v>139</v>
      </c>
      <c r="BK337"/>
      <c r="BL337"/>
      <c r="BM337"/>
      <c r="BN337"/>
      <c r="BO337"/>
      <c r="BP337"/>
      <c r="BQ337"/>
      <c r="BR337"/>
      <c r="BS337"/>
      <c r="BT337" t="str">
        <f>HYPERLINK("https%3A%2F%2Fwww.webofscience.com%2Fwos%2Fwoscc%2Ffull-record%2F","View Full Record in Web of Science")</f>
        <v>View Full Record in Web of Science</v>
      </c>
    </row>
    <row r="338" spans="1:72" customHeight="1" ht="12.75">
      <c r="A338" t="s">
        <v>72</v>
      </c>
      <c r="B338" t="s">
        <v>2451</v>
      </c>
      <c r="C338"/>
      <c r="D338"/>
      <c r="E338"/>
      <c r="F338" t="s">
        <v>2452</v>
      </c>
      <c r="G338"/>
      <c r="H338"/>
      <c r="I338" t="s">
        <v>2453</v>
      </c>
      <c r="J338" t="s">
        <v>1360</v>
      </c>
      <c r="K338"/>
      <c r="L338"/>
      <c r="M338"/>
      <c r="N338" t="s">
        <v>112</v>
      </c>
      <c r="O338"/>
      <c r="P338"/>
      <c r="Q338"/>
      <c r="R338"/>
      <c r="S338"/>
      <c r="T338" t="s">
        <v>2454</v>
      </c>
      <c r="U338" t="s">
        <v>2455</v>
      </c>
      <c r="V338"/>
      <c r="W338"/>
      <c r="X338"/>
      <c r="Y338"/>
      <c r="Z338"/>
      <c r="AA338"/>
      <c r="AB338"/>
      <c r="AC338"/>
      <c r="AD338"/>
      <c r="AE338"/>
      <c r="AF338"/>
      <c r="AG338"/>
      <c r="AH338">
        <v>13</v>
      </c>
      <c r="AI338">
        <v>13</v>
      </c>
      <c r="AJ338"/>
      <c r="AK338"/>
      <c r="AL338"/>
      <c r="AM338"/>
      <c r="AN338"/>
      <c r="AO338" t="s">
        <v>1363</v>
      </c>
      <c r="AP338" t="s">
        <v>1364</v>
      </c>
      <c r="AQ338"/>
      <c r="AR338"/>
      <c r="AS338"/>
      <c r="AT338" t="s">
        <v>2456</v>
      </c>
      <c r="AU338">
        <v>2019</v>
      </c>
      <c r="AV338">
        <v>254</v>
      </c>
      <c r="AW338"/>
      <c r="AX338"/>
      <c r="AY338"/>
      <c r="AZ338"/>
      <c r="BA338"/>
      <c r="BB338"/>
      <c r="BC338"/>
      <c r="BD338">
        <v>113618</v>
      </c>
      <c r="BE338" t="s">
        <v>2457</v>
      </c>
      <c r="BF338" t="str">
        <f>HYPERLINK("http://dx.doi.org/10.1016/j.apenergy.2019.113618","http://dx.doi.org/10.1016/j.apenergy.2019.113618")</f>
        <v>http://dx.doi.org/10.1016/j.apenergy.2019.113618</v>
      </c>
      <c r="BG338"/>
      <c r="BH338"/>
      <c r="BI338"/>
      <c r="BJ338" t="s">
        <v>1367</v>
      </c>
      <c r="BK338"/>
      <c r="BL338"/>
      <c r="BM338"/>
      <c r="BN338"/>
      <c r="BO338"/>
      <c r="BP338"/>
      <c r="BQ338"/>
      <c r="BR338"/>
      <c r="BS338"/>
      <c r="BT338" t="str">
        <f>HYPERLINK("https%3A%2F%2Fwww.webofscience.com%2Fwos%2Fwoscc%2Ffull-record%2F","View Full Record in Web of Science")</f>
        <v>View Full Record in Web of Science</v>
      </c>
    </row>
    <row r="339" spans="1:72" customHeight="1" ht="12.75">
      <c r="A339" t="s">
        <v>72</v>
      </c>
      <c r="B339" t="s">
        <v>2458</v>
      </c>
      <c r="C339"/>
      <c r="D339"/>
      <c r="E339"/>
      <c r="F339" t="s">
        <v>2459</v>
      </c>
      <c r="G339"/>
      <c r="H339"/>
      <c r="I339" t="s">
        <v>2460</v>
      </c>
      <c r="J339" t="s">
        <v>133</v>
      </c>
      <c r="K339"/>
      <c r="L339"/>
      <c r="M339"/>
      <c r="N339" t="s">
        <v>112</v>
      </c>
      <c r="O339"/>
      <c r="P339"/>
      <c r="Q339"/>
      <c r="R339"/>
      <c r="S339"/>
      <c r="T339" t="s">
        <v>2461</v>
      </c>
      <c r="U339" t="s">
        <v>2462</v>
      </c>
      <c r="V339"/>
      <c r="W339"/>
      <c r="X339"/>
      <c r="Y339"/>
      <c r="Z339"/>
      <c r="AA339"/>
      <c r="AB339"/>
      <c r="AC339"/>
      <c r="AD339"/>
      <c r="AE339"/>
      <c r="AF339"/>
      <c r="AG339"/>
      <c r="AH339">
        <v>34</v>
      </c>
      <c r="AI339">
        <v>43</v>
      </c>
      <c r="AJ339"/>
      <c r="AK339"/>
      <c r="AL339"/>
      <c r="AM339"/>
      <c r="AN339"/>
      <c r="AO339" t="s">
        <v>136</v>
      </c>
      <c r="AP339" t="s">
        <v>137</v>
      </c>
      <c r="AQ339"/>
      <c r="AR339"/>
      <c r="AS339"/>
      <c r="AT339" t="s">
        <v>128</v>
      </c>
      <c r="AU339">
        <v>2012</v>
      </c>
      <c r="AV339">
        <v>16</v>
      </c>
      <c r="AW339">
        <v>6</v>
      </c>
      <c r="AX339"/>
      <c r="AY339"/>
      <c r="AZ339" t="s">
        <v>222</v>
      </c>
      <c r="BA339"/>
      <c r="BB339">
        <v>839</v>
      </c>
      <c r="BC339">
        <v>850</v>
      </c>
      <c r="BD339"/>
      <c r="BE339" t="s">
        <v>2463</v>
      </c>
      <c r="BF339" t="str">
        <f>HYPERLINK("http://dx.doi.org/10.1111/j.1530-9290.2012.00561.x","http://dx.doi.org/10.1111/j.1530-9290.2012.00561.x")</f>
        <v>http://dx.doi.org/10.1111/j.1530-9290.2012.00561.x</v>
      </c>
      <c r="BG339"/>
      <c r="BH339"/>
      <c r="BI339"/>
      <c r="BJ339" t="s">
        <v>139</v>
      </c>
      <c r="BK339"/>
      <c r="BL339"/>
      <c r="BM339"/>
      <c r="BN339"/>
      <c r="BO339"/>
      <c r="BP339"/>
      <c r="BQ339"/>
      <c r="BR339"/>
      <c r="BS339"/>
      <c r="BT339" t="str">
        <f>HYPERLINK("https%3A%2F%2Fwww.webofscience.com%2Fwos%2Fwoscc%2Ffull-record%2F","View Full Record in Web of Science")</f>
        <v>View Full Record in Web of Science</v>
      </c>
    </row>
    <row r="340" spans="1:72" customHeight="1" ht="12.75">
      <c r="A340" t="s">
        <v>72</v>
      </c>
      <c r="B340" t="s">
        <v>2464</v>
      </c>
      <c r="C340"/>
      <c r="D340"/>
      <c r="E340"/>
      <c r="F340" t="s">
        <v>2465</v>
      </c>
      <c r="G340"/>
      <c r="H340"/>
      <c r="I340" t="s">
        <v>2466</v>
      </c>
      <c r="J340" t="s">
        <v>283</v>
      </c>
      <c r="K340"/>
      <c r="L340"/>
      <c r="M340"/>
      <c r="N340" t="s">
        <v>112</v>
      </c>
      <c r="O340"/>
      <c r="P340"/>
      <c r="Q340"/>
      <c r="R340"/>
      <c r="S340"/>
      <c r="T340" t="s">
        <v>2467</v>
      </c>
      <c r="U340" t="s">
        <v>2468</v>
      </c>
      <c r="V340"/>
      <c r="W340"/>
      <c r="X340"/>
      <c r="Y340"/>
      <c r="Z340"/>
      <c r="AA340"/>
      <c r="AB340"/>
      <c r="AC340"/>
      <c r="AD340"/>
      <c r="AE340"/>
      <c r="AF340"/>
      <c r="AG340"/>
      <c r="AH340">
        <v>29</v>
      </c>
      <c r="AI340">
        <v>35</v>
      </c>
      <c r="AJ340"/>
      <c r="AK340"/>
      <c r="AL340"/>
      <c r="AM340"/>
      <c r="AN340"/>
      <c r="AO340" t="s">
        <v>286</v>
      </c>
      <c r="AP340" t="s">
        <v>287</v>
      </c>
      <c r="AQ340"/>
      <c r="AR340"/>
      <c r="AS340"/>
      <c r="AT340" t="s">
        <v>198</v>
      </c>
      <c r="AU340">
        <v>2017</v>
      </c>
      <c r="AV340">
        <v>85</v>
      </c>
      <c r="AW340"/>
      <c r="AX340"/>
      <c r="AY340"/>
      <c r="AZ340"/>
      <c r="BA340"/>
      <c r="BB340">
        <v>368</v>
      </c>
      <c r="BC340">
        <v>380</v>
      </c>
      <c r="BD340"/>
      <c r="BE340" t="s">
        <v>2469</v>
      </c>
      <c r="BF340" t="str">
        <f>HYPERLINK("http://dx.doi.org/10.1016/j.geoforum.2016.09.020","http://dx.doi.org/10.1016/j.geoforum.2016.09.020")</f>
        <v>http://dx.doi.org/10.1016/j.geoforum.2016.09.020</v>
      </c>
      <c r="BG340"/>
      <c r="BH340"/>
      <c r="BI340"/>
      <c r="BJ340" t="s">
        <v>83</v>
      </c>
      <c r="BK340"/>
      <c r="BL340"/>
      <c r="BM340"/>
      <c r="BN340"/>
      <c r="BO340"/>
      <c r="BP340"/>
      <c r="BQ340"/>
      <c r="BR340"/>
      <c r="BS340"/>
      <c r="BT340" t="str">
        <f>HYPERLINK("https%3A%2F%2Fwww.webofscience.com%2Fwos%2Fwoscc%2Ffull-record%2F","View Full Record in Web of Science")</f>
        <v>View Full Record in Web of Science</v>
      </c>
    </row>
    <row r="341" spans="1:72" customHeight="1" ht="12.75">
      <c r="A341" t="s">
        <v>72</v>
      </c>
      <c r="B341" t="s">
        <v>2470</v>
      </c>
      <c r="C341"/>
      <c r="D341"/>
      <c r="E341"/>
      <c r="F341" t="s">
        <v>2471</v>
      </c>
      <c r="G341"/>
      <c r="H341"/>
      <c r="I341" t="s">
        <v>2472</v>
      </c>
      <c r="J341" t="s">
        <v>133</v>
      </c>
      <c r="K341"/>
      <c r="L341"/>
      <c r="M341"/>
      <c r="N341" t="s">
        <v>325</v>
      </c>
      <c r="O341"/>
      <c r="P341"/>
      <c r="Q341"/>
      <c r="R341"/>
      <c r="S341"/>
      <c r="T341" t="s">
        <v>2473</v>
      </c>
      <c r="U341" t="s">
        <v>1330</v>
      </c>
      <c r="V341"/>
      <c r="W341"/>
      <c r="X341"/>
      <c r="Y341"/>
      <c r="Z341"/>
      <c r="AA341"/>
      <c r="AB341"/>
      <c r="AC341"/>
      <c r="AD341"/>
      <c r="AE341"/>
      <c r="AF341"/>
      <c r="AG341"/>
      <c r="AH341">
        <v>6</v>
      </c>
      <c r="AI341">
        <v>6</v>
      </c>
      <c r="AJ341"/>
      <c r="AK341"/>
      <c r="AL341"/>
      <c r="AM341"/>
      <c r="AN341"/>
      <c r="AO341" t="s">
        <v>136</v>
      </c>
      <c r="AP341" t="s">
        <v>137</v>
      </c>
      <c r="AQ341"/>
      <c r="AR341"/>
      <c r="AS341"/>
      <c r="AT341" t="s">
        <v>2474</v>
      </c>
      <c r="AU341">
        <v>2020</v>
      </c>
      <c r="AV341">
        <v>24</v>
      </c>
      <c r="AW341">
        <v>3</v>
      </c>
      <c r="AX341"/>
      <c r="AY341"/>
      <c r="AZ341"/>
      <c r="BA341"/>
      <c r="BB341">
        <v>459</v>
      </c>
      <c r="BC341">
        <v>472</v>
      </c>
      <c r="BD341"/>
      <c r="BE341" t="s">
        <v>2475</v>
      </c>
      <c r="BF341" t="str">
        <f>HYPERLINK("http://dx.doi.org/10.1111/jiec.12963","http://dx.doi.org/10.1111/jiec.12963")</f>
        <v>http://dx.doi.org/10.1111/jiec.12963</v>
      </c>
      <c r="BG341"/>
      <c r="BH341" t="s">
        <v>2476</v>
      </c>
      <c r="BI341"/>
      <c r="BJ341" t="s">
        <v>139</v>
      </c>
      <c r="BK341"/>
      <c r="BL341"/>
      <c r="BM341"/>
      <c r="BN341"/>
      <c r="BO341"/>
      <c r="BP341"/>
      <c r="BQ341"/>
      <c r="BR341"/>
      <c r="BS341"/>
      <c r="BT341" t="str">
        <f>HYPERLINK("https%3A%2F%2Fwww.webofscience.com%2Fwos%2Fwoscc%2Ffull-record%2F","View Full Record in Web of Science")</f>
        <v>View Full Record in Web of Science</v>
      </c>
    </row>
    <row r="342" spans="1:72" customHeight="1" ht="12.75">
      <c r="A342" t="s">
        <v>72</v>
      </c>
      <c r="B342" t="s">
        <v>2477</v>
      </c>
      <c r="C342"/>
      <c r="D342"/>
      <c r="E342"/>
      <c r="F342" t="s">
        <v>2478</v>
      </c>
      <c r="G342"/>
      <c r="H342"/>
      <c r="I342" t="s">
        <v>2479</v>
      </c>
      <c r="J342" t="s">
        <v>697</v>
      </c>
      <c r="K342"/>
      <c r="L342"/>
      <c r="M342"/>
      <c r="N342" t="s">
        <v>77</v>
      </c>
      <c r="O342"/>
      <c r="P342"/>
      <c r="Q342"/>
      <c r="R342"/>
      <c r="S342"/>
      <c r="T342" t="s">
        <v>2480</v>
      </c>
      <c r="U342" t="s">
        <v>2481</v>
      </c>
      <c r="V342"/>
      <c r="W342"/>
      <c r="X342"/>
      <c r="Y342"/>
      <c r="Z342"/>
      <c r="AA342"/>
      <c r="AB342"/>
      <c r="AC342"/>
      <c r="AD342"/>
      <c r="AE342"/>
      <c r="AF342"/>
      <c r="AG342"/>
      <c r="AH342">
        <v>36</v>
      </c>
      <c r="AI342">
        <v>37</v>
      </c>
      <c r="AJ342"/>
      <c r="AK342"/>
      <c r="AL342"/>
      <c r="AM342"/>
      <c r="AN342"/>
      <c r="AO342" t="s">
        <v>699</v>
      </c>
      <c r="AP342" t="s">
        <v>700</v>
      </c>
      <c r="AQ342"/>
      <c r="AR342"/>
      <c r="AS342"/>
      <c r="AT342" t="s">
        <v>128</v>
      </c>
      <c r="AU342">
        <v>2020</v>
      </c>
      <c r="AV342">
        <v>63</v>
      </c>
      <c r="AW342"/>
      <c r="AX342"/>
      <c r="AY342"/>
      <c r="AZ342"/>
      <c r="BA342"/>
      <c r="BB342"/>
      <c r="BC342"/>
      <c r="BD342">
        <v>102486</v>
      </c>
      <c r="BE342" t="s">
        <v>2482</v>
      </c>
      <c r="BF342" t="str">
        <f>HYPERLINK("http://dx.doi.org/10.1016/j.scs.2020.102486","http://dx.doi.org/10.1016/j.scs.2020.102486")</f>
        <v>http://dx.doi.org/10.1016/j.scs.2020.102486</v>
      </c>
      <c r="BG342"/>
      <c r="BH342"/>
      <c r="BI342"/>
      <c r="BJ342" t="s">
        <v>702</v>
      </c>
      <c r="BK342"/>
      <c r="BL342"/>
      <c r="BM342"/>
      <c r="BN342"/>
      <c r="BO342"/>
      <c r="BP342"/>
      <c r="BQ342"/>
      <c r="BR342"/>
      <c r="BS342"/>
      <c r="BT342" t="str">
        <f>HYPERLINK("https%3A%2F%2Fwww.webofscience.com%2Fwos%2Fwoscc%2Ffull-record%2F","View Full Record in Web of Science")</f>
        <v>View Full Record in Web of Science</v>
      </c>
    </row>
    <row r="343" spans="1:72" customHeight="1" ht="12.75">
      <c r="A343" t="s">
        <v>72</v>
      </c>
      <c r="B343" t="s">
        <v>667</v>
      </c>
      <c r="C343"/>
      <c r="D343"/>
      <c r="E343"/>
      <c r="F343" t="s">
        <v>668</v>
      </c>
      <c r="G343"/>
      <c r="H343"/>
      <c r="I343" t="s">
        <v>2483</v>
      </c>
      <c r="J343" t="s">
        <v>133</v>
      </c>
      <c r="K343"/>
      <c r="L343"/>
      <c r="M343"/>
      <c r="N343" t="s">
        <v>112</v>
      </c>
      <c r="O343"/>
      <c r="P343"/>
      <c r="Q343"/>
      <c r="R343"/>
      <c r="S343"/>
      <c r="T343" t="s">
        <v>2484</v>
      </c>
      <c r="U343" t="s">
        <v>2485</v>
      </c>
      <c r="V343"/>
      <c r="W343"/>
      <c r="X343"/>
      <c r="Y343"/>
      <c r="Z343"/>
      <c r="AA343"/>
      <c r="AB343"/>
      <c r="AC343"/>
      <c r="AD343"/>
      <c r="AE343"/>
      <c r="AF343"/>
      <c r="AG343"/>
      <c r="AH343">
        <v>22</v>
      </c>
      <c r="AI343">
        <v>23</v>
      </c>
      <c r="AJ343"/>
      <c r="AK343"/>
      <c r="AL343"/>
      <c r="AM343"/>
      <c r="AN343"/>
      <c r="AO343" t="s">
        <v>136</v>
      </c>
      <c r="AP343" t="s">
        <v>137</v>
      </c>
      <c r="AQ343"/>
      <c r="AR343"/>
      <c r="AS343"/>
      <c r="AT343" t="s">
        <v>128</v>
      </c>
      <c r="AU343">
        <v>2018</v>
      </c>
      <c r="AV343">
        <v>22</v>
      </c>
      <c r="AW343">
        <v>6</v>
      </c>
      <c r="AX343"/>
      <c r="AY343"/>
      <c r="AZ343"/>
      <c r="BA343"/>
      <c r="BB343">
        <v>1413</v>
      </c>
      <c r="BC343">
        <v>1424</v>
      </c>
      <c r="BD343"/>
      <c r="BE343" t="s">
        <v>2486</v>
      </c>
      <c r="BF343" t="str">
        <f>HYPERLINK("http://dx.doi.org/10.1111/jiec.12705","http://dx.doi.org/10.1111/jiec.12705")</f>
        <v>http://dx.doi.org/10.1111/jiec.12705</v>
      </c>
      <c r="BG343"/>
      <c r="BH343"/>
      <c r="BI343"/>
      <c r="BJ343" t="s">
        <v>139</v>
      </c>
      <c r="BK343"/>
      <c r="BL343"/>
      <c r="BM343"/>
      <c r="BN343"/>
      <c r="BO343"/>
      <c r="BP343"/>
      <c r="BQ343"/>
      <c r="BR343"/>
      <c r="BS343"/>
      <c r="BT343" t="str">
        <f>HYPERLINK("https%3A%2F%2Fwww.webofscience.com%2Fwos%2Fwoscc%2Ffull-record%2F","View Full Record in Web of Science")</f>
        <v>View Full Record in Web of Science</v>
      </c>
    </row>
    <row r="344" spans="1:72" customHeight="1" ht="12.75">
      <c r="A344" t="s">
        <v>72</v>
      </c>
      <c r="B344" t="s">
        <v>2487</v>
      </c>
      <c r="C344"/>
      <c r="D344"/>
      <c r="E344"/>
      <c r="F344" t="s">
        <v>2488</v>
      </c>
      <c r="G344"/>
      <c r="H344"/>
      <c r="I344" t="s">
        <v>2489</v>
      </c>
      <c r="J344" t="s">
        <v>2490</v>
      </c>
      <c r="K344"/>
      <c r="L344"/>
      <c r="M344"/>
      <c r="N344" t="s">
        <v>112</v>
      </c>
      <c r="O344"/>
      <c r="P344"/>
      <c r="Q344"/>
      <c r="R344"/>
      <c r="S344"/>
      <c r="T344" t="s">
        <v>2491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>
        <v>0.0</v>
      </c>
      <c r="AI344">
        <v>0.0</v>
      </c>
      <c r="AJ344"/>
      <c r="AK344"/>
      <c r="AL344"/>
      <c r="AM344"/>
      <c r="AN344"/>
      <c r="AO344" t="s">
        <v>2492</v>
      </c>
      <c r="AP344" t="s">
        <v>2493</v>
      </c>
      <c r="AQ344"/>
      <c r="AR344"/>
      <c r="AS344"/>
      <c r="AT344" t="s">
        <v>2494</v>
      </c>
      <c r="AU344">
        <v>2019</v>
      </c>
      <c r="AV344">
        <v>29</v>
      </c>
      <c r="AW344">
        <v>1</v>
      </c>
      <c r="AX344"/>
      <c r="AY344"/>
      <c r="AZ344"/>
      <c r="BA344"/>
      <c r="BB344">
        <v>23</v>
      </c>
      <c r="BC344">
        <v>32</v>
      </c>
      <c r="BD344"/>
      <c r="BE344" t="s">
        <v>2495</v>
      </c>
      <c r="BF344" t="str">
        <f>HYPERLINK("http://dx.doi.org/10.15446/bitacora.v29n1.67254","http://dx.doi.org/10.15446/bitacora.v29n1.67254")</f>
        <v>http://dx.doi.org/10.15446/bitacora.v29n1.67254</v>
      </c>
      <c r="BG344"/>
      <c r="BH344"/>
      <c r="BI344"/>
      <c r="BJ344" t="s">
        <v>243</v>
      </c>
      <c r="BK344"/>
      <c r="BL344"/>
      <c r="BM344"/>
      <c r="BN344"/>
      <c r="BO344"/>
      <c r="BP344"/>
      <c r="BQ344"/>
      <c r="BR344"/>
      <c r="BS344"/>
      <c r="BT344" t="str">
        <f>HYPERLINK("https%3A%2F%2Fwww.webofscience.com%2Fwos%2Fwoscc%2Ffull-record%2F","View Full Record in Web of Science")</f>
        <v>View Full Record in Web of Science</v>
      </c>
    </row>
    <row r="345" spans="1:72" customHeight="1" ht="12.75">
      <c r="A345" t="s">
        <v>72</v>
      </c>
      <c r="B345" t="s">
        <v>2496</v>
      </c>
      <c r="C345"/>
      <c r="D345"/>
      <c r="E345"/>
      <c r="F345" t="s">
        <v>2497</v>
      </c>
      <c r="G345"/>
      <c r="H345"/>
      <c r="I345" t="s">
        <v>2498</v>
      </c>
      <c r="J345" t="s">
        <v>1452</v>
      </c>
      <c r="K345"/>
      <c r="L345"/>
      <c r="M345"/>
      <c r="N345" t="s">
        <v>112</v>
      </c>
      <c r="O345"/>
      <c r="P345"/>
      <c r="Q345"/>
      <c r="R345"/>
      <c r="S345"/>
      <c r="T345" t="s">
        <v>2499</v>
      </c>
      <c r="U345" t="s">
        <v>2500</v>
      </c>
      <c r="V345"/>
      <c r="W345"/>
      <c r="X345"/>
      <c r="Y345"/>
      <c r="Z345"/>
      <c r="AA345"/>
      <c r="AB345"/>
      <c r="AC345"/>
      <c r="AD345"/>
      <c r="AE345"/>
      <c r="AF345"/>
      <c r="AG345"/>
      <c r="AH345">
        <v>8</v>
      </c>
      <c r="AI345">
        <v>9</v>
      </c>
      <c r="AJ345"/>
      <c r="AK345"/>
      <c r="AL345"/>
      <c r="AM345"/>
      <c r="AN345"/>
      <c r="AO345" t="s">
        <v>1455</v>
      </c>
      <c r="AP345" t="s">
        <v>1456</v>
      </c>
      <c r="AQ345"/>
      <c r="AR345"/>
      <c r="AS345"/>
      <c r="AT345" t="s">
        <v>2501</v>
      </c>
      <c r="AU345">
        <v>2013</v>
      </c>
      <c r="AV345">
        <v>56</v>
      </c>
      <c r="AW345">
        <v>2</v>
      </c>
      <c r="AX345"/>
      <c r="AY345"/>
      <c r="AZ345"/>
      <c r="BA345"/>
      <c r="BB345">
        <v>178</v>
      </c>
      <c r="BC345">
        <v>193</v>
      </c>
      <c r="BD345"/>
      <c r="BE345" t="s">
        <v>2502</v>
      </c>
      <c r="BF345" t="str">
        <f>HYPERLINK("http://dx.doi.org/10.1080/09640568.2012.657953","http://dx.doi.org/10.1080/09640568.2012.657953")</f>
        <v>http://dx.doi.org/10.1080/09640568.2012.657953</v>
      </c>
      <c r="BG345"/>
      <c r="BH345"/>
      <c r="BI345"/>
      <c r="BJ345" t="s">
        <v>1459</v>
      </c>
      <c r="BK345"/>
      <c r="BL345"/>
      <c r="BM345"/>
      <c r="BN345"/>
      <c r="BO345"/>
      <c r="BP345"/>
      <c r="BQ345"/>
      <c r="BR345"/>
      <c r="BS345"/>
      <c r="BT345" t="str">
        <f>HYPERLINK("https%3A%2F%2Fwww.webofscience.com%2Fwos%2Fwoscc%2Ffull-record%2F","View Full Record in Web of Science")</f>
        <v>View Full Record in Web of Science</v>
      </c>
    </row>
    <row r="346" spans="1:72" customHeight="1" ht="12.75">
      <c r="A346" t="s">
        <v>72</v>
      </c>
      <c r="B346" t="s">
        <v>2503</v>
      </c>
      <c r="C346"/>
      <c r="D346"/>
      <c r="E346"/>
      <c r="F346" t="s">
        <v>2504</v>
      </c>
      <c r="G346"/>
      <c r="H346"/>
      <c r="I346" t="s">
        <v>2505</v>
      </c>
      <c r="J346" t="s">
        <v>2000</v>
      </c>
      <c r="K346"/>
      <c r="L346"/>
      <c r="M346"/>
      <c r="N346" t="s">
        <v>112</v>
      </c>
      <c r="O346"/>
      <c r="P346"/>
      <c r="Q346"/>
      <c r="R346"/>
      <c r="S346"/>
      <c r="T346"/>
      <c r="U346" t="s">
        <v>2506</v>
      </c>
      <c r="V346"/>
      <c r="W346"/>
      <c r="X346"/>
      <c r="Y346"/>
      <c r="Z346"/>
      <c r="AA346"/>
      <c r="AB346"/>
      <c r="AC346"/>
      <c r="AD346"/>
      <c r="AE346"/>
      <c r="AF346"/>
      <c r="AG346"/>
      <c r="AH346">
        <v>0.0</v>
      </c>
      <c r="AI346">
        <v>0.0</v>
      </c>
      <c r="AJ346"/>
      <c r="AK346"/>
      <c r="AL346"/>
      <c r="AM346"/>
      <c r="AN346"/>
      <c r="AO346"/>
      <c r="AP346" t="s">
        <v>2002</v>
      </c>
      <c r="AQ346"/>
      <c r="AR346"/>
      <c r="AS346"/>
      <c r="AT346" t="s">
        <v>2507</v>
      </c>
      <c r="AU346">
        <v>2023</v>
      </c>
      <c r="AV346">
        <v>3</v>
      </c>
      <c r="AW346">
        <v>1</v>
      </c>
      <c r="AX346"/>
      <c r="AY346"/>
      <c r="AZ346"/>
      <c r="BA346"/>
      <c r="BB346"/>
      <c r="BC346"/>
      <c r="BD346">
        <v>52</v>
      </c>
      <c r="BE346" t="s">
        <v>2508</v>
      </c>
      <c r="BF346" t="str">
        <f>HYPERLINK("http://dx.doi.org/10.1038/s42949-023-00132-x","http://dx.doi.org/10.1038/s42949-023-00132-x")</f>
        <v>http://dx.doi.org/10.1038/s42949-023-00132-x</v>
      </c>
      <c r="BG346"/>
      <c r="BH346"/>
      <c r="BI346"/>
      <c r="BJ346" t="s">
        <v>2005</v>
      </c>
      <c r="BK346"/>
      <c r="BL346"/>
      <c r="BM346"/>
      <c r="BN346"/>
      <c r="BO346"/>
      <c r="BP346"/>
      <c r="BQ346"/>
      <c r="BR346"/>
      <c r="BS346"/>
      <c r="BT346" t="str">
        <f>HYPERLINK("https%3A%2F%2Fwww.webofscience.com%2Fwos%2Fwoscc%2Ffull-record%2F","View Full Record in Web of Science")</f>
        <v>View Full Record in Web of Science</v>
      </c>
    </row>
    <row r="347" spans="1:72" customHeight="1" ht="12.75">
      <c r="A347" t="s">
        <v>72</v>
      </c>
      <c r="B347" t="s">
        <v>2509</v>
      </c>
      <c r="C347"/>
      <c r="D347"/>
      <c r="E347"/>
      <c r="F347" t="s">
        <v>2510</v>
      </c>
      <c r="G347"/>
      <c r="H347"/>
      <c r="I347" t="s">
        <v>2511</v>
      </c>
      <c r="J347" t="s">
        <v>2512</v>
      </c>
      <c r="K347"/>
      <c r="L347"/>
      <c r="M347"/>
      <c r="N347" t="s">
        <v>112</v>
      </c>
      <c r="O347"/>
      <c r="P347"/>
      <c r="Q347"/>
      <c r="R347"/>
      <c r="S347"/>
      <c r="T347" t="s">
        <v>2513</v>
      </c>
      <c r="U347" t="s">
        <v>2514</v>
      </c>
      <c r="V347"/>
      <c r="W347"/>
      <c r="X347"/>
      <c r="Y347"/>
      <c r="Z347"/>
      <c r="AA347"/>
      <c r="AB347"/>
      <c r="AC347"/>
      <c r="AD347"/>
      <c r="AE347"/>
      <c r="AF347"/>
      <c r="AG347"/>
      <c r="AH347">
        <v>2</v>
      </c>
      <c r="AI347">
        <v>2</v>
      </c>
      <c r="AJ347"/>
      <c r="AK347"/>
      <c r="AL347"/>
      <c r="AM347"/>
      <c r="AN347"/>
      <c r="AO347" t="s">
        <v>2515</v>
      </c>
      <c r="AP347" t="s">
        <v>2516</v>
      </c>
      <c r="AQ347"/>
      <c r="AR347"/>
      <c r="AS347"/>
      <c r="AT347" t="s">
        <v>128</v>
      </c>
      <c r="AU347">
        <v>2020</v>
      </c>
      <c r="AV347">
        <v>27</v>
      </c>
      <c r="AW347">
        <v>2</v>
      </c>
      <c r="AX347"/>
      <c r="AY347"/>
      <c r="AZ347"/>
      <c r="BA347"/>
      <c r="BB347">
        <v>95</v>
      </c>
      <c r="BC347">
        <v>114</v>
      </c>
      <c r="BD347"/>
      <c r="BE347" t="s">
        <v>2517</v>
      </c>
      <c r="BF347" t="str">
        <f>HYPERLINK("http://dx.doi.org/10.18778/1231-1952.27.2.07","http://dx.doi.org/10.18778/1231-1952.27.2.07")</f>
        <v>http://dx.doi.org/10.18778/1231-1952.27.2.07</v>
      </c>
      <c r="BG347"/>
      <c r="BH347"/>
      <c r="BI347"/>
      <c r="BJ347" t="s">
        <v>83</v>
      </c>
      <c r="BK347"/>
      <c r="BL347"/>
      <c r="BM347"/>
      <c r="BN347"/>
      <c r="BO347"/>
      <c r="BP347"/>
      <c r="BQ347"/>
      <c r="BR347"/>
      <c r="BS347"/>
      <c r="BT347" t="str">
        <f>HYPERLINK("https%3A%2F%2Fwww.webofscience.com%2Fwos%2Fwoscc%2Ffull-record%2F","View Full Record in Web of Science")</f>
        <v>View Full Record in Web of Science</v>
      </c>
    </row>
    <row r="348" spans="1:72" customHeight="1" ht="12.75">
      <c r="A348" t="s">
        <v>72</v>
      </c>
      <c r="B348" t="s">
        <v>2518</v>
      </c>
      <c r="C348"/>
      <c r="D348"/>
      <c r="E348"/>
      <c r="F348" t="s">
        <v>2519</v>
      </c>
      <c r="G348"/>
      <c r="H348"/>
      <c r="I348" t="s">
        <v>2520</v>
      </c>
      <c r="J348" t="s">
        <v>2521</v>
      </c>
      <c r="K348"/>
      <c r="L348"/>
      <c r="M348"/>
      <c r="N348" t="s">
        <v>77</v>
      </c>
      <c r="O348"/>
      <c r="P348"/>
      <c r="Q348"/>
      <c r="R348"/>
      <c r="S348"/>
      <c r="T348" t="s">
        <v>2522</v>
      </c>
      <c r="U348" t="s">
        <v>2523</v>
      </c>
      <c r="V348"/>
      <c r="W348"/>
      <c r="X348"/>
      <c r="Y348"/>
      <c r="Z348"/>
      <c r="AA348"/>
      <c r="AB348"/>
      <c r="AC348"/>
      <c r="AD348"/>
      <c r="AE348"/>
      <c r="AF348"/>
      <c r="AG348"/>
      <c r="AH348">
        <v>13</v>
      </c>
      <c r="AI348">
        <v>18</v>
      </c>
      <c r="AJ348"/>
      <c r="AK348"/>
      <c r="AL348"/>
      <c r="AM348"/>
      <c r="AN348"/>
      <c r="AO348" t="s">
        <v>2524</v>
      </c>
      <c r="AP348"/>
      <c r="AQ348"/>
      <c r="AR348"/>
      <c r="AS348"/>
      <c r="AT348" t="s">
        <v>198</v>
      </c>
      <c r="AU348">
        <v>2015</v>
      </c>
      <c r="AV348">
        <v>4</v>
      </c>
      <c r="AW348"/>
      <c r="AX348"/>
      <c r="AY348"/>
      <c r="AZ348"/>
      <c r="BA348"/>
      <c r="BB348">
        <v>62</v>
      </c>
      <c r="BC348">
        <v>72</v>
      </c>
      <c r="BD348"/>
      <c r="BE348" t="s">
        <v>2525</v>
      </c>
      <c r="BF348" t="str">
        <f>HYPERLINK("http://dx.doi.org/10.1016/j.eti.2015.04.004","http://dx.doi.org/10.1016/j.eti.2015.04.004")</f>
        <v>http://dx.doi.org/10.1016/j.eti.2015.04.004</v>
      </c>
      <c r="BG348"/>
      <c r="BH348"/>
      <c r="BI348"/>
      <c r="BJ348" t="s">
        <v>2526</v>
      </c>
      <c r="BK348"/>
      <c r="BL348"/>
      <c r="BM348"/>
      <c r="BN348"/>
      <c r="BO348"/>
      <c r="BP348"/>
      <c r="BQ348"/>
      <c r="BR348"/>
      <c r="BS348"/>
      <c r="BT348" t="str">
        <f>HYPERLINK("https%3A%2F%2Fwww.webofscience.com%2Fwos%2Fwoscc%2Ffull-record%2F","View Full Record in Web of Science")</f>
        <v>View Full Record in Web of Science</v>
      </c>
    </row>
    <row r="349" spans="1:72" customHeight="1" ht="12.75">
      <c r="A349" t="s">
        <v>72</v>
      </c>
      <c r="B349" t="s">
        <v>2527</v>
      </c>
      <c r="C349"/>
      <c r="D349"/>
      <c r="E349"/>
      <c r="F349" t="s">
        <v>2527</v>
      </c>
      <c r="G349"/>
      <c r="H349"/>
      <c r="I349" t="s">
        <v>2528</v>
      </c>
      <c r="J349" t="s">
        <v>2529</v>
      </c>
      <c r="K349"/>
      <c r="L349"/>
      <c r="M349"/>
      <c r="N349" t="s">
        <v>112</v>
      </c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>
        <v>4</v>
      </c>
      <c r="AI349">
        <v>4</v>
      </c>
      <c r="AJ349"/>
      <c r="AK349"/>
      <c r="AL349"/>
      <c r="AM349"/>
      <c r="AN349"/>
      <c r="AO349" t="s">
        <v>2530</v>
      </c>
      <c r="AP349" t="s">
        <v>2531</v>
      </c>
      <c r="AQ349"/>
      <c r="AR349"/>
      <c r="AS349"/>
      <c r="AT349" t="s">
        <v>198</v>
      </c>
      <c r="AU349">
        <v>2001</v>
      </c>
      <c r="AV349">
        <v>86</v>
      </c>
      <c r="AW349"/>
      <c r="AX349">
        <v>4</v>
      </c>
      <c r="AY349"/>
      <c r="AZ349"/>
      <c r="BA349"/>
      <c r="BB349">
        <v>275</v>
      </c>
      <c r="BC349">
        <v>286</v>
      </c>
      <c r="BD349"/>
      <c r="BE349"/>
      <c r="BF349"/>
      <c r="BG349"/>
      <c r="BH349"/>
      <c r="BI349"/>
      <c r="BJ349" t="s">
        <v>83</v>
      </c>
      <c r="BK349"/>
      <c r="BL349"/>
      <c r="BM349"/>
      <c r="BN349"/>
      <c r="BO349"/>
      <c r="BP349"/>
      <c r="BQ349"/>
      <c r="BR349"/>
      <c r="BS349"/>
      <c r="BT349" t="str">
        <f>HYPERLINK("https%3A%2F%2Fwww.webofscience.com%2Fwos%2Fwoscc%2Ffull-record%2F","View Full Record in Web of Science")</f>
        <v>View Full Record in Web of Science</v>
      </c>
    </row>
    <row r="350" spans="1:72" customHeight="1" ht="12.75">
      <c r="A350" t="s">
        <v>72</v>
      </c>
      <c r="B350" t="s">
        <v>2532</v>
      </c>
      <c r="C350"/>
      <c r="D350"/>
      <c r="E350"/>
      <c r="F350" t="s">
        <v>2533</v>
      </c>
      <c r="G350"/>
      <c r="H350"/>
      <c r="I350" t="s">
        <v>2534</v>
      </c>
      <c r="J350" t="s">
        <v>399</v>
      </c>
      <c r="K350"/>
      <c r="L350"/>
      <c r="M350"/>
      <c r="N350" t="s">
        <v>112</v>
      </c>
      <c r="O350"/>
      <c r="P350"/>
      <c r="Q350"/>
      <c r="R350"/>
      <c r="S350"/>
      <c r="T350"/>
      <c r="U350" t="s">
        <v>2535</v>
      </c>
      <c r="V350"/>
      <c r="W350"/>
      <c r="X350"/>
      <c r="Y350"/>
      <c r="Z350"/>
      <c r="AA350"/>
      <c r="AB350"/>
      <c r="AC350"/>
      <c r="AD350"/>
      <c r="AE350"/>
      <c r="AF350"/>
      <c r="AG350"/>
      <c r="AH350">
        <v>35</v>
      </c>
      <c r="AI350">
        <v>39</v>
      </c>
      <c r="AJ350"/>
      <c r="AK350"/>
      <c r="AL350"/>
      <c r="AM350"/>
      <c r="AN350"/>
      <c r="AO350" t="s">
        <v>402</v>
      </c>
      <c r="AP350"/>
      <c r="AQ350"/>
      <c r="AR350"/>
      <c r="AS350"/>
      <c r="AT350" t="s">
        <v>198</v>
      </c>
      <c r="AU350">
        <v>2009</v>
      </c>
      <c r="AV350">
        <v>29</v>
      </c>
      <c r="AW350">
        <v>10</v>
      </c>
      <c r="AX350"/>
      <c r="AY350"/>
      <c r="AZ350"/>
      <c r="BA350"/>
      <c r="BB350">
        <v>2765</v>
      </c>
      <c r="BC350">
        <v>2771</v>
      </c>
      <c r="BD350"/>
      <c r="BE350" t="s">
        <v>2536</v>
      </c>
      <c r="BF350" t="str">
        <f>HYPERLINK("http://dx.doi.org/10.1016/j.wasman.2009.05.008","http://dx.doi.org/10.1016/j.wasman.2009.05.008")</f>
        <v>http://dx.doi.org/10.1016/j.wasman.2009.05.008</v>
      </c>
      <c r="BG350"/>
      <c r="BH350"/>
      <c r="BI350"/>
      <c r="BJ350" t="s">
        <v>119</v>
      </c>
      <c r="BK350"/>
      <c r="BL350"/>
      <c r="BM350"/>
      <c r="BN350"/>
      <c r="BO350"/>
      <c r="BP350"/>
      <c r="BQ350"/>
      <c r="BR350"/>
      <c r="BS350"/>
      <c r="BT350" t="str">
        <f>HYPERLINK("https%3A%2F%2Fwww.webofscience.com%2Fwos%2Fwoscc%2Ffull-record%2F","View Full Record in Web of Science")</f>
        <v>View Full Record in Web of Science</v>
      </c>
    </row>
    <row r="351" spans="1:72" customHeight="1" ht="12.75">
      <c r="A351" t="s">
        <v>72</v>
      </c>
      <c r="B351" t="s">
        <v>2537</v>
      </c>
      <c r="C351"/>
      <c r="D351"/>
      <c r="E351"/>
      <c r="F351" t="s">
        <v>2538</v>
      </c>
      <c r="G351"/>
      <c r="H351"/>
      <c r="I351" t="s">
        <v>2539</v>
      </c>
      <c r="J351" t="s">
        <v>2512</v>
      </c>
      <c r="K351"/>
      <c r="L351"/>
      <c r="M351"/>
      <c r="N351" t="s">
        <v>112</v>
      </c>
      <c r="O351"/>
      <c r="P351"/>
      <c r="Q351"/>
      <c r="R351"/>
      <c r="S351"/>
      <c r="T351" t="s">
        <v>2540</v>
      </c>
      <c r="U351" t="s">
        <v>2541</v>
      </c>
      <c r="V351"/>
      <c r="W351"/>
      <c r="X351"/>
      <c r="Y351"/>
      <c r="Z351"/>
      <c r="AA351"/>
      <c r="AB351"/>
      <c r="AC351"/>
      <c r="AD351"/>
      <c r="AE351"/>
      <c r="AF351"/>
      <c r="AG351"/>
      <c r="AH351">
        <v>2</v>
      </c>
      <c r="AI351">
        <v>2</v>
      </c>
      <c r="AJ351"/>
      <c r="AK351"/>
      <c r="AL351"/>
      <c r="AM351"/>
      <c r="AN351"/>
      <c r="AO351" t="s">
        <v>2515</v>
      </c>
      <c r="AP351" t="s">
        <v>2516</v>
      </c>
      <c r="AQ351"/>
      <c r="AR351"/>
      <c r="AS351"/>
      <c r="AT351" t="s">
        <v>128</v>
      </c>
      <c r="AU351">
        <v>2020</v>
      </c>
      <c r="AV351">
        <v>27</v>
      </c>
      <c r="AW351">
        <v>2</v>
      </c>
      <c r="AX351"/>
      <c r="AY351"/>
      <c r="AZ351"/>
      <c r="BA351"/>
      <c r="BB351">
        <v>59</v>
      </c>
      <c r="BC351">
        <v>77</v>
      </c>
      <c r="BD351"/>
      <c r="BE351" t="s">
        <v>2542</v>
      </c>
      <c r="BF351" t="str">
        <f>HYPERLINK("http://dx.doi.org/10.18778/1231-1952.27.2.05","http://dx.doi.org/10.18778/1231-1952.27.2.05")</f>
        <v>http://dx.doi.org/10.18778/1231-1952.27.2.05</v>
      </c>
      <c r="BG351"/>
      <c r="BH351"/>
      <c r="BI351"/>
      <c r="BJ351" t="s">
        <v>83</v>
      </c>
      <c r="BK351"/>
      <c r="BL351"/>
      <c r="BM351"/>
      <c r="BN351"/>
      <c r="BO351"/>
      <c r="BP351"/>
      <c r="BQ351"/>
      <c r="BR351"/>
      <c r="BS351"/>
      <c r="BT351" t="str">
        <f>HYPERLINK("https%3A%2F%2Fwww.webofscience.com%2Fwos%2Fwoscc%2Ffull-record%2F","View Full Record in Web of Science")</f>
        <v>View Full Record in Web of Science</v>
      </c>
    </row>
    <row r="352" spans="1:72" customHeight="1" ht="12.75">
      <c r="A352" t="s">
        <v>72</v>
      </c>
      <c r="B352" t="s">
        <v>2543</v>
      </c>
      <c r="C352"/>
      <c r="D352"/>
      <c r="E352"/>
      <c r="F352" t="s">
        <v>2544</v>
      </c>
      <c r="G352"/>
      <c r="H352"/>
      <c r="I352" t="s">
        <v>2545</v>
      </c>
      <c r="J352" t="s">
        <v>87</v>
      </c>
      <c r="K352"/>
      <c r="L352"/>
      <c r="M352"/>
      <c r="N352" t="s">
        <v>112</v>
      </c>
      <c r="O352"/>
      <c r="P352"/>
      <c r="Q352"/>
      <c r="R352"/>
      <c r="S352"/>
      <c r="T352" t="s">
        <v>2546</v>
      </c>
      <c r="U352" t="s">
        <v>2547</v>
      </c>
      <c r="V352"/>
      <c r="W352"/>
      <c r="X352"/>
      <c r="Y352"/>
      <c r="Z352"/>
      <c r="AA352"/>
      <c r="AB352"/>
      <c r="AC352"/>
      <c r="AD352"/>
      <c r="AE352"/>
      <c r="AF352"/>
      <c r="AG352"/>
      <c r="AH352">
        <v>37</v>
      </c>
      <c r="AI352">
        <v>40</v>
      </c>
      <c r="AJ352"/>
      <c r="AK352"/>
      <c r="AL352"/>
      <c r="AM352"/>
      <c r="AN352"/>
      <c r="AO352" t="s">
        <v>90</v>
      </c>
      <c r="AP352" t="s">
        <v>91</v>
      </c>
      <c r="AQ352"/>
      <c r="AR352"/>
      <c r="AS352"/>
      <c r="AT352" t="s">
        <v>128</v>
      </c>
      <c r="AU352">
        <v>2014</v>
      </c>
      <c r="AV352">
        <v>47</v>
      </c>
      <c r="AW352"/>
      <c r="AX352"/>
      <c r="AY352"/>
      <c r="AZ352" t="s">
        <v>222</v>
      </c>
      <c r="BA352"/>
      <c r="BB352">
        <v>16</v>
      </c>
      <c r="BC352">
        <v>25</v>
      </c>
      <c r="BD352"/>
      <c r="BE352" t="s">
        <v>2548</v>
      </c>
      <c r="BF352" t="str">
        <f>HYPERLINK("http://dx.doi.org/10.1016/j.ecolind.2014.04.022","http://dx.doi.org/10.1016/j.ecolind.2014.04.022")</f>
        <v>http://dx.doi.org/10.1016/j.ecolind.2014.04.022</v>
      </c>
      <c r="BG352"/>
      <c r="BH352"/>
      <c r="BI352"/>
      <c r="BJ352" t="s">
        <v>94</v>
      </c>
      <c r="BK352"/>
      <c r="BL352"/>
      <c r="BM352"/>
      <c r="BN352"/>
      <c r="BO352"/>
      <c r="BP352"/>
      <c r="BQ352"/>
      <c r="BR352"/>
      <c r="BS352"/>
      <c r="BT352" t="str">
        <f>HYPERLINK("https%3A%2F%2Fwww.webofscience.com%2Fwos%2Fwoscc%2Ffull-record%2F","View Full Record in Web of Science")</f>
        <v>View Full Record in Web of Science</v>
      </c>
    </row>
    <row r="353" spans="1:72" customHeight="1" ht="12.75">
      <c r="A353" t="s">
        <v>72</v>
      </c>
      <c r="B353" t="s">
        <v>2549</v>
      </c>
      <c r="C353"/>
      <c r="D353"/>
      <c r="E353"/>
      <c r="F353" t="s">
        <v>2550</v>
      </c>
      <c r="G353"/>
      <c r="H353"/>
      <c r="I353" t="s">
        <v>2551</v>
      </c>
      <c r="J353" t="s">
        <v>87</v>
      </c>
      <c r="K353"/>
      <c r="L353"/>
      <c r="M353"/>
      <c r="N353" t="s">
        <v>112</v>
      </c>
      <c r="O353"/>
      <c r="P353"/>
      <c r="Q353"/>
      <c r="R353"/>
      <c r="S353"/>
      <c r="T353" t="s">
        <v>2552</v>
      </c>
      <c r="U353" t="s">
        <v>2553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>
        <v>11</v>
      </c>
      <c r="AI353">
        <v>13</v>
      </c>
      <c r="AJ353"/>
      <c r="AK353"/>
      <c r="AL353"/>
      <c r="AM353"/>
      <c r="AN353"/>
      <c r="AO353" t="s">
        <v>90</v>
      </c>
      <c r="AP353" t="s">
        <v>91</v>
      </c>
      <c r="AQ353"/>
      <c r="AR353"/>
      <c r="AS353"/>
      <c r="AT353" t="s">
        <v>145</v>
      </c>
      <c r="AU353">
        <v>2019</v>
      </c>
      <c r="AV353">
        <v>99</v>
      </c>
      <c r="AW353"/>
      <c r="AX353"/>
      <c r="AY353"/>
      <c r="AZ353"/>
      <c r="BA353"/>
      <c r="BB353">
        <v>214</v>
      </c>
      <c r="BC353">
        <v>224</v>
      </c>
      <c r="BD353"/>
      <c r="BE353" t="s">
        <v>2554</v>
      </c>
      <c r="BF353" t="str">
        <f>HYPERLINK("http://dx.doi.org/10.1016/j.ecolind.2018.12.019","http://dx.doi.org/10.1016/j.ecolind.2018.12.019")</f>
        <v>http://dx.doi.org/10.1016/j.ecolind.2018.12.019</v>
      </c>
      <c r="BG353"/>
      <c r="BH353"/>
      <c r="BI353"/>
      <c r="BJ353" t="s">
        <v>94</v>
      </c>
      <c r="BK353"/>
      <c r="BL353"/>
      <c r="BM353"/>
      <c r="BN353"/>
      <c r="BO353"/>
      <c r="BP353"/>
      <c r="BQ353"/>
      <c r="BR353"/>
      <c r="BS353"/>
      <c r="BT353" t="str">
        <f>HYPERLINK("https%3A%2F%2Fwww.webofscience.com%2Fwos%2Fwoscc%2Ffull-record%2F","View Full Record in Web of Science")</f>
        <v>View Full Record in Web of Science</v>
      </c>
    </row>
    <row r="354" spans="1:72" customHeight="1" ht="12.75">
      <c r="A354" t="s">
        <v>72</v>
      </c>
      <c r="B354" t="s">
        <v>2555</v>
      </c>
      <c r="C354"/>
      <c r="D354"/>
      <c r="E354"/>
      <c r="F354" t="s">
        <v>2556</v>
      </c>
      <c r="G354"/>
      <c r="H354"/>
      <c r="I354" t="s">
        <v>2557</v>
      </c>
      <c r="J354" t="s">
        <v>133</v>
      </c>
      <c r="K354"/>
      <c r="L354"/>
      <c r="M354"/>
      <c r="N354" t="s">
        <v>325</v>
      </c>
      <c r="O354"/>
      <c r="P354"/>
      <c r="Q354"/>
      <c r="R354"/>
      <c r="S354"/>
      <c r="T354" t="s">
        <v>2558</v>
      </c>
      <c r="U354" t="s">
        <v>2559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>
        <v>6</v>
      </c>
      <c r="AI354">
        <v>6</v>
      </c>
      <c r="AJ354"/>
      <c r="AK354"/>
      <c r="AL354"/>
      <c r="AM354"/>
      <c r="AN354"/>
      <c r="AO354" t="s">
        <v>136</v>
      </c>
      <c r="AP354" t="s">
        <v>137</v>
      </c>
      <c r="AQ354"/>
      <c r="AR354"/>
      <c r="AS354"/>
      <c r="AT354" t="s">
        <v>2560</v>
      </c>
      <c r="AU354">
        <v>2021</v>
      </c>
      <c r="AV354">
        <v>25</v>
      </c>
      <c r="AW354">
        <v>5</v>
      </c>
      <c r="AX354"/>
      <c r="AY354"/>
      <c r="AZ354"/>
      <c r="BA354"/>
      <c r="BB354">
        <v>1284</v>
      </c>
      <c r="BC354">
        <v>1299</v>
      </c>
      <c r="BD354"/>
      <c r="BE354" t="s">
        <v>2561</v>
      </c>
      <c r="BF354" t="str">
        <f>HYPERLINK("http://dx.doi.org/10.1111/jiec.13114","http://dx.doi.org/10.1111/jiec.13114")</f>
        <v>http://dx.doi.org/10.1111/jiec.13114</v>
      </c>
      <c r="BG354"/>
      <c r="BH354" t="s">
        <v>2562</v>
      </c>
      <c r="BI354"/>
      <c r="BJ354" t="s">
        <v>139</v>
      </c>
      <c r="BK354"/>
      <c r="BL354"/>
      <c r="BM354"/>
      <c r="BN354"/>
      <c r="BO354"/>
      <c r="BP354"/>
      <c r="BQ354"/>
      <c r="BR354"/>
      <c r="BS354"/>
      <c r="BT354" t="str">
        <f>HYPERLINK("https%3A%2F%2Fwww.webofscience.com%2Fwos%2Fwoscc%2Ffull-record%2F","View Full Record in Web of Science")</f>
        <v>View Full Record in Web of Science</v>
      </c>
    </row>
    <row r="355" spans="1:72" customHeight="1" ht="12.75">
      <c r="A355" t="s">
        <v>72</v>
      </c>
      <c r="B355" t="s">
        <v>2563</v>
      </c>
      <c r="C355"/>
      <c r="D355"/>
      <c r="E355"/>
      <c r="F355" t="s">
        <v>2564</v>
      </c>
      <c r="G355"/>
      <c r="H355"/>
      <c r="I355" t="s">
        <v>2565</v>
      </c>
      <c r="J355" t="s">
        <v>2566</v>
      </c>
      <c r="K355"/>
      <c r="L355"/>
      <c r="M355"/>
      <c r="N355" t="s">
        <v>112</v>
      </c>
      <c r="O355"/>
      <c r="P355"/>
      <c r="Q355"/>
      <c r="R355"/>
      <c r="S355"/>
      <c r="T355" t="s">
        <v>2567</v>
      </c>
      <c r="U355" t="s">
        <v>2568</v>
      </c>
      <c r="V355"/>
      <c r="W355"/>
      <c r="X355"/>
      <c r="Y355"/>
      <c r="Z355"/>
      <c r="AA355"/>
      <c r="AB355"/>
      <c r="AC355"/>
      <c r="AD355"/>
      <c r="AE355"/>
      <c r="AF355"/>
      <c r="AG355"/>
      <c r="AH355">
        <v>0.0</v>
      </c>
      <c r="AI355">
        <v>0.0</v>
      </c>
      <c r="AJ355"/>
      <c r="AK355"/>
      <c r="AL355"/>
      <c r="AM355"/>
      <c r="AN355"/>
      <c r="AO355" t="s">
        <v>2569</v>
      </c>
      <c r="AP355" t="s">
        <v>2570</v>
      </c>
      <c r="AQ355"/>
      <c r="AR355"/>
      <c r="AS355"/>
      <c r="AT355" t="s">
        <v>2571</v>
      </c>
      <c r="AU355">
        <v>2023</v>
      </c>
      <c r="AV355">
        <v>242</v>
      </c>
      <c r="AW355"/>
      <c r="AX355"/>
      <c r="AY355"/>
      <c r="AZ355"/>
      <c r="BA355"/>
      <c r="BB355"/>
      <c r="BC355"/>
      <c r="BD355">
        <v>120140</v>
      </c>
      <c r="BE355" t="s">
        <v>2572</v>
      </c>
      <c r="BF355" t="str">
        <f>HYPERLINK("http://dx.doi.org/10.1016/j.watres.2023.120140","http://dx.doi.org/10.1016/j.watres.2023.120140")</f>
        <v>http://dx.doi.org/10.1016/j.watres.2023.120140</v>
      </c>
      <c r="BG355"/>
      <c r="BH355" t="s">
        <v>2573</v>
      </c>
      <c r="BI355"/>
      <c r="BJ355" t="s">
        <v>1184</v>
      </c>
      <c r="BK355"/>
      <c r="BL355"/>
      <c r="BM355"/>
      <c r="BN355"/>
      <c r="BO355"/>
      <c r="BP355"/>
      <c r="BQ355"/>
      <c r="BR355"/>
      <c r="BS355"/>
      <c r="BT355" t="str">
        <f>HYPERLINK("https%3A%2F%2Fwww.webofscience.com%2Fwos%2Fwoscc%2Ffull-record%2F","View Full Record in Web of Science")</f>
        <v>View Full Record in Web of Science</v>
      </c>
    </row>
    <row r="356" spans="1:72" customHeight="1" ht="12.75">
      <c r="A356" t="s">
        <v>72</v>
      </c>
      <c r="B356" t="s">
        <v>2574</v>
      </c>
      <c r="C356"/>
      <c r="D356"/>
      <c r="E356"/>
      <c r="F356" t="s">
        <v>2575</v>
      </c>
      <c r="G356"/>
      <c r="H356"/>
      <c r="I356" t="s">
        <v>2576</v>
      </c>
      <c r="J356" t="s">
        <v>510</v>
      </c>
      <c r="K356"/>
      <c r="L356"/>
      <c r="M356"/>
      <c r="N356" t="s">
        <v>325</v>
      </c>
      <c r="O356"/>
      <c r="P356"/>
      <c r="Q356"/>
      <c r="R356"/>
      <c r="S356"/>
      <c r="T356" t="s">
        <v>2577</v>
      </c>
      <c r="U356" t="s">
        <v>2578</v>
      </c>
      <c r="V356"/>
      <c r="W356"/>
      <c r="X356"/>
      <c r="Y356"/>
      <c r="Z356"/>
      <c r="AA356"/>
      <c r="AB356"/>
      <c r="AC356"/>
      <c r="AD356"/>
      <c r="AE356"/>
      <c r="AF356"/>
      <c r="AG356"/>
      <c r="AH356">
        <v>2</v>
      </c>
      <c r="AI356">
        <v>2</v>
      </c>
      <c r="AJ356"/>
      <c r="AK356"/>
      <c r="AL356"/>
      <c r="AM356"/>
      <c r="AN356"/>
      <c r="AO356" t="s">
        <v>511</v>
      </c>
      <c r="AP356" t="s">
        <v>512</v>
      </c>
      <c r="AQ356"/>
      <c r="AR356"/>
      <c r="AS356"/>
      <c r="AT356" t="s">
        <v>2579</v>
      </c>
      <c r="AU356">
        <v>2021</v>
      </c>
      <c r="AV356">
        <v>448</v>
      </c>
      <c r="AW356"/>
      <c r="AX356"/>
      <c r="AY356"/>
      <c r="AZ356"/>
      <c r="BA356"/>
      <c r="BB356"/>
      <c r="BC356"/>
      <c r="BD356">
        <v>109532</v>
      </c>
      <c r="BE356" t="s">
        <v>2580</v>
      </c>
      <c r="BF356" t="str">
        <f>HYPERLINK("http://dx.doi.org/10.1016/j.ecolmodel.2021.109532","http://dx.doi.org/10.1016/j.ecolmodel.2021.109532")</f>
        <v>http://dx.doi.org/10.1016/j.ecolmodel.2021.109532</v>
      </c>
      <c r="BG356"/>
      <c r="BH356" t="s">
        <v>2562</v>
      </c>
      <c r="BI356"/>
      <c r="BJ356" t="s">
        <v>181</v>
      </c>
      <c r="BK356"/>
      <c r="BL356"/>
      <c r="BM356"/>
      <c r="BN356"/>
      <c r="BO356"/>
      <c r="BP356"/>
      <c r="BQ356"/>
      <c r="BR356"/>
      <c r="BS356"/>
      <c r="BT356" t="str">
        <f>HYPERLINK("https%3A%2F%2Fwww.webofscience.com%2Fwos%2Fwoscc%2Ffull-record%2F","View Full Record in Web of Science")</f>
        <v>View Full Record in Web of Science</v>
      </c>
    </row>
    <row r="357" spans="1:72" customHeight="1" ht="12.75">
      <c r="A357" t="s">
        <v>72</v>
      </c>
      <c r="B357" t="s">
        <v>2581</v>
      </c>
      <c r="C357"/>
      <c r="D357"/>
      <c r="E357"/>
      <c r="F357" t="s">
        <v>2582</v>
      </c>
      <c r="G357"/>
      <c r="H357"/>
      <c r="I357" t="s">
        <v>2583</v>
      </c>
      <c r="J357" t="s">
        <v>133</v>
      </c>
      <c r="K357"/>
      <c r="L357"/>
      <c r="M357"/>
      <c r="N357" t="s">
        <v>112</v>
      </c>
      <c r="O357"/>
      <c r="P357"/>
      <c r="Q357"/>
      <c r="R357"/>
      <c r="S357"/>
      <c r="T357" t="s">
        <v>2584</v>
      </c>
      <c r="U357" t="s">
        <v>2585</v>
      </c>
      <c r="V357"/>
      <c r="W357"/>
      <c r="X357"/>
      <c r="Y357"/>
      <c r="Z357"/>
      <c r="AA357"/>
      <c r="AB357"/>
      <c r="AC357"/>
      <c r="AD357"/>
      <c r="AE357"/>
      <c r="AF357"/>
      <c r="AG357"/>
      <c r="AH357">
        <v>61</v>
      </c>
      <c r="AI357">
        <v>64</v>
      </c>
      <c r="AJ357"/>
      <c r="AK357"/>
      <c r="AL357"/>
      <c r="AM357"/>
      <c r="AN357"/>
      <c r="AO357" t="s">
        <v>136</v>
      </c>
      <c r="AP357" t="s">
        <v>137</v>
      </c>
      <c r="AQ357"/>
      <c r="AR357"/>
      <c r="AS357"/>
      <c r="AT357" t="s">
        <v>394</v>
      </c>
      <c r="AU357">
        <v>2017</v>
      </c>
      <c r="AV357">
        <v>21</v>
      </c>
      <c r="AW357">
        <v>1</v>
      </c>
      <c r="AX357"/>
      <c r="AY357"/>
      <c r="AZ357"/>
      <c r="BA357"/>
      <c r="BB357">
        <v>151</v>
      </c>
      <c r="BC357">
        <v>165</v>
      </c>
      <c r="BD357"/>
      <c r="BE357" t="s">
        <v>2586</v>
      </c>
      <c r="BF357" t="str">
        <f>HYPERLINK("http://dx.doi.org/10.1111/jiec.12384","http://dx.doi.org/10.1111/jiec.12384")</f>
        <v>http://dx.doi.org/10.1111/jiec.12384</v>
      </c>
      <c r="BG357"/>
      <c r="BH357"/>
      <c r="BI357"/>
      <c r="BJ357" t="s">
        <v>139</v>
      </c>
      <c r="BK357"/>
      <c r="BL357"/>
      <c r="BM357"/>
      <c r="BN357"/>
      <c r="BO357"/>
      <c r="BP357"/>
      <c r="BQ357"/>
      <c r="BR357"/>
      <c r="BS357"/>
      <c r="BT357" t="str">
        <f>HYPERLINK("https%3A%2F%2Fwww.webofscience.com%2Fwos%2Fwoscc%2Ffull-record%2F","View Full Record in Web of Science")</f>
        <v>View Full Record in Web of Science</v>
      </c>
    </row>
    <row r="358" spans="1:72" customHeight="1" ht="12.75">
      <c r="A358" t="s">
        <v>72</v>
      </c>
      <c r="B358" t="s">
        <v>2587</v>
      </c>
      <c r="C358"/>
      <c r="D358"/>
      <c r="E358"/>
      <c r="F358" t="s">
        <v>2588</v>
      </c>
      <c r="G358"/>
      <c r="H358"/>
      <c r="I358" t="s">
        <v>2589</v>
      </c>
      <c r="J358" t="s">
        <v>587</v>
      </c>
      <c r="K358"/>
      <c r="L358"/>
      <c r="M358"/>
      <c r="N358" t="s">
        <v>112</v>
      </c>
      <c r="O358"/>
      <c r="P358"/>
      <c r="Q358"/>
      <c r="R358"/>
      <c r="S358"/>
      <c r="T358" t="s">
        <v>2590</v>
      </c>
      <c r="U358" t="s">
        <v>2591</v>
      </c>
      <c r="V358"/>
      <c r="W358"/>
      <c r="X358"/>
      <c r="Y358"/>
      <c r="Z358"/>
      <c r="AA358"/>
      <c r="AB358"/>
      <c r="AC358"/>
      <c r="AD358"/>
      <c r="AE358"/>
      <c r="AF358"/>
      <c r="AG358"/>
      <c r="AH358">
        <v>44</v>
      </c>
      <c r="AI358">
        <v>46</v>
      </c>
      <c r="AJ358"/>
      <c r="AK358"/>
      <c r="AL358"/>
      <c r="AM358"/>
      <c r="AN358"/>
      <c r="AO358" t="s">
        <v>590</v>
      </c>
      <c r="AP358"/>
      <c r="AQ358"/>
      <c r="AR358"/>
      <c r="AS358"/>
      <c r="AT358" t="s">
        <v>404</v>
      </c>
      <c r="AU358">
        <v>2013</v>
      </c>
      <c r="AV358">
        <v>39</v>
      </c>
      <c r="AW358"/>
      <c r="AX358"/>
      <c r="AY358"/>
      <c r="AZ358"/>
      <c r="BA358"/>
      <c r="BB358">
        <v>180</v>
      </c>
      <c r="BC358">
        <v>190</v>
      </c>
      <c r="BD358"/>
      <c r="BE358" t="s">
        <v>2592</v>
      </c>
      <c r="BF358" t="str">
        <f>HYPERLINK("http://dx.doi.org/10.1016/j.jclepro.2012.09.014","http://dx.doi.org/10.1016/j.jclepro.2012.09.014")</f>
        <v>http://dx.doi.org/10.1016/j.jclepro.2012.09.014</v>
      </c>
      <c r="BG358"/>
      <c r="BH358"/>
      <c r="BI358"/>
      <c r="BJ358" t="s">
        <v>139</v>
      </c>
      <c r="BK358"/>
      <c r="BL358"/>
      <c r="BM358"/>
      <c r="BN358"/>
      <c r="BO358"/>
      <c r="BP358"/>
      <c r="BQ358"/>
      <c r="BR358"/>
      <c r="BS358"/>
      <c r="BT358" t="str">
        <f>HYPERLINK("https%3A%2F%2Fwww.webofscience.com%2Fwos%2Fwoscc%2Ffull-record%2F","View Full Record in Web of Science")</f>
        <v>View Full Record in Web of Science</v>
      </c>
    </row>
    <row r="359" spans="1:72" customHeight="1" ht="12.75">
      <c r="A359" t="s">
        <v>72</v>
      </c>
      <c r="B359" t="s">
        <v>2593</v>
      </c>
      <c r="C359"/>
      <c r="D359"/>
      <c r="E359"/>
      <c r="F359" t="s">
        <v>2594</v>
      </c>
      <c r="G359"/>
      <c r="H359"/>
      <c r="I359" t="s">
        <v>2595</v>
      </c>
      <c r="J359" t="s">
        <v>2596</v>
      </c>
      <c r="K359"/>
      <c r="L359"/>
      <c r="M359"/>
      <c r="N359" t="s">
        <v>112</v>
      </c>
      <c r="O359"/>
      <c r="P359"/>
      <c r="Q359"/>
      <c r="R359"/>
      <c r="S359"/>
      <c r="T359" t="s">
        <v>2597</v>
      </c>
      <c r="U359" t="s">
        <v>2598</v>
      </c>
      <c r="V359"/>
      <c r="W359"/>
      <c r="X359"/>
      <c r="Y359"/>
      <c r="Z359"/>
      <c r="AA359"/>
      <c r="AB359"/>
      <c r="AC359"/>
      <c r="AD359"/>
      <c r="AE359"/>
      <c r="AF359"/>
      <c r="AG359"/>
      <c r="AH359">
        <v>114</v>
      </c>
      <c r="AI359">
        <v>120</v>
      </c>
      <c r="AJ359"/>
      <c r="AK359"/>
      <c r="AL359"/>
      <c r="AM359"/>
      <c r="AN359"/>
      <c r="AO359" t="s">
        <v>2599</v>
      </c>
      <c r="AP359" t="s">
        <v>2600</v>
      </c>
      <c r="AQ359"/>
      <c r="AR359"/>
      <c r="AS359"/>
      <c r="AT359" t="s">
        <v>362</v>
      </c>
      <c r="AU359">
        <v>2012</v>
      </c>
      <c r="AV359">
        <v>26</v>
      </c>
      <c r="AW359">
        <v>8</v>
      </c>
      <c r="AX359"/>
      <c r="AY359"/>
      <c r="AZ359"/>
      <c r="BA359"/>
      <c r="BB359">
        <v>2177</v>
      </c>
      <c r="BC359">
        <v>2197</v>
      </c>
      <c r="BD359"/>
      <c r="BE359" t="s">
        <v>2601</v>
      </c>
      <c r="BF359" t="str">
        <f>HYPERLINK("http://dx.doi.org/10.1007/s11269-012-0009-1","http://dx.doi.org/10.1007/s11269-012-0009-1")</f>
        <v>http://dx.doi.org/10.1007/s11269-012-0009-1</v>
      </c>
      <c r="BG359"/>
      <c r="BH359"/>
      <c r="BI359"/>
      <c r="BJ359" t="s">
        <v>734</v>
      </c>
      <c r="BK359"/>
      <c r="BL359"/>
      <c r="BM359"/>
      <c r="BN359"/>
      <c r="BO359"/>
      <c r="BP359"/>
      <c r="BQ359"/>
      <c r="BR359"/>
      <c r="BS359"/>
      <c r="BT359" t="str">
        <f>HYPERLINK("https%3A%2F%2Fwww.webofscience.com%2Fwos%2Fwoscc%2Ffull-record%2F","View Full Record in Web of Science")</f>
        <v>View Full Record in Web of Science</v>
      </c>
    </row>
    <row r="360" spans="1:72" customHeight="1" ht="12.75">
      <c r="A360" t="s">
        <v>72</v>
      </c>
      <c r="B360" t="s">
        <v>2602</v>
      </c>
      <c r="C360"/>
      <c r="D360"/>
      <c r="E360"/>
      <c r="F360" t="s">
        <v>2603</v>
      </c>
      <c r="G360"/>
      <c r="H360"/>
      <c r="I360" t="s">
        <v>2604</v>
      </c>
      <c r="J360" t="s">
        <v>214</v>
      </c>
      <c r="K360"/>
      <c r="L360"/>
      <c r="M360"/>
      <c r="N360" t="s">
        <v>325</v>
      </c>
      <c r="O360"/>
      <c r="P360"/>
      <c r="Q360"/>
      <c r="R360"/>
      <c r="S360"/>
      <c r="T360" t="s">
        <v>2605</v>
      </c>
      <c r="U360" t="s">
        <v>2606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>
        <v>0.0</v>
      </c>
      <c r="AI360">
        <v>0.0</v>
      </c>
      <c r="AJ360"/>
      <c r="AK360"/>
      <c r="AL360"/>
      <c r="AM360"/>
      <c r="AN360"/>
      <c r="AO360" t="s">
        <v>218</v>
      </c>
      <c r="AP360" t="s">
        <v>219</v>
      </c>
      <c r="AQ360"/>
      <c r="AR360"/>
      <c r="AS360"/>
      <c r="AT360" t="s">
        <v>2607</v>
      </c>
      <c r="AU360">
        <v>2024</v>
      </c>
      <c r="AV360">
        <v>342</v>
      </c>
      <c r="AW360"/>
      <c r="AX360"/>
      <c r="AY360"/>
      <c r="AZ360"/>
      <c r="BA360"/>
      <c r="BB360"/>
      <c r="BC360"/>
      <c r="BD360">
        <v>123089</v>
      </c>
      <c r="BE360" t="s">
        <v>2608</v>
      </c>
      <c r="BF360" t="str">
        <f>HYPERLINK("http://dx.doi.org/10.1016/j.envpol.2023.123089","http://dx.doi.org/10.1016/j.envpol.2023.123089")</f>
        <v>http://dx.doi.org/10.1016/j.envpol.2023.123089</v>
      </c>
      <c r="BG360"/>
      <c r="BH360" t="s">
        <v>798</v>
      </c>
      <c r="BI360"/>
      <c r="BJ360" t="s">
        <v>224</v>
      </c>
      <c r="BK360"/>
      <c r="BL360"/>
      <c r="BM360"/>
      <c r="BN360"/>
      <c r="BO360"/>
      <c r="BP360"/>
      <c r="BQ360"/>
      <c r="BR360"/>
      <c r="BS360"/>
      <c r="BT360" t="str">
        <f>HYPERLINK("https%3A%2F%2Fwww.webofscience.com%2Fwos%2Fwoscc%2Ffull-record%2F","View Full Record in Web of Science")</f>
        <v>View Full Record in Web of Science</v>
      </c>
    </row>
    <row r="361" spans="1:72" customHeight="1" ht="12.75">
      <c r="A361" t="s">
        <v>72</v>
      </c>
      <c r="B361" t="s">
        <v>2609</v>
      </c>
      <c r="C361"/>
      <c r="D361"/>
      <c r="E361"/>
      <c r="F361" t="s">
        <v>2610</v>
      </c>
      <c r="G361"/>
      <c r="H361"/>
      <c r="I361" t="s">
        <v>2611</v>
      </c>
      <c r="J361" t="s">
        <v>166</v>
      </c>
      <c r="K361"/>
      <c r="L361"/>
      <c r="M361"/>
      <c r="N361" t="s">
        <v>112</v>
      </c>
      <c r="O361"/>
      <c r="P361"/>
      <c r="Q361"/>
      <c r="R361"/>
      <c r="S361"/>
      <c r="T361" t="s">
        <v>2612</v>
      </c>
      <c r="U361" t="s">
        <v>2613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>
        <v>5</v>
      </c>
      <c r="AI361">
        <v>5</v>
      </c>
      <c r="AJ361"/>
      <c r="AK361"/>
      <c r="AL361"/>
      <c r="AM361"/>
      <c r="AN361"/>
      <c r="AO361"/>
      <c r="AP361" t="s">
        <v>169</v>
      </c>
      <c r="AQ361"/>
      <c r="AR361"/>
      <c r="AS361"/>
      <c r="AT361" t="s">
        <v>2614</v>
      </c>
      <c r="AU361">
        <v>2022</v>
      </c>
      <c r="AV361">
        <v>3</v>
      </c>
      <c r="AW361"/>
      <c r="AX361"/>
      <c r="AY361"/>
      <c r="AZ361"/>
      <c r="BA361"/>
      <c r="BB361"/>
      <c r="BC361"/>
      <c r="BD361">
        <v>807735</v>
      </c>
      <c r="BE361" t="s">
        <v>2615</v>
      </c>
      <c r="BF361" t="str">
        <f>HYPERLINK("http://dx.doi.org/10.3389/frsc.2021.807735","http://dx.doi.org/10.3389/frsc.2021.807735")</f>
        <v>http://dx.doi.org/10.3389/frsc.2021.807735</v>
      </c>
      <c r="BG361"/>
      <c r="BH361"/>
      <c r="BI361"/>
      <c r="BJ361" t="s">
        <v>171</v>
      </c>
      <c r="BK361"/>
      <c r="BL361"/>
      <c r="BM361"/>
      <c r="BN361"/>
      <c r="BO361"/>
      <c r="BP361"/>
      <c r="BQ361"/>
      <c r="BR361"/>
      <c r="BS361"/>
      <c r="BT361" t="str">
        <f>HYPERLINK("https%3A%2F%2Fwww.webofscience.com%2Fwos%2Fwoscc%2Ffull-record%2F","View Full Record in Web of Science")</f>
        <v>View Full Record in Web of Science</v>
      </c>
    </row>
    <row r="362" spans="1:72" customHeight="1" ht="12.75">
      <c r="A362" t="s">
        <v>72</v>
      </c>
      <c r="B362" t="s">
        <v>2616</v>
      </c>
      <c r="C362"/>
      <c r="D362"/>
      <c r="E362"/>
      <c r="F362" t="s">
        <v>2617</v>
      </c>
      <c r="G362"/>
      <c r="H362"/>
      <c r="I362" t="s">
        <v>2618</v>
      </c>
      <c r="J362" t="s">
        <v>587</v>
      </c>
      <c r="K362"/>
      <c r="L362"/>
      <c r="M362"/>
      <c r="N362" t="s">
        <v>112</v>
      </c>
      <c r="O362"/>
      <c r="P362"/>
      <c r="Q362"/>
      <c r="R362"/>
      <c r="S362"/>
      <c r="T362" t="s">
        <v>2619</v>
      </c>
      <c r="U362" t="s">
        <v>2620</v>
      </c>
      <c r="V362"/>
      <c r="W362"/>
      <c r="X362"/>
      <c r="Y362"/>
      <c r="Z362"/>
      <c r="AA362"/>
      <c r="AB362"/>
      <c r="AC362"/>
      <c r="AD362"/>
      <c r="AE362"/>
      <c r="AF362"/>
      <c r="AG362"/>
      <c r="AH362">
        <v>18</v>
      </c>
      <c r="AI362">
        <v>20</v>
      </c>
      <c r="AJ362"/>
      <c r="AK362"/>
      <c r="AL362"/>
      <c r="AM362"/>
      <c r="AN362"/>
      <c r="AO362" t="s">
        <v>590</v>
      </c>
      <c r="AP362" t="s">
        <v>591</v>
      </c>
      <c r="AQ362"/>
      <c r="AR362"/>
      <c r="AS362"/>
      <c r="AT362" t="s">
        <v>2621</v>
      </c>
      <c r="AU362">
        <v>2019</v>
      </c>
      <c r="AV362">
        <v>239</v>
      </c>
      <c r="AW362"/>
      <c r="AX362"/>
      <c r="AY362"/>
      <c r="AZ362"/>
      <c r="BA362"/>
      <c r="BB362"/>
      <c r="BC362"/>
      <c r="BD362">
        <v>118115</v>
      </c>
      <c r="BE362" t="s">
        <v>2622</v>
      </c>
      <c r="BF362" t="str">
        <f>HYPERLINK("http://dx.doi.org/10.1016/j.jclepro.2019.118115","http://dx.doi.org/10.1016/j.jclepro.2019.118115")</f>
        <v>http://dx.doi.org/10.1016/j.jclepro.2019.118115</v>
      </c>
      <c r="BG362"/>
      <c r="BH362"/>
      <c r="BI362"/>
      <c r="BJ362" t="s">
        <v>139</v>
      </c>
      <c r="BK362"/>
      <c r="BL362"/>
      <c r="BM362"/>
      <c r="BN362"/>
      <c r="BO362"/>
      <c r="BP362"/>
      <c r="BQ362"/>
      <c r="BR362"/>
      <c r="BS362"/>
      <c r="BT362" t="str">
        <f>HYPERLINK("https%3A%2F%2Fwww.webofscience.com%2Fwos%2Fwoscc%2Ffull-record%2F","View Full Record in Web of Science")</f>
        <v>View Full Record in Web of Science</v>
      </c>
    </row>
    <row r="363" spans="1:72" customHeight="1" ht="12.75">
      <c r="A363" t="s">
        <v>72</v>
      </c>
      <c r="B363" t="s">
        <v>2623</v>
      </c>
      <c r="C363"/>
      <c r="D363"/>
      <c r="E363"/>
      <c r="F363" t="s">
        <v>2624</v>
      </c>
      <c r="G363"/>
      <c r="H363"/>
      <c r="I363" t="s">
        <v>2625</v>
      </c>
      <c r="J363" t="s">
        <v>98</v>
      </c>
      <c r="K363"/>
      <c r="L363"/>
      <c r="M363"/>
      <c r="N363" t="s">
        <v>112</v>
      </c>
      <c r="O363"/>
      <c r="P363"/>
      <c r="Q363"/>
      <c r="R363"/>
      <c r="S363"/>
      <c r="T363" t="s">
        <v>2626</v>
      </c>
      <c r="U363" t="s">
        <v>2627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>
        <v>109</v>
      </c>
      <c r="AI363">
        <v>115</v>
      </c>
      <c r="AJ363"/>
      <c r="AK363"/>
      <c r="AL363"/>
      <c r="AM363"/>
      <c r="AN363"/>
      <c r="AO363" t="s">
        <v>102</v>
      </c>
      <c r="AP363" t="s">
        <v>103</v>
      </c>
      <c r="AQ363"/>
      <c r="AR363"/>
      <c r="AS363"/>
      <c r="AT363" t="s">
        <v>362</v>
      </c>
      <c r="AU363">
        <v>2021</v>
      </c>
      <c r="AV363">
        <v>210</v>
      </c>
      <c r="AW363"/>
      <c r="AX363"/>
      <c r="AY363"/>
      <c r="AZ363"/>
      <c r="BA363"/>
      <c r="BB363"/>
      <c r="BC363"/>
      <c r="BD363">
        <v>104055</v>
      </c>
      <c r="BE363" t="s">
        <v>2628</v>
      </c>
      <c r="BF363" t="str">
        <f>HYPERLINK("http://dx.doi.org/10.1016/j.landurbplan.2021.104055","http://dx.doi.org/10.1016/j.landurbplan.2021.104055")</f>
        <v>http://dx.doi.org/10.1016/j.landurbplan.2021.104055</v>
      </c>
      <c r="BG363"/>
      <c r="BH363"/>
      <c r="BI363"/>
      <c r="BJ363" t="s">
        <v>107</v>
      </c>
      <c r="BK363"/>
      <c r="BL363"/>
      <c r="BM363"/>
      <c r="BN363"/>
      <c r="BO363"/>
      <c r="BP363"/>
      <c r="BQ363"/>
      <c r="BR363"/>
      <c r="BS363"/>
      <c r="BT363" t="str">
        <f>HYPERLINK("https%3A%2F%2Fwww.webofscience.com%2Fwos%2Fwoscc%2Ffull-record%2F","View Full Record in Web of Science")</f>
        <v>View Full Record in Web of Science</v>
      </c>
    </row>
    <row r="364" spans="1:72" customHeight="1" ht="12.75">
      <c r="A364" t="s">
        <v>72</v>
      </c>
      <c r="B364" t="s">
        <v>2629</v>
      </c>
      <c r="C364"/>
      <c r="D364"/>
      <c r="E364"/>
      <c r="F364" t="s">
        <v>2630</v>
      </c>
      <c r="G364"/>
      <c r="H364"/>
      <c r="I364" t="s">
        <v>2631</v>
      </c>
      <c r="J364" t="s">
        <v>2632</v>
      </c>
      <c r="K364"/>
      <c r="L364"/>
      <c r="M364"/>
      <c r="N364" t="s">
        <v>112</v>
      </c>
      <c r="O364"/>
      <c r="P364"/>
      <c r="Q364"/>
      <c r="R364"/>
      <c r="S364"/>
      <c r="T364" t="s">
        <v>2633</v>
      </c>
      <c r="U364" t="s">
        <v>2634</v>
      </c>
      <c r="V364"/>
      <c r="W364"/>
      <c r="X364"/>
      <c r="Y364"/>
      <c r="Z364"/>
      <c r="AA364"/>
      <c r="AB364"/>
      <c r="AC364"/>
      <c r="AD364"/>
      <c r="AE364"/>
      <c r="AF364"/>
      <c r="AG364"/>
      <c r="AH364">
        <v>17</v>
      </c>
      <c r="AI364">
        <v>19</v>
      </c>
      <c r="AJ364"/>
      <c r="AK364"/>
      <c r="AL364"/>
      <c r="AM364"/>
      <c r="AN364"/>
      <c r="AO364" t="s">
        <v>2635</v>
      </c>
      <c r="AP364" t="s">
        <v>2636</v>
      </c>
      <c r="AQ364"/>
      <c r="AR364"/>
      <c r="AS364"/>
      <c r="AT364" t="s">
        <v>92</v>
      </c>
      <c r="AU364">
        <v>2010</v>
      </c>
      <c r="AV364">
        <v>38</v>
      </c>
      <c r="AW364">
        <v>11</v>
      </c>
      <c r="AX364"/>
      <c r="AY364"/>
      <c r="AZ364" t="s">
        <v>222</v>
      </c>
      <c r="BA364"/>
      <c r="BB364">
        <v>7226</v>
      </c>
      <c r="BC364">
        <v>7234</v>
      </c>
      <c r="BD364"/>
      <c r="BE364" t="s">
        <v>2637</v>
      </c>
      <c r="BF364" t="str">
        <f>HYPERLINK("http://dx.doi.org/10.1016/j.enpol.2010.07.053","http://dx.doi.org/10.1016/j.enpol.2010.07.053")</f>
        <v>http://dx.doi.org/10.1016/j.enpol.2010.07.053</v>
      </c>
      <c r="BG364"/>
      <c r="BH364"/>
      <c r="BI364"/>
      <c r="BJ364" t="s">
        <v>2638</v>
      </c>
      <c r="BK364"/>
      <c r="BL364"/>
      <c r="BM364"/>
      <c r="BN364"/>
      <c r="BO364"/>
      <c r="BP364"/>
      <c r="BQ364"/>
      <c r="BR364"/>
      <c r="BS364"/>
      <c r="BT364" t="str">
        <f>HYPERLINK("https%3A%2F%2Fwww.webofscience.com%2Fwos%2Fwoscc%2Ffull-record%2F","View Full Record in Web of Science")</f>
        <v>View Full Record in Web of Science</v>
      </c>
    </row>
    <row r="365" spans="1:72" customHeight="1" ht="12.75">
      <c r="A365" t="s">
        <v>72</v>
      </c>
      <c r="B365" t="s">
        <v>2639</v>
      </c>
      <c r="C365"/>
      <c r="D365"/>
      <c r="E365"/>
      <c r="F365" t="s">
        <v>2640</v>
      </c>
      <c r="G365"/>
      <c r="H365"/>
      <c r="I365" t="s">
        <v>2641</v>
      </c>
      <c r="J365" t="s">
        <v>587</v>
      </c>
      <c r="K365"/>
      <c r="L365"/>
      <c r="M365"/>
      <c r="N365" t="s">
        <v>325</v>
      </c>
      <c r="O365"/>
      <c r="P365"/>
      <c r="Q365"/>
      <c r="R365"/>
      <c r="S365"/>
      <c r="T365" t="s">
        <v>2642</v>
      </c>
      <c r="U365" t="s">
        <v>2643</v>
      </c>
      <c r="V365"/>
      <c r="W365"/>
      <c r="X365"/>
      <c r="Y365"/>
      <c r="Z365"/>
      <c r="AA365"/>
      <c r="AB365"/>
      <c r="AC365"/>
      <c r="AD365"/>
      <c r="AE365"/>
      <c r="AF365"/>
      <c r="AG365"/>
      <c r="AH365">
        <v>1</v>
      </c>
      <c r="AI365">
        <v>1</v>
      </c>
      <c r="AJ365"/>
      <c r="AK365"/>
      <c r="AL365"/>
      <c r="AM365"/>
      <c r="AN365"/>
      <c r="AO365" t="s">
        <v>590</v>
      </c>
      <c r="AP365" t="s">
        <v>591</v>
      </c>
      <c r="AQ365"/>
      <c r="AR365"/>
      <c r="AS365"/>
      <c r="AT365" t="s">
        <v>2644</v>
      </c>
      <c r="AU365">
        <v>2023</v>
      </c>
      <c r="AV365">
        <v>421</v>
      </c>
      <c r="AW365"/>
      <c r="AX365"/>
      <c r="AY365"/>
      <c r="AZ365"/>
      <c r="BA365"/>
      <c r="BB365"/>
      <c r="BC365"/>
      <c r="BD365">
        <v>138469</v>
      </c>
      <c r="BE365" t="s">
        <v>2645</v>
      </c>
      <c r="BF365" t="str">
        <f>HYPERLINK("http://dx.doi.org/10.1016/j.jclepro.2023.138469","http://dx.doi.org/10.1016/j.jclepro.2023.138469")</f>
        <v>http://dx.doi.org/10.1016/j.jclepro.2023.138469</v>
      </c>
      <c r="BG365"/>
      <c r="BH365" t="s">
        <v>2646</v>
      </c>
      <c r="BI365"/>
      <c r="BJ365" t="s">
        <v>139</v>
      </c>
      <c r="BK365"/>
      <c r="BL365"/>
      <c r="BM365"/>
      <c r="BN365"/>
      <c r="BO365"/>
      <c r="BP365"/>
      <c r="BQ365"/>
      <c r="BR365"/>
      <c r="BS365"/>
      <c r="BT365" t="str">
        <f>HYPERLINK("https%3A%2F%2Fwww.webofscience.com%2Fwos%2Fwoscc%2Ffull-record%2F","View Full Record in Web of Science")</f>
        <v>View Full Record in Web of Science</v>
      </c>
    </row>
    <row r="366" spans="1:72" customHeight="1" ht="12.75">
      <c r="A366" t="s">
        <v>72</v>
      </c>
      <c r="B366" t="s">
        <v>2647</v>
      </c>
      <c r="C366"/>
      <c r="D366"/>
      <c r="E366"/>
      <c r="F366" t="s">
        <v>2648</v>
      </c>
      <c r="G366"/>
      <c r="H366"/>
      <c r="I366" t="s">
        <v>2649</v>
      </c>
      <c r="J366" t="s">
        <v>561</v>
      </c>
      <c r="K366"/>
      <c r="L366"/>
      <c r="M366"/>
      <c r="N366" t="s">
        <v>77</v>
      </c>
      <c r="O366"/>
      <c r="P366"/>
      <c r="Q366"/>
      <c r="R366"/>
      <c r="S366"/>
      <c r="T366" t="s">
        <v>2650</v>
      </c>
      <c r="U366" t="s">
        <v>2651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>
        <v>14</v>
      </c>
      <c r="AI366">
        <v>18</v>
      </c>
      <c r="AJ366"/>
      <c r="AK366"/>
      <c r="AL366"/>
      <c r="AM366"/>
      <c r="AN366"/>
      <c r="AO366" t="s">
        <v>564</v>
      </c>
      <c r="AP366" t="s">
        <v>565</v>
      </c>
      <c r="AQ366"/>
      <c r="AR366"/>
      <c r="AS366"/>
      <c r="AT366" t="s">
        <v>385</v>
      </c>
      <c r="AU366">
        <v>2007</v>
      </c>
      <c r="AV366">
        <v>33</v>
      </c>
      <c r="AW366">
        <v>5</v>
      </c>
      <c r="AX366"/>
      <c r="AY366"/>
      <c r="AZ366"/>
      <c r="BA366"/>
      <c r="BB366">
        <v>702</v>
      </c>
      <c r="BC366">
        <v>728</v>
      </c>
      <c r="BD366"/>
      <c r="BE366" t="s">
        <v>2652</v>
      </c>
      <c r="BF366" t="str">
        <f>HYPERLINK("http://dx.doi.org/10.1177/0096144207301416","http://dx.doi.org/10.1177/0096144207301416")</f>
        <v>http://dx.doi.org/10.1177/0096144207301416</v>
      </c>
      <c r="BG366"/>
      <c r="BH366"/>
      <c r="BI366"/>
      <c r="BJ366" t="s">
        <v>568</v>
      </c>
      <c r="BK366"/>
      <c r="BL366"/>
      <c r="BM366"/>
      <c r="BN366"/>
      <c r="BO366"/>
      <c r="BP366"/>
      <c r="BQ366"/>
      <c r="BR366"/>
      <c r="BS366"/>
      <c r="BT366" t="str">
        <f>HYPERLINK("https%3A%2F%2Fwww.webofscience.com%2Fwos%2Fwoscc%2Ffull-record%2F","View Full Record in Web of Science")</f>
        <v>View Full Record in Web of Science</v>
      </c>
    </row>
    <row r="367" spans="1:72" customHeight="1" ht="12.75">
      <c r="A367" t="s">
        <v>72</v>
      </c>
      <c r="B367" t="s">
        <v>2653</v>
      </c>
      <c r="C367"/>
      <c r="D367"/>
      <c r="E367"/>
      <c r="F367" t="s">
        <v>2654</v>
      </c>
      <c r="G367"/>
      <c r="H367"/>
      <c r="I367" t="s">
        <v>2655</v>
      </c>
      <c r="J367" t="s">
        <v>650</v>
      </c>
      <c r="K367"/>
      <c r="L367"/>
      <c r="M367"/>
      <c r="N367" t="s">
        <v>112</v>
      </c>
      <c r="O367"/>
      <c r="P367"/>
      <c r="Q367"/>
      <c r="R367"/>
      <c r="S367"/>
      <c r="T367"/>
      <c r="U367" t="s">
        <v>2656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>
        <v>9</v>
      </c>
      <c r="AI367">
        <v>10</v>
      </c>
      <c r="AJ367"/>
      <c r="AK367"/>
      <c r="AL367"/>
      <c r="AM367"/>
      <c r="AN367"/>
      <c r="AO367" t="s">
        <v>652</v>
      </c>
      <c r="AP367" t="s">
        <v>1274</v>
      </c>
      <c r="AQ367"/>
      <c r="AR367"/>
      <c r="AS367"/>
      <c r="AT367" t="s">
        <v>362</v>
      </c>
      <c r="AU367">
        <v>2013</v>
      </c>
      <c r="AV367">
        <v>5</v>
      </c>
      <c r="AW367">
        <v>2</v>
      </c>
      <c r="AX367"/>
      <c r="AY367"/>
      <c r="AZ367"/>
      <c r="BA367"/>
      <c r="BB367">
        <v>244</v>
      </c>
      <c r="BC367">
        <v>250</v>
      </c>
      <c r="BD367"/>
      <c r="BE367" t="s">
        <v>2657</v>
      </c>
      <c r="BF367" t="str">
        <f>HYPERLINK("http://dx.doi.org/10.1016/j.cosust.2013.03.005","http://dx.doi.org/10.1016/j.cosust.2013.03.005")</f>
        <v>http://dx.doi.org/10.1016/j.cosust.2013.03.005</v>
      </c>
      <c r="BG367"/>
      <c r="BH367"/>
      <c r="BI367"/>
      <c r="BJ367" t="s">
        <v>654</v>
      </c>
      <c r="BK367"/>
      <c r="BL367"/>
      <c r="BM367"/>
      <c r="BN367"/>
      <c r="BO367"/>
      <c r="BP367"/>
      <c r="BQ367"/>
      <c r="BR367"/>
      <c r="BS367"/>
      <c r="BT367" t="str">
        <f>HYPERLINK("https%3A%2F%2Fwww.webofscience.com%2Fwos%2Fwoscc%2Ffull-record%2F","View Full Record in Web of Science")</f>
        <v>View Full Record in Web of Science</v>
      </c>
    </row>
    <row r="368" spans="1:72" customHeight="1" ht="12.75">
      <c r="A368" t="s">
        <v>72</v>
      </c>
      <c r="B368" t="s">
        <v>2658</v>
      </c>
      <c r="C368"/>
      <c r="D368"/>
      <c r="E368"/>
      <c r="F368" t="s">
        <v>2659</v>
      </c>
      <c r="G368"/>
      <c r="H368"/>
      <c r="I368" t="s">
        <v>2660</v>
      </c>
      <c r="J368" t="s">
        <v>340</v>
      </c>
      <c r="K368"/>
      <c r="L368"/>
      <c r="M368"/>
      <c r="N368" t="s">
        <v>112</v>
      </c>
      <c r="O368"/>
      <c r="P368"/>
      <c r="Q368"/>
      <c r="R368"/>
      <c r="S368"/>
      <c r="T368" t="s">
        <v>2661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>
        <v>1</v>
      </c>
      <c r="AI368">
        <v>1</v>
      </c>
      <c r="AJ368"/>
      <c r="AK368"/>
      <c r="AL368"/>
      <c r="AM368"/>
      <c r="AN368"/>
      <c r="AO368" t="s">
        <v>343</v>
      </c>
      <c r="AP368"/>
      <c r="AQ368"/>
      <c r="AR368"/>
      <c r="AS368"/>
      <c r="AT368"/>
      <c r="AU368">
        <v>2021</v>
      </c>
      <c r="AV368"/>
      <c r="AW368"/>
      <c r="AX368"/>
      <c r="AY368"/>
      <c r="AZ368">
        <v>2</v>
      </c>
      <c r="BA368"/>
      <c r="BB368">
        <v>76</v>
      </c>
      <c r="BC368">
        <v>81</v>
      </c>
      <c r="BD368"/>
      <c r="BE368" t="s">
        <v>2662</v>
      </c>
      <c r="BF368" t="str">
        <f>HYPERLINK("http://dx.doi.org/10.13128/techne-10686","http://dx.doi.org/10.13128/techne-10686")</f>
        <v>http://dx.doi.org/10.13128/techne-10686</v>
      </c>
      <c r="BG368"/>
      <c r="BH368"/>
      <c r="BI368"/>
      <c r="BJ368" t="s">
        <v>233</v>
      </c>
      <c r="BK368"/>
      <c r="BL368"/>
      <c r="BM368"/>
      <c r="BN368"/>
      <c r="BO368"/>
      <c r="BP368"/>
      <c r="BQ368"/>
      <c r="BR368"/>
      <c r="BS368"/>
      <c r="BT368" t="str">
        <f>HYPERLINK("https%3A%2F%2Fwww.webofscience.com%2Fwos%2Fwoscc%2Ffull-record%2F","View Full Record in Web of Science")</f>
        <v>View Full Record in Web of Science</v>
      </c>
    </row>
    <row r="369" spans="1:72" customHeight="1" ht="12.75">
      <c r="A369" t="s">
        <v>72</v>
      </c>
      <c r="B369" t="s">
        <v>2663</v>
      </c>
      <c r="C369"/>
      <c r="D369"/>
      <c r="E369"/>
      <c r="F369" t="s">
        <v>2664</v>
      </c>
      <c r="G369"/>
      <c r="H369"/>
      <c r="I369" t="s">
        <v>2665</v>
      </c>
      <c r="J369" t="s">
        <v>2666</v>
      </c>
      <c r="K369"/>
      <c r="L369"/>
      <c r="M369"/>
      <c r="N369" t="s">
        <v>112</v>
      </c>
      <c r="O369"/>
      <c r="P369"/>
      <c r="Q369"/>
      <c r="R369"/>
      <c r="S369"/>
      <c r="T369" t="s">
        <v>2667</v>
      </c>
      <c r="U369" t="s">
        <v>2668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>
        <v>1</v>
      </c>
      <c r="AI369">
        <v>1</v>
      </c>
      <c r="AJ369"/>
      <c r="AK369"/>
      <c r="AL369"/>
      <c r="AM369"/>
      <c r="AN369"/>
      <c r="AO369" t="s">
        <v>2669</v>
      </c>
      <c r="AP369"/>
      <c r="AQ369"/>
      <c r="AR369"/>
      <c r="AS369"/>
      <c r="AT369" t="s">
        <v>552</v>
      </c>
      <c r="AU369">
        <v>2022</v>
      </c>
      <c r="AV369">
        <v>54</v>
      </c>
      <c r="AW369">
        <v>213</v>
      </c>
      <c r="AX369"/>
      <c r="AY369"/>
      <c r="AZ369"/>
      <c r="BA369"/>
      <c r="BB369">
        <v>563</v>
      </c>
      <c r="BC369">
        <v>578</v>
      </c>
      <c r="BD369"/>
      <c r="BE369" t="s">
        <v>2670</v>
      </c>
      <c r="BF369" t="str">
        <f>HYPERLINK("http://dx.doi.org/10.37230/CyTET.2022.213.3","http://dx.doi.org/10.37230/CyTET.2022.213.3")</f>
        <v>http://dx.doi.org/10.37230/CyTET.2022.213.3</v>
      </c>
      <c r="BG369"/>
      <c r="BH369"/>
      <c r="BI369"/>
      <c r="BJ369" t="s">
        <v>243</v>
      </c>
      <c r="BK369"/>
      <c r="BL369"/>
      <c r="BM369"/>
      <c r="BN369"/>
      <c r="BO369"/>
      <c r="BP369"/>
      <c r="BQ369"/>
      <c r="BR369"/>
      <c r="BS369"/>
      <c r="BT369" t="str">
        <f>HYPERLINK("https%3A%2F%2Fwww.webofscience.com%2Fwos%2Fwoscc%2Ffull-record%2F","View Full Record in Web of Science")</f>
        <v>View Full Record in Web of Science</v>
      </c>
    </row>
    <row r="370" spans="1:72" customHeight="1" ht="12.75">
      <c r="A370" t="s">
        <v>72</v>
      </c>
      <c r="B370" t="s">
        <v>2671</v>
      </c>
      <c r="C370"/>
      <c r="D370"/>
      <c r="E370"/>
      <c r="F370" t="s">
        <v>2672</v>
      </c>
      <c r="G370"/>
      <c r="H370"/>
      <c r="I370" t="s">
        <v>2673</v>
      </c>
      <c r="J370" t="s">
        <v>642</v>
      </c>
      <c r="K370"/>
      <c r="L370"/>
      <c r="M370"/>
      <c r="N370" t="s">
        <v>325</v>
      </c>
      <c r="O370"/>
      <c r="P370"/>
      <c r="Q370"/>
      <c r="R370"/>
      <c r="S370"/>
      <c r="T370" t="s">
        <v>2674</v>
      </c>
      <c r="U370" t="s">
        <v>2675</v>
      </c>
      <c r="V370"/>
      <c r="W370"/>
      <c r="X370"/>
      <c r="Y370"/>
      <c r="Z370"/>
      <c r="AA370"/>
      <c r="AB370"/>
      <c r="AC370"/>
      <c r="AD370"/>
      <c r="AE370"/>
      <c r="AF370"/>
      <c r="AG370"/>
      <c r="AH370">
        <v>5</v>
      </c>
      <c r="AI370">
        <v>6</v>
      </c>
      <c r="AJ370"/>
      <c r="AK370"/>
      <c r="AL370"/>
      <c r="AM370"/>
      <c r="AN370"/>
      <c r="AO370" t="s">
        <v>643</v>
      </c>
      <c r="AP370" t="s">
        <v>913</v>
      </c>
      <c r="AQ370"/>
      <c r="AR370"/>
      <c r="AS370"/>
      <c r="AT370" t="s">
        <v>2676</v>
      </c>
      <c r="AU370">
        <v>2021</v>
      </c>
      <c r="AV370">
        <v>42</v>
      </c>
      <c r="AW370">
        <v>8</v>
      </c>
      <c r="AX370"/>
      <c r="AY370"/>
      <c r="AZ370"/>
      <c r="BA370"/>
      <c r="BB370">
        <v>1099</v>
      </c>
      <c r="BC370">
        <v>1118</v>
      </c>
      <c r="BD370"/>
      <c r="BE370" t="s">
        <v>2677</v>
      </c>
      <c r="BF370" t="str">
        <f>HYPERLINK("http://dx.doi.org/10.1080/02723638.2020.1748296","http://dx.doi.org/10.1080/02723638.2020.1748296")</f>
        <v>http://dx.doi.org/10.1080/02723638.2020.1748296</v>
      </c>
      <c r="BG370"/>
      <c r="BH370" t="s">
        <v>2678</v>
      </c>
      <c r="BI370"/>
      <c r="BJ370" t="s">
        <v>646</v>
      </c>
      <c r="BK370"/>
      <c r="BL370"/>
      <c r="BM370"/>
      <c r="BN370"/>
      <c r="BO370"/>
      <c r="BP370"/>
      <c r="BQ370"/>
      <c r="BR370"/>
      <c r="BS370"/>
      <c r="BT370" t="str">
        <f>HYPERLINK("https%3A%2F%2Fwww.webofscience.com%2Fwos%2Fwoscc%2Ffull-record%2F","View Full Record in Web of Science")</f>
        <v>View Full Record in Web of Science</v>
      </c>
    </row>
    <row r="371" spans="1:72" customHeight="1" ht="12.75">
      <c r="A371" t="s">
        <v>72</v>
      </c>
      <c r="B371" t="s">
        <v>2679</v>
      </c>
      <c r="C371"/>
      <c r="D371"/>
      <c r="E371"/>
      <c r="F371" t="s">
        <v>2680</v>
      </c>
      <c r="G371"/>
      <c r="H371"/>
      <c r="I371" t="s">
        <v>2681</v>
      </c>
      <c r="J371" t="s">
        <v>374</v>
      </c>
      <c r="K371"/>
      <c r="L371"/>
      <c r="M371"/>
      <c r="N371" t="s">
        <v>325</v>
      </c>
      <c r="O371"/>
      <c r="P371"/>
      <c r="Q371"/>
      <c r="R371"/>
      <c r="S371"/>
      <c r="T371" t="s">
        <v>2682</v>
      </c>
      <c r="U371" t="s">
        <v>2683</v>
      </c>
      <c r="V371"/>
      <c r="W371"/>
      <c r="X371"/>
      <c r="Y371"/>
      <c r="Z371"/>
      <c r="AA371"/>
      <c r="AB371"/>
      <c r="AC371"/>
      <c r="AD371"/>
      <c r="AE371"/>
      <c r="AF371"/>
      <c r="AG371"/>
      <c r="AH371">
        <v>0.0</v>
      </c>
      <c r="AI371">
        <v>0.0</v>
      </c>
      <c r="AJ371"/>
      <c r="AK371"/>
      <c r="AL371"/>
      <c r="AM371"/>
      <c r="AN371"/>
      <c r="AO371" t="s">
        <v>375</v>
      </c>
      <c r="AP371" t="s">
        <v>376</v>
      </c>
      <c r="AQ371"/>
      <c r="AR371"/>
      <c r="AS371"/>
      <c r="AT371" t="s">
        <v>2684</v>
      </c>
      <c r="AU371">
        <v>2021</v>
      </c>
      <c r="AV371"/>
      <c r="AW371"/>
      <c r="AX371"/>
      <c r="AY371"/>
      <c r="AZ371"/>
      <c r="BA371"/>
      <c r="BB371"/>
      <c r="BC371"/>
      <c r="BD371"/>
      <c r="BE371" t="s">
        <v>2685</v>
      </c>
      <c r="BF371" t="str">
        <f>HYPERLINK("http://dx.doi.org/10.1177/0739456X211027638","http://dx.doi.org/10.1177/0739456X211027638")</f>
        <v>http://dx.doi.org/10.1177/0739456X211027638</v>
      </c>
      <c r="BG371"/>
      <c r="BH371" t="s">
        <v>2686</v>
      </c>
      <c r="BI371"/>
      <c r="BJ371" t="s">
        <v>156</v>
      </c>
      <c r="BK371"/>
      <c r="BL371"/>
      <c r="BM371"/>
      <c r="BN371"/>
      <c r="BO371"/>
      <c r="BP371"/>
      <c r="BQ371"/>
      <c r="BR371"/>
      <c r="BS371"/>
      <c r="BT371" t="str">
        <f>HYPERLINK("https%3A%2F%2Fwww.webofscience.com%2Fwos%2Fwoscc%2Ffull-record%2F","View Full Record in Web of Science")</f>
        <v>View Full Record in Web of Science</v>
      </c>
    </row>
    <row r="372" spans="1:72" customHeight="1" ht="12.75">
      <c r="A372" t="s">
        <v>72</v>
      </c>
      <c r="B372" t="s">
        <v>2687</v>
      </c>
      <c r="C372"/>
      <c r="D372"/>
      <c r="E372"/>
      <c r="F372" t="s">
        <v>2688</v>
      </c>
      <c r="G372"/>
      <c r="H372"/>
      <c r="I372" t="s">
        <v>2689</v>
      </c>
      <c r="J372" t="s">
        <v>2690</v>
      </c>
      <c r="K372"/>
      <c r="L372"/>
      <c r="M372"/>
      <c r="N372" t="s">
        <v>112</v>
      </c>
      <c r="O372"/>
      <c r="P372"/>
      <c r="Q372"/>
      <c r="R372"/>
      <c r="S372"/>
      <c r="T372" t="s">
        <v>2691</v>
      </c>
      <c r="U372" t="s">
        <v>2692</v>
      </c>
      <c r="V372"/>
      <c r="W372"/>
      <c r="X372"/>
      <c r="Y372"/>
      <c r="Z372"/>
      <c r="AA372"/>
      <c r="AB372"/>
      <c r="AC372"/>
      <c r="AD372"/>
      <c r="AE372"/>
      <c r="AF372"/>
      <c r="AG372"/>
      <c r="AH372">
        <v>6</v>
      </c>
      <c r="AI372">
        <v>7</v>
      </c>
      <c r="AJ372"/>
      <c r="AK372"/>
      <c r="AL372"/>
      <c r="AM372"/>
      <c r="AN372"/>
      <c r="AO372" t="s">
        <v>2693</v>
      </c>
      <c r="AP372" t="s">
        <v>2694</v>
      </c>
      <c r="AQ372"/>
      <c r="AR372"/>
      <c r="AS372"/>
      <c r="AT372" t="s">
        <v>128</v>
      </c>
      <c r="AU372">
        <v>2019</v>
      </c>
      <c r="AV372">
        <v>19</v>
      </c>
      <c r="AW372">
        <v>4</v>
      </c>
      <c r="AX372"/>
      <c r="AY372"/>
      <c r="AZ372"/>
      <c r="BA372"/>
      <c r="BB372">
        <v>473</v>
      </c>
      <c r="BC372">
        <v>491</v>
      </c>
      <c r="BD372"/>
      <c r="BE372" t="s">
        <v>2695</v>
      </c>
      <c r="BF372" t="str">
        <f>HYPERLINK("http://dx.doi.org/10.1007/s11115-018-0421-y","http://dx.doi.org/10.1007/s11115-018-0421-y")</f>
        <v>http://dx.doi.org/10.1007/s11115-018-0421-y</v>
      </c>
      <c r="BG372"/>
      <c r="BH372"/>
      <c r="BI372"/>
      <c r="BJ372" t="s">
        <v>2696</v>
      </c>
      <c r="BK372"/>
      <c r="BL372"/>
      <c r="BM372"/>
      <c r="BN372"/>
      <c r="BO372"/>
      <c r="BP372"/>
      <c r="BQ372"/>
      <c r="BR372"/>
      <c r="BS372"/>
      <c r="BT372" t="str">
        <f>HYPERLINK("https%3A%2F%2Fwww.webofscience.com%2Fwos%2Fwoscc%2Ffull-record%2F","View Full Record in Web of Science")</f>
        <v>View Full Record in Web of Science</v>
      </c>
    </row>
    <row r="373" spans="1:72" customHeight="1" ht="12.75">
      <c r="A373" t="s">
        <v>72</v>
      </c>
      <c r="B373" t="s">
        <v>2697</v>
      </c>
      <c r="C373"/>
      <c r="D373"/>
      <c r="E373"/>
      <c r="F373" t="s">
        <v>2698</v>
      </c>
      <c r="G373"/>
      <c r="H373"/>
      <c r="I373" t="s">
        <v>2699</v>
      </c>
      <c r="J373" t="s">
        <v>2512</v>
      </c>
      <c r="K373"/>
      <c r="L373"/>
      <c r="M373"/>
      <c r="N373" t="s">
        <v>112</v>
      </c>
      <c r="O373"/>
      <c r="P373"/>
      <c r="Q373"/>
      <c r="R373"/>
      <c r="S373"/>
      <c r="T373" t="s">
        <v>2700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>
        <v>1</v>
      </c>
      <c r="AI373">
        <v>1</v>
      </c>
      <c r="AJ373"/>
      <c r="AK373"/>
      <c r="AL373"/>
      <c r="AM373"/>
      <c r="AN373"/>
      <c r="AO373" t="s">
        <v>2515</v>
      </c>
      <c r="AP373" t="s">
        <v>2516</v>
      </c>
      <c r="AQ373"/>
      <c r="AR373"/>
      <c r="AS373"/>
      <c r="AT373" t="s">
        <v>128</v>
      </c>
      <c r="AU373">
        <v>2020</v>
      </c>
      <c r="AV373">
        <v>27</v>
      </c>
      <c r="AW373">
        <v>2</v>
      </c>
      <c r="AX373"/>
      <c r="AY373"/>
      <c r="AZ373"/>
      <c r="BA373"/>
      <c r="BB373">
        <v>33</v>
      </c>
      <c r="BC373">
        <v>42</v>
      </c>
      <c r="BD373"/>
      <c r="BE373" t="s">
        <v>2701</v>
      </c>
      <c r="BF373" t="str">
        <f>HYPERLINK("http://dx.doi.org/10.18778/1231-1952.27.2.03","http://dx.doi.org/10.18778/1231-1952.27.2.03")</f>
        <v>http://dx.doi.org/10.18778/1231-1952.27.2.03</v>
      </c>
      <c r="BG373"/>
      <c r="BH373"/>
      <c r="BI373"/>
      <c r="BJ373" t="s">
        <v>83</v>
      </c>
      <c r="BK373"/>
      <c r="BL373"/>
      <c r="BM373"/>
      <c r="BN373"/>
      <c r="BO373"/>
      <c r="BP373"/>
      <c r="BQ373"/>
      <c r="BR373"/>
      <c r="BS373"/>
      <c r="BT373" t="str">
        <f>HYPERLINK("https%3A%2F%2Fwww.webofscience.com%2Fwos%2Fwoscc%2Ffull-record%2F","View Full Record in Web of Science")</f>
        <v>View Full Record in Web of Science</v>
      </c>
    </row>
    <row r="374" spans="1:72" customHeight="1" ht="12.75">
      <c r="A374" t="s">
        <v>72</v>
      </c>
      <c r="B374" t="s">
        <v>2702</v>
      </c>
      <c r="C374"/>
      <c r="D374"/>
      <c r="E374"/>
      <c r="F374" t="s">
        <v>2703</v>
      </c>
      <c r="G374"/>
      <c r="H374"/>
      <c r="I374" t="s">
        <v>2704</v>
      </c>
      <c r="J374" t="s">
        <v>2705</v>
      </c>
      <c r="K374"/>
      <c r="L374"/>
      <c r="M374"/>
      <c r="N374" t="s">
        <v>112</v>
      </c>
      <c r="O374"/>
      <c r="P374"/>
      <c r="Q374"/>
      <c r="R374"/>
      <c r="S374"/>
      <c r="T374" t="s">
        <v>2706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>
        <v>0.0</v>
      </c>
      <c r="AI374">
        <v>0.0</v>
      </c>
      <c r="AJ374"/>
      <c r="AK374"/>
      <c r="AL374"/>
      <c r="AM374"/>
      <c r="AN374"/>
      <c r="AO374" t="s">
        <v>2707</v>
      </c>
      <c r="AP374"/>
      <c r="AQ374"/>
      <c r="AR374"/>
      <c r="AS374"/>
      <c r="AT374" t="s">
        <v>92</v>
      </c>
      <c r="AU374">
        <v>2022</v>
      </c>
      <c r="AV374">
        <v>12</v>
      </c>
      <c r="AW374">
        <v>2</v>
      </c>
      <c r="AX374"/>
      <c r="AY374"/>
      <c r="AZ374"/>
      <c r="BA374"/>
      <c r="BB374">
        <v>46</v>
      </c>
      <c r="BC374">
        <v>60</v>
      </c>
      <c r="BD374"/>
      <c r="BE374"/>
      <c r="BF374"/>
      <c r="BG374"/>
      <c r="BH374"/>
      <c r="BI374"/>
      <c r="BJ374" t="s">
        <v>2708</v>
      </c>
      <c r="BK374"/>
      <c r="BL374"/>
      <c r="BM374"/>
      <c r="BN374"/>
      <c r="BO374"/>
      <c r="BP374"/>
      <c r="BQ374"/>
      <c r="BR374"/>
      <c r="BS374"/>
      <c r="BT374" t="str">
        <f>HYPERLINK("https%3A%2F%2Fwww.webofscience.com%2Fwos%2Fwoscc%2Ffull-record%2F","View Full Record in Web of Science")</f>
        <v>View Full Record in Web of Science</v>
      </c>
    </row>
    <row r="375" spans="1:72" customHeight="1" ht="12.75">
      <c r="A375" t="s">
        <v>72</v>
      </c>
      <c r="B375" t="s">
        <v>2709</v>
      </c>
      <c r="C375"/>
      <c r="D375"/>
      <c r="E375"/>
      <c r="F375" t="s">
        <v>2710</v>
      </c>
      <c r="G375"/>
      <c r="H375"/>
      <c r="I375" t="s">
        <v>2711</v>
      </c>
      <c r="J375" t="s">
        <v>2712</v>
      </c>
      <c r="K375"/>
      <c r="L375"/>
      <c r="M375"/>
      <c r="N375" t="s">
        <v>112</v>
      </c>
      <c r="O375"/>
      <c r="P375"/>
      <c r="Q375"/>
      <c r="R375"/>
      <c r="S375"/>
      <c r="T375" t="s">
        <v>2713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>
        <v>28</v>
      </c>
      <c r="AI375">
        <v>28</v>
      </c>
      <c r="AJ375"/>
      <c r="AK375"/>
      <c r="AL375"/>
      <c r="AM375"/>
      <c r="AN375"/>
      <c r="AO375"/>
      <c r="AP375" t="s">
        <v>2714</v>
      </c>
      <c r="AQ375"/>
      <c r="AR375"/>
      <c r="AS375"/>
      <c r="AT375" t="s">
        <v>117</v>
      </c>
      <c r="AU375">
        <v>2019</v>
      </c>
      <c r="AV375">
        <v>11</v>
      </c>
      <c r="AW375">
        <v>5</v>
      </c>
      <c r="AX375"/>
      <c r="AY375"/>
      <c r="AZ375"/>
      <c r="BA375"/>
      <c r="BB375"/>
      <c r="BC375"/>
      <c r="BD375">
        <v>1082</v>
      </c>
      <c r="BE375" t="s">
        <v>2715</v>
      </c>
      <c r="BF375" t="str">
        <f>HYPERLINK("http://dx.doi.org/10.3390/w11051082","http://dx.doi.org/10.3390/w11051082")</f>
        <v>http://dx.doi.org/10.3390/w11051082</v>
      </c>
      <c r="BG375"/>
      <c r="BH375"/>
      <c r="BI375"/>
      <c r="BJ375" t="s">
        <v>2716</v>
      </c>
      <c r="BK375"/>
      <c r="BL375"/>
      <c r="BM375"/>
      <c r="BN375"/>
      <c r="BO375"/>
      <c r="BP375"/>
      <c r="BQ375"/>
      <c r="BR375"/>
      <c r="BS375"/>
      <c r="BT375" t="str">
        <f>HYPERLINK("https%3A%2F%2Fwww.webofscience.com%2Fwos%2Fwoscc%2Ffull-record%2F","View Full Record in Web of Science")</f>
        <v>View Full Record in Web of Science</v>
      </c>
    </row>
    <row r="376" spans="1:72" customHeight="1" ht="12.75">
      <c r="A376" t="s">
        <v>72</v>
      </c>
      <c r="B376" t="s">
        <v>2717</v>
      </c>
      <c r="C376"/>
      <c r="D376"/>
      <c r="E376"/>
      <c r="F376" t="s">
        <v>2718</v>
      </c>
      <c r="G376"/>
      <c r="H376"/>
      <c r="I376" t="s">
        <v>2719</v>
      </c>
      <c r="J376" t="s">
        <v>87</v>
      </c>
      <c r="K376"/>
      <c r="L376"/>
      <c r="M376"/>
      <c r="N376" t="s">
        <v>112</v>
      </c>
      <c r="O376"/>
      <c r="P376"/>
      <c r="Q376"/>
      <c r="R376"/>
      <c r="S376"/>
      <c r="T376" t="s">
        <v>2720</v>
      </c>
      <c r="U376" t="s">
        <v>2721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>
        <v>48</v>
      </c>
      <c r="AI376">
        <v>51</v>
      </c>
      <c r="AJ376"/>
      <c r="AK376"/>
      <c r="AL376"/>
      <c r="AM376"/>
      <c r="AN376"/>
      <c r="AO376" t="s">
        <v>90</v>
      </c>
      <c r="AP376" t="s">
        <v>91</v>
      </c>
      <c r="AQ376"/>
      <c r="AR376"/>
      <c r="AS376"/>
      <c r="AT376" t="s">
        <v>352</v>
      </c>
      <c r="AU376">
        <v>2013</v>
      </c>
      <c r="AV376">
        <v>32</v>
      </c>
      <c r="AW376"/>
      <c r="AX376"/>
      <c r="AY376"/>
      <c r="AZ376"/>
      <c r="BA376"/>
      <c r="BB376">
        <v>182</v>
      </c>
      <c r="BC376">
        <v>196</v>
      </c>
      <c r="BD376"/>
      <c r="BE376" t="s">
        <v>2722</v>
      </c>
      <c r="BF376" t="str">
        <f>HYPERLINK("http://dx.doi.org/10.1016/j.ecolind.2013.03.014","http://dx.doi.org/10.1016/j.ecolind.2013.03.014")</f>
        <v>http://dx.doi.org/10.1016/j.ecolind.2013.03.014</v>
      </c>
      <c r="BG376"/>
      <c r="BH376"/>
      <c r="BI376"/>
      <c r="BJ376" t="s">
        <v>94</v>
      </c>
      <c r="BK376"/>
      <c r="BL376"/>
      <c r="BM376"/>
      <c r="BN376"/>
      <c r="BO376"/>
      <c r="BP376"/>
      <c r="BQ376"/>
      <c r="BR376"/>
      <c r="BS376"/>
      <c r="BT376" t="str">
        <f>HYPERLINK("https%3A%2F%2Fwww.webofscience.com%2Fwos%2Fwoscc%2Ffull-record%2F","View Full Record in Web of Science")</f>
        <v>View Full Record in Web of Science</v>
      </c>
    </row>
    <row r="377" spans="1:72" customHeight="1" ht="12.75">
      <c r="A377" t="s">
        <v>72</v>
      </c>
      <c r="B377" t="s">
        <v>2723</v>
      </c>
      <c r="C377"/>
      <c r="D377"/>
      <c r="E377"/>
      <c r="F377" t="s">
        <v>2724</v>
      </c>
      <c r="G377"/>
      <c r="H377"/>
      <c r="I377" t="s">
        <v>2725</v>
      </c>
      <c r="J377" t="s">
        <v>2726</v>
      </c>
      <c r="K377"/>
      <c r="L377"/>
      <c r="M377"/>
      <c r="N377" t="s">
        <v>112</v>
      </c>
      <c r="O377"/>
      <c r="P377"/>
      <c r="Q377"/>
      <c r="R377"/>
      <c r="S377"/>
      <c r="T377" t="s">
        <v>2727</v>
      </c>
      <c r="U377" t="s">
        <v>2728</v>
      </c>
      <c r="V377"/>
      <c r="W377"/>
      <c r="X377"/>
      <c r="Y377"/>
      <c r="Z377"/>
      <c r="AA377"/>
      <c r="AB377"/>
      <c r="AC377"/>
      <c r="AD377"/>
      <c r="AE377"/>
      <c r="AF377"/>
      <c r="AG377"/>
      <c r="AH377">
        <v>9</v>
      </c>
      <c r="AI377">
        <v>9</v>
      </c>
      <c r="AJ377"/>
      <c r="AK377"/>
      <c r="AL377"/>
      <c r="AM377"/>
      <c r="AN377"/>
      <c r="AO377" t="s">
        <v>2729</v>
      </c>
      <c r="AP377" t="s">
        <v>2730</v>
      </c>
      <c r="AQ377"/>
      <c r="AR377"/>
      <c r="AS377"/>
      <c r="AT377" t="s">
        <v>154</v>
      </c>
      <c r="AU377">
        <v>2014</v>
      </c>
      <c r="AV377">
        <v>24</v>
      </c>
      <c r="AW377">
        <v>4</v>
      </c>
      <c r="AX377"/>
      <c r="AY377"/>
      <c r="AZ377"/>
      <c r="BA377"/>
      <c r="BB377">
        <v>651</v>
      </c>
      <c r="BC377">
        <v>668</v>
      </c>
      <c r="BD377"/>
      <c r="BE377" t="s">
        <v>2731</v>
      </c>
      <c r="BF377" t="str">
        <f>HYPERLINK("http://dx.doi.org/10.1007/s11442-014-1111-5","http://dx.doi.org/10.1007/s11442-014-1111-5")</f>
        <v>http://dx.doi.org/10.1007/s11442-014-1111-5</v>
      </c>
      <c r="BG377"/>
      <c r="BH377"/>
      <c r="BI377"/>
      <c r="BJ377" t="s">
        <v>2732</v>
      </c>
      <c r="BK377"/>
      <c r="BL377"/>
      <c r="BM377"/>
      <c r="BN377"/>
      <c r="BO377"/>
      <c r="BP377"/>
      <c r="BQ377"/>
      <c r="BR377"/>
      <c r="BS377"/>
      <c r="BT377" t="str">
        <f>HYPERLINK("https%3A%2F%2Fwww.webofscience.com%2Fwos%2Fwoscc%2Ffull-record%2F","View Full Record in Web of Science")</f>
        <v>View Full Record in Web of Science</v>
      </c>
    </row>
    <row r="378" spans="1:72" customHeight="1" ht="12.75">
      <c r="A378" t="s">
        <v>72</v>
      </c>
      <c r="B378" t="s">
        <v>2733</v>
      </c>
      <c r="C378"/>
      <c r="D378"/>
      <c r="E378"/>
      <c r="F378" t="s">
        <v>2734</v>
      </c>
      <c r="G378"/>
      <c r="H378"/>
      <c r="I378" t="s">
        <v>2735</v>
      </c>
      <c r="J378" t="s">
        <v>1067</v>
      </c>
      <c r="K378"/>
      <c r="L378"/>
      <c r="M378"/>
      <c r="N378" t="s">
        <v>325</v>
      </c>
      <c r="O378"/>
      <c r="P378"/>
      <c r="Q378"/>
      <c r="R378"/>
      <c r="S378"/>
      <c r="T378" t="s">
        <v>2736</v>
      </c>
      <c r="U378" t="s">
        <v>2737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>
        <v>14</v>
      </c>
      <c r="AI378">
        <v>14</v>
      </c>
      <c r="AJ378"/>
      <c r="AK378"/>
      <c r="AL378"/>
      <c r="AM378"/>
      <c r="AN378"/>
      <c r="AO378" t="s">
        <v>1070</v>
      </c>
      <c r="AP378" t="s">
        <v>1071</v>
      </c>
      <c r="AQ378"/>
      <c r="AR378"/>
      <c r="AS378"/>
      <c r="AT378" t="s">
        <v>2738</v>
      </c>
      <c r="AU378">
        <v>2021</v>
      </c>
      <c r="AV378">
        <v>762</v>
      </c>
      <c r="AW378"/>
      <c r="AX378"/>
      <c r="AY378"/>
      <c r="AZ378"/>
      <c r="BA378"/>
      <c r="BB378"/>
      <c r="BC378"/>
      <c r="BD378">
        <v>143133</v>
      </c>
      <c r="BE378" t="s">
        <v>2739</v>
      </c>
      <c r="BF378" t="str">
        <f>HYPERLINK("http://dx.doi.org/10.1016/j.scitotenv.2020.143133","http://dx.doi.org/10.1016/j.scitotenv.2020.143133")</f>
        <v>http://dx.doi.org/10.1016/j.scitotenv.2020.143133</v>
      </c>
      <c r="BG378"/>
      <c r="BH378" t="s">
        <v>583</v>
      </c>
      <c r="BI378"/>
      <c r="BJ378" t="s">
        <v>224</v>
      </c>
      <c r="BK378"/>
      <c r="BL378"/>
      <c r="BM378"/>
      <c r="BN378"/>
      <c r="BO378"/>
      <c r="BP378"/>
      <c r="BQ378"/>
      <c r="BR378"/>
      <c r="BS378"/>
      <c r="BT378" t="str">
        <f>HYPERLINK("https%3A%2F%2Fwww.webofscience.com%2Fwos%2Fwoscc%2Ffull-record%2F","View Full Record in Web of Science")</f>
        <v>View Full Record in Web of Science</v>
      </c>
    </row>
    <row r="379" spans="1:72" customHeight="1" ht="12.75">
      <c r="A379" t="s">
        <v>72</v>
      </c>
      <c r="B379" t="s">
        <v>2740</v>
      </c>
      <c r="C379"/>
      <c r="D379"/>
      <c r="E379"/>
      <c r="F379" t="s">
        <v>2741</v>
      </c>
      <c r="G379"/>
      <c r="H379"/>
      <c r="I379" t="s">
        <v>2742</v>
      </c>
      <c r="J379" t="s">
        <v>587</v>
      </c>
      <c r="K379"/>
      <c r="L379"/>
      <c r="M379"/>
      <c r="N379" t="s">
        <v>112</v>
      </c>
      <c r="O379"/>
      <c r="P379"/>
      <c r="Q379"/>
      <c r="R379"/>
      <c r="S379"/>
      <c r="T379" t="s">
        <v>2743</v>
      </c>
      <c r="U379" t="s">
        <v>2744</v>
      </c>
      <c r="V379"/>
      <c r="W379"/>
      <c r="X379"/>
      <c r="Y379"/>
      <c r="Z379"/>
      <c r="AA379"/>
      <c r="AB379"/>
      <c r="AC379"/>
      <c r="AD379"/>
      <c r="AE379"/>
      <c r="AF379"/>
      <c r="AG379"/>
      <c r="AH379">
        <v>40</v>
      </c>
      <c r="AI379">
        <v>48</v>
      </c>
      <c r="AJ379"/>
      <c r="AK379"/>
      <c r="AL379"/>
      <c r="AM379"/>
      <c r="AN379"/>
      <c r="AO379" t="s">
        <v>590</v>
      </c>
      <c r="AP379" t="s">
        <v>591</v>
      </c>
      <c r="AQ379"/>
      <c r="AR379"/>
      <c r="AS379"/>
      <c r="AT379" t="s">
        <v>2745</v>
      </c>
      <c r="AU379">
        <v>2019</v>
      </c>
      <c r="AV379">
        <v>235</v>
      </c>
      <c r="AW379"/>
      <c r="AX379"/>
      <c r="AY379"/>
      <c r="AZ379"/>
      <c r="BA379"/>
      <c r="BB379">
        <v>96</v>
      </c>
      <c r="BC379">
        <v>111</v>
      </c>
      <c r="BD379"/>
      <c r="BE379" t="s">
        <v>2746</v>
      </c>
      <c r="BF379" t="str">
        <f>HYPERLINK("http://dx.doi.org/10.1016/j.jclepro.2019.06.252","http://dx.doi.org/10.1016/j.jclepro.2019.06.252")</f>
        <v>http://dx.doi.org/10.1016/j.jclepro.2019.06.252</v>
      </c>
      <c r="BG379"/>
      <c r="BH379"/>
      <c r="BI379"/>
      <c r="BJ379" t="s">
        <v>139</v>
      </c>
      <c r="BK379"/>
      <c r="BL379"/>
      <c r="BM379"/>
      <c r="BN379"/>
      <c r="BO379"/>
      <c r="BP379"/>
      <c r="BQ379"/>
      <c r="BR379"/>
      <c r="BS379"/>
      <c r="BT379" t="str">
        <f>HYPERLINK("https%3A%2F%2Fwww.webofscience.com%2Fwos%2Fwoscc%2Ffull-record%2F","View Full Record in Web of Science")</f>
        <v>View Full Record in Web of Science</v>
      </c>
    </row>
    <row r="380" spans="1:72" customHeight="1" ht="12.75">
      <c r="A380" t="s">
        <v>72</v>
      </c>
      <c r="B380" t="s">
        <v>2747</v>
      </c>
      <c r="C380"/>
      <c r="D380"/>
      <c r="E380"/>
      <c r="F380" t="s">
        <v>2748</v>
      </c>
      <c r="G380"/>
      <c r="H380"/>
      <c r="I380" t="s">
        <v>2749</v>
      </c>
      <c r="J380" t="s">
        <v>448</v>
      </c>
      <c r="K380"/>
      <c r="L380"/>
      <c r="M380"/>
      <c r="N380" t="s">
        <v>77</v>
      </c>
      <c r="O380"/>
      <c r="P380"/>
      <c r="Q380"/>
      <c r="R380"/>
      <c r="S380"/>
      <c r="T380" t="s">
        <v>2750</v>
      </c>
      <c r="U380" t="s">
        <v>2751</v>
      </c>
      <c r="V380"/>
      <c r="W380"/>
      <c r="X380"/>
      <c r="Y380"/>
      <c r="Z380"/>
      <c r="AA380"/>
      <c r="AB380"/>
      <c r="AC380"/>
      <c r="AD380"/>
      <c r="AE380"/>
      <c r="AF380"/>
      <c r="AG380"/>
      <c r="AH380">
        <v>88</v>
      </c>
      <c r="AI380">
        <v>104</v>
      </c>
      <c r="AJ380"/>
      <c r="AK380"/>
      <c r="AL380"/>
      <c r="AM380"/>
      <c r="AN380"/>
      <c r="AO380" t="s">
        <v>451</v>
      </c>
      <c r="AP380"/>
      <c r="AQ380"/>
      <c r="AR380"/>
      <c r="AS380"/>
      <c r="AT380" t="s">
        <v>385</v>
      </c>
      <c r="AU380">
        <v>2019</v>
      </c>
      <c r="AV380">
        <v>14</v>
      </c>
      <c r="AW380">
        <v>7</v>
      </c>
      <c r="AX380"/>
      <c r="AY380"/>
      <c r="AZ380"/>
      <c r="BA380"/>
      <c r="BB380"/>
      <c r="BC380"/>
      <c r="BD380">
        <v>73003</v>
      </c>
      <c r="BE380" t="s">
        <v>2752</v>
      </c>
      <c r="BF380" t="str">
        <f>HYPERLINK("http://dx.doi.org/10.1088/1748-9326/ab0767","http://dx.doi.org/10.1088/1748-9326/ab0767")</f>
        <v>http://dx.doi.org/10.1088/1748-9326/ab0767</v>
      </c>
      <c r="BG380"/>
      <c r="BH380"/>
      <c r="BI380"/>
      <c r="BJ380" t="s">
        <v>453</v>
      </c>
      <c r="BK380"/>
      <c r="BL380"/>
      <c r="BM380"/>
      <c r="BN380"/>
      <c r="BO380"/>
      <c r="BP380"/>
      <c r="BQ380"/>
      <c r="BR380"/>
      <c r="BS380"/>
      <c r="BT380" t="str">
        <f>HYPERLINK("https%3A%2F%2Fwww.webofscience.com%2Fwos%2Fwoscc%2Ffull-record%2F","View Full Record in Web of Science")</f>
        <v>View Full Record in Web of Science</v>
      </c>
    </row>
    <row r="381" spans="1:72" customHeight="1" ht="12.75">
      <c r="A381" t="s">
        <v>72</v>
      </c>
      <c r="B381" t="s">
        <v>2753</v>
      </c>
      <c r="C381"/>
      <c r="D381"/>
      <c r="E381"/>
      <c r="F381" t="s">
        <v>2754</v>
      </c>
      <c r="G381"/>
      <c r="H381"/>
      <c r="I381" t="s">
        <v>2755</v>
      </c>
      <c r="J381" t="s">
        <v>587</v>
      </c>
      <c r="K381"/>
      <c r="L381"/>
      <c r="M381"/>
      <c r="N381" t="s">
        <v>77</v>
      </c>
      <c r="O381"/>
      <c r="P381"/>
      <c r="Q381"/>
      <c r="R381"/>
      <c r="S381"/>
      <c r="T381" t="s">
        <v>2756</v>
      </c>
      <c r="U381" t="s">
        <v>2757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>
        <v>95</v>
      </c>
      <c r="AI381">
        <v>97</v>
      </c>
      <c r="AJ381"/>
      <c r="AK381"/>
      <c r="AL381"/>
      <c r="AM381"/>
      <c r="AN381"/>
      <c r="AO381" t="s">
        <v>590</v>
      </c>
      <c r="AP381" t="s">
        <v>591</v>
      </c>
      <c r="AQ381"/>
      <c r="AR381"/>
      <c r="AS381"/>
      <c r="AT381" t="s">
        <v>2169</v>
      </c>
      <c r="AU381">
        <v>2017</v>
      </c>
      <c r="AV381">
        <v>166</v>
      </c>
      <c r="AW381"/>
      <c r="AX381"/>
      <c r="AY381"/>
      <c r="AZ381"/>
      <c r="BA381"/>
      <c r="BB381">
        <v>939</v>
      </c>
      <c r="BC381">
        <v>951</v>
      </c>
      <c r="BD381"/>
      <c r="BE381" t="s">
        <v>2758</v>
      </c>
      <c r="BF381" t="str">
        <f>HYPERLINK("http://dx.doi.org/10.1016/j.jclepro.2017.08.030","http://dx.doi.org/10.1016/j.jclepro.2017.08.030")</f>
        <v>http://dx.doi.org/10.1016/j.jclepro.2017.08.030</v>
      </c>
      <c r="BG381"/>
      <c r="BH381"/>
      <c r="BI381"/>
      <c r="BJ381" t="s">
        <v>139</v>
      </c>
      <c r="BK381"/>
      <c r="BL381"/>
      <c r="BM381"/>
      <c r="BN381"/>
      <c r="BO381"/>
      <c r="BP381"/>
      <c r="BQ381"/>
      <c r="BR381"/>
      <c r="BS381"/>
      <c r="BT381" t="str">
        <f>HYPERLINK("https%3A%2F%2Fwww.webofscience.com%2Fwos%2Fwoscc%2Ffull-record%2F","View Full Record in Web of Science")</f>
        <v>View Full Record in Web of Science</v>
      </c>
    </row>
    <row r="382" spans="1:72" customHeight="1" ht="12.75">
      <c r="A382" t="s">
        <v>72</v>
      </c>
      <c r="B382" t="s">
        <v>2759</v>
      </c>
      <c r="C382"/>
      <c r="D382"/>
      <c r="E382"/>
      <c r="F382" t="s">
        <v>2760</v>
      </c>
      <c r="G382"/>
      <c r="H382"/>
      <c r="I382" t="s">
        <v>2761</v>
      </c>
      <c r="J382" t="s">
        <v>2762</v>
      </c>
      <c r="K382"/>
      <c r="L382"/>
      <c r="M382"/>
      <c r="N382" t="s">
        <v>325</v>
      </c>
      <c r="O382"/>
      <c r="P382"/>
      <c r="Q382"/>
      <c r="R382"/>
      <c r="S382"/>
      <c r="T382" t="s">
        <v>2763</v>
      </c>
      <c r="U382" t="s">
        <v>2764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>
        <v>3</v>
      </c>
      <c r="AI382">
        <v>3</v>
      </c>
      <c r="AJ382"/>
      <c r="AK382"/>
      <c r="AL382"/>
      <c r="AM382"/>
      <c r="AN382"/>
      <c r="AO382" t="s">
        <v>2765</v>
      </c>
      <c r="AP382" t="s">
        <v>2766</v>
      </c>
      <c r="AQ382"/>
      <c r="AR382"/>
      <c r="AS382"/>
      <c r="AT382" t="s">
        <v>2767</v>
      </c>
      <c r="AU382">
        <v>2022</v>
      </c>
      <c r="AV382">
        <v>24</v>
      </c>
      <c r="AW382">
        <v>2</v>
      </c>
      <c r="AX382"/>
      <c r="AY382"/>
      <c r="AZ382"/>
      <c r="BA382"/>
      <c r="BB382">
        <v>118</v>
      </c>
      <c r="BC382">
        <v>140</v>
      </c>
      <c r="BD382"/>
      <c r="BE382" t="s">
        <v>2768</v>
      </c>
      <c r="BF382" t="str">
        <f>HYPERLINK("http://dx.doi.org/10.1108/DPRG-06-2020-0085","http://dx.doi.org/10.1108/DPRG-06-2020-0085")</f>
        <v>http://dx.doi.org/10.1108/DPRG-06-2020-0085</v>
      </c>
      <c r="BG382"/>
      <c r="BH382" t="s">
        <v>2562</v>
      </c>
      <c r="BI382"/>
      <c r="BJ382" t="s">
        <v>2769</v>
      </c>
      <c r="BK382"/>
      <c r="BL382"/>
      <c r="BM382"/>
      <c r="BN382"/>
      <c r="BO382"/>
      <c r="BP382"/>
      <c r="BQ382"/>
      <c r="BR382"/>
      <c r="BS382"/>
      <c r="BT382" t="str">
        <f>HYPERLINK("https%3A%2F%2Fwww.webofscience.com%2Fwos%2Fwoscc%2Ffull-record%2F","View Full Record in Web of Science")</f>
        <v>View Full Record in Web of Science</v>
      </c>
    </row>
    <row r="383" spans="1:72" customHeight="1" ht="12.75">
      <c r="A383" t="s">
        <v>72</v>
      </c>
      <c r="B383" t="s">
        <v>2770</v>
      </c>
      <c r="C383"/>
      <c r="D383"/>
      <c r="E383"/>
      <c r="F383" t="s">
        <v>2771</v>
      </c>
      <c r="G383"/>
      <c r="H383"/>
      <c r="I383" t="s">
        <v>2772</v>
      </c>
      <c r="J383" t="s">
        <v>1067</v>
      </c>
      <c r="K383"/>
      <c r="L383"/>
      <c r="M383"/>
      <c r="N383" t="s">
        <v>112</v>
      </c>
      <c r="O383"/>
      <c r="P383"/>
      <c r="Q383"/>
      <c r="R383"/>
      <c r="S383"/>
      <c r="T383" t="s">
        <v>2773</v>
      </c>
      <c r="U383" t="s">
        <v>2774</v>
      </c>
      <c r="V383"/>
      <c r="W383"/>
      <c r="X383"/>
      <c r="Y383"/>
      <c r="Z383"/>
      <c r="AA383"/>
      <c r="AB383"/>
      <c r="AC383"/>
      <c r="AD383"/>
      <c r="AE383"/>
      <c r="AF383"/>
      <c r="AG383"/>
      <c r="AH383">
        <v>43</v>
      </c>
      <c r="AI383">
        <v>44</v>
      </c>
      <c r="AJ383"/>
      <c r="AK383"/>
      <c r="AL383"/>
      <c r="AM383"/>
      <c r="AN383"/>
      <c r="AO383" t="s">
        <v>1070</v>
      </c>
      <c r="AP383" t="s">
        <v>1071</v>
      </c>
      <c r="AQ383"/>
      <c r="AR383"/>
      <c r="AS383"/>
      <c r="AT383" t="s">
        <v>490</v>
      </c>
      <c r="AU383">
        <v>2017</v>
      </c>
      <c r="AV383">
        <v>574</v>
      </c>
      <c r="AW383"/>
      <c r="AX383"/>
      <c r="AY383"/>
      <c r="AZ383"/>
      <c r="BA383"/>
      <c r="BB383">
        <v>1521</v>
      </c>
      <c r="BC383">
        <v>1532</v>
      </c>
      <c r="BD383"/>
      <c r="BE383" t="s">
        <v>2775</v>
      </c>
      <c r="BF383" t="str">
        <f>HYPERLINK("http://dx.doi.org/10.1016/j.scitotenv.2016.08.159","http://dx.doi.org/10.1016/j.scitotenv.2016.08.159")</f>
        <v>http://dx.doi.org/10.1016/j.scitotenv.2016.08.159</v>
      </c>
      <c r="BG383"/>
      <c r="BH383"/>
      <c r="BI383"/>
      <c r="BJ383" t="s">
        <v>224</v>
      </c>
      <c r="BK383"/>
      <c r="BL383"/>
      <c r="BM383"/>
      <c r="BN383"/>
      <c r="BO383"/>
      <c r="BP383"/>
      <c r="BQ383"/>
      <c r="BR383"/>
      <c r="BS383"/>
      <c r="BT383" t="str">
        <f>HYPERLINK("https%3A%2F%2Fwww.webofscience.com%2Fwos%2Fwoscc%2Ffull-record%2F","View Full Record in Web of Science")</f>
        <v>View Full Record in Web of Science</v>
      </c>
    </row>
    <row r="384" spans="1:72" customHeight="1" ht="12.75">
      <c r="A384" t="s">
        <v>72</v>
      </c>
      <c r="B384" t="s">
        <v>2776</v>
      </c>
      <c r="C384"/>
      <c r="D384"/>
      <c r="E384"/>
      <c r="F384" t="s">
        <v>2777</v>
      </c>
      <c r="G384"/>
      <c r="H384"/>
      <c r="I384" t="s">
        <v>2778</v>
      </c>
      <c r="J384" t="s">
        <v>2779</v>
      </c>
      <c r="K384"/>
      <c r="L384"/>
      <c r="M384"/>
      <c r="N384" t="s">
        <v>112</v>
      </c>
      <c r="O384"/>
      <c r="P384"/>
      <c r="Q384"/>
      <c r="R384"/>
      <c r="S384"/>
      <c r="T384" t="s">
        <v>2780</v>
      </c>
      <c r="U384" t="s">
        <v>2781</v>
      </c>
      <c r="V384"/>
      <c r="W384"/>
      <c r="X384"/>
      <c r="Y384"/>
      <c r="Z384"/>
      <c r="AA384"/>
      <c r="AB384"/>
      <c r="AC384"/>
      <c r="AD384"/>
      <c r="AE384"/>
      <c r="AF384"/>
      <c r="AG384"/>
      <c r="AH384">
        <v>2</v>
      </c>
      <c r="AI384">
        <v>2</v>
      </c>
      <c r="AJ384"/>
      <c r="AK384"/>
      <c r="AL384"/>
      <c r="AM384"/>
      <c r="AN384"/>
      <c r="AO384" t="s">
        <v>2782</v>
      </c>
      <c r="AP384" t="s">
        <v>2783</v>
      </c>
      <c r="AQ384"/>
      <c r="AR384"/>
      <c r="AS384"/>
      <c r="AT384" t="s">
        <v>362</v>
      </c>
      <c r="AU384">
        <v>2019</v>
      </c>
      <c r="AV384">
        <v>7</v>
      </c>
      <c r="AW384">
        <v>2</v>
      </c>
      <c r="AX384"/>
      <c r="AY384"/>
      <c r="AZ384"/>
      <c r="BA384"/>
      <c r="BB384">
        <v>185</v>
      </c>
      <c r="BC384">
        <v>196</v>
      </c>
      <c r="BD384"/>
      <c r="BE384" t="s">
        <v>2784</v>
      </c>
      <c r="BF384" t="str">
        <f>HYPERLINK("http://dx.doi.org/10.5890/JEAM.2019.06.005","http://dx.doi.org/10.5890/JEAM.2019.06.005")</f>
        <v>http://dx.doi.org/10.5890/JEAM.2019.06.005</v>
      </c>
      <c r="BG384"/>
      <c r="BH384"/>
      <c r="BI384"/>
      <c r="BJ384" t="s">
        <v>2785</v>
      </c>
      <c r="BK384"/>
      <c r="BL384"/>
      <c r="BM384"/>
      <c r="BN384"/>
      <c r="BO384"/>
      <c r="BP384"/>
      <c r="BQ384"/>
      <c r="BR384"/>
      <c r="BS384"/>
      <c r="BT384" t="str">
        <f>HYPERLINK("https%3A%2F%2Fwww.webofscience.com%2Fwos%2Fwoscc%2Ffull-record%2F","View Full Record in Web of Science")</f>
        <v>View Full Record in Web of Science</v>
      </c>
    </row>
    <row r="385" spans="1:72" customHeight="1" ht="12.75">
      <c r="A385" t="s">
        <v>72</v>
      </c>
      <c r="B385" t="s">
        <v>2786</v>
      </c>
      <c r="C385"/>
      <c r="D385"/>
      <c r="E385"/>
      <c r="F385" t="s">
        <v>2787</v>
      </c>
      <c r="G385"/>
      <c r="H385"/>
      <c r="I385" t="s">
        <v>2788</v>
      </c>
      <c r="J385" t="s">
        <v>587</v>
      </c>
      <c r="K385"/>
      <c r="L385"/>
      <c r="M385"/>
      <c r="N385" t="s">
        <v>112</v>
      </c>
      <c r="O385"/>
      <c r="P385"/>
      <c r="Q385"/>
      <c r="R385"/>
      <c r="S385"/>
      <c r="T385" t="s">
        <v>2789</v>
      </c>
      <c r="U385" t="s">
        <v>2790</v>
      </c>
      <c r="V385"/>
      <c r="W385"/>
      <c r="X385"/>
      <c r="Y385"/>
      <c r="Z385"/>
      <c r="AA385"/>
      <c r="AB385"/>
      <c r="AC385"/>
      <c r="AD385"/>
      <c r="AE385"/>
      <c r="AF385"/>
      <c r="AG385"/>
      <c r="AH385">
        <v>10</v>
      </c>
      <c r="AI385">
        <v>11</v>
      </c>
      <c r="AJ385"/>
      <c r="AK385"/>
      <c r="AL385"/>
      <c r="AM385"/>
      <c r="AN385"/>
      <c r="AO385" t="s">
        <v>590</v>
      </c>
      <c r="AP385" t="s">
        <v>591</v>
      </c>
      <c r="AQ385"/>
      <c r="AR385"/>
      <c r="AS385"/>
      <c r="AT385" t="s">
        <v>688</v>
      </c>
      <c r="AU385">
        <v>2017</v>
      </c>
      <c r="AV385">
        <v>163</v>
      </c>
      <c r="AW385"/>
      <c r="AX385"/>
      <c r="AY385" t="s">
        <v>689</v>
      </c>
      <c r="AZ385"/>
      <c r="BA385"/>
      <c r="BB385" t="s">
        <v>2791</v>
      </c>
      <c r="BC385" t="s">
        <v>2792</v>
      </c>
      <c r="BD385"/>
      <c r="BE385" t="s">
        <v>2793</v>
      </c>
      <c r="BF385" t="str">
        <f>HYPERLINK("http://dx.doi.org/10.1016/j.jclepro.2015.10.137","http://dx.doi.org/10.1016/j.jclepro.2015.10.137")</f>
        <v>http://dx.doi.org/10.1016/j.jclepro.2015.10.137</v>
      </c>
      <c r="BG385"/>
      <c r="BH385"/>
      <c r="BI385"/>
      <c r="BJ385" t="s">
        <v>139</v>
      </c>
      <c r="BK385"/>
      <c r="BL385"/>
      <c r="BM385"/>
      <c r="BN385"/>
      <c r="BO385"/>
      <c r="BP385"/>
      <c r="BQ385"/>
      <c r="BR385"/>
      <c r="BS385"/>
      <c r="BT385" t="str">
        <f>HYPERLINK("https%3A%2F%2Fwww.webofscience.com%2Fwos%2Fwoscc%2Ffull-record%2F","View Full Record in Web of Science")</f>
        <v>View Full Record in Web of Science</v>
      </c>
    </row>
    <row r="386" spans="1:72" customHeight="1" ht="12.75">
      <c r="A386" t="s">
        <v>72</v>
      </c>
      <c r="B386" t="s">
        <v>2794</v>
      </c>
      <c r="C386"/>
      <c r="D386"/>
      <c r="E386"/>
      <c r="F386" t="s">
        <v>2795</v>
      </c>
      <c r="G386"/>
      <c r="H386"/>
      <c r="I386" t="s">
        <v>2796</v>
      </c>
      <c r="J386" t="s">
        <v>457</v>
      </c>
      <c r="K386"/>
      <c r="L386"/>
      <c r="M386"/>
      <c r="N386" t="s">
        <v>112</v>
      </c>
      <c r="O386"/>
      <c r="P386"/>
      <c r="Q386"/>
      <c r="R386"/>
      <c r="S386"/>
      <c r="T386" t="s">
        <v>2797</v>
      </c>
      <c r="U386" t="s">
        <v>2798</v>
      </c>
      <c r="V386"/>
      <c r="W386"/>
      <c r="X386"/>
      <c r="Y386"/>
      <c r="Z386"/>
      <c r="AA386"/>
      <c r="AB386"/>
      <c r="AC386"/>
      <c r="AD386"/>
      <c r="AE386"/>
      <c r="AF386"/>
      <c r="AG386"/>
      <c r="AH386">
        <v>0.0</v>
      </c>
      <c r="AI386">
        <v>0.0</v>
      </c>
      <c r="AJ386"/>
      <c r="AK386"/>
      <c r="AL386"/>
      <c r="AM386"/>
      <c r="AN386"/>
      <c r="AO386"/>
      <c r="AP386" t="s">
        <v>458</v>
      </c>
      <c r="AQ386"/>
      <c r="AR386"/>
      <c r="AS386"/>
      <c r="AT386" t="s">
        <v>154</v>
      </c>
      <c r="AU386">
        <v>2021</v>
      </c>
      <c r="AV386">
        <v>13</v>
      </c>
      <c r="AW386">
        <v>16</v>
      </c>
      <c r="AX386"/>
      <c r="AY386"/>
      <c r="AZ386"/>
      <c r="BA386"/>
      <c r="BB386"/>
      <c r="BC386"/>
      <c r="BD386">
        <v>9292</v>
      </c>
      <c r="BE386" t="s">
        <v>2799</v>
      </c>
      <c r="BF386" t="str">
        <f>HYPERLINK("http://dx.doi.org/10.3390/su13169292","http://dx.doi.org/10.3390/su13169292")</f>
        <v>http://dx.doi.org/10.3390/su13169292</v>
      </c>
      <c r="BG386"/>
      <c r="BH386"/>
      <c r="BI386"/>
      <c r="BJ386" t="s">
        <v>460</v>
      </c>
      <c r="BK386"/>
      <c r="BL386"/>
      <c r="BM386"/>
      <c r="BN386"/>
      <c r="BO386"/>
      <c r="BP386"/>
      <c r="BQ386"/>
      <c r="BR386"/>
      <c r="BS386"/>
      <c r="BT386" t="str">
        <f>HYPERLINK("https%3A%2F%2Fwww.webofscience.com%2Fwos%2Fwoscc%2Ffull-record%2F","View Full Record in Web of Science")</f>
        <v>View Full Record in Web of Science</v>
      </c>
    </row>
    <row r="387" spans="1:72" customHeight="1" ht="12.75">
      <c r="A387" t="s">
        <v>72</v>
      </c>
      <c r="B387" t="s">
        <v>2800</v>
      </c>
      <c r="C387"/>
      <c r="D387"/>
      <c r="E387"/>
      <c r="F387" t="s">
        <v>2800</v>
      </c>
      <c r="G387"/>
      <c r="H387"/>
      <c r="I387" t="s">
        <v>2801</v>
      </c>
      <c r="J387" t="s">
        <v>2802</v>
      </c>
      <c r="K387"/>
      <c r="L387"/>
      <c r="M387"/>
      <c r="N387" t="s">
        <v>112</v>
      </c>
      <c r="O387"/>
      <c r="P387"/>
      <c r="Q387"/>
      <c r="R387"/>
      <c r="S387"/>
      <c r="T387"/>
      <c r="U387" t="s">
        <v>2803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>
        <v>21</v>
      </c>
      <c r="AI387">
        <v>28</v>
      </c>
      <c r="AJ387"/>
      <c r="AK387"/>
      <c r="AL387"/>
      <c r="AM387"/>
      <c r="AN387"/>
      <c r="AO387" t="s">
        <v>2804</v>
      </c>
      <c r="AP387"/>
      <c r="AQ387"/>
      <c r="AR387"/>
      <c r="AS387"/>
      <c r="AT387" t="s">
        <v>2805</v>
      </c>
      <c r="AU387">
        <v>2004</v>
      </c>
      <c r="AV387">
        <v>9</v>
      </c>
      <c r="AW387">
        <v>6</v>
      </c>
      <c r="AX387"/>
      <c r="AY387"/>
      <c r="AZ387"/>
      <c r="BA387"/>
      <c r="BB387">
        <v>519</v>
      </c>
      <c r="BC387">
        <v>528</v>
      </c>
      <c r="BD387"/>
      <c r="BE387"/>
      <c r="BF387"/>
      <c r="BG387"/>
      <c r="BH387"/>
      <c r="BI387"/>
      <c r="BJ387" t="s">
        <v>224</v>
      </c>
      <c r="BK387"/>
      <c r="BL387"/>
      <c r="BM387"/>
      <c r="BN387"/>
      <c r="BO387"/>
      <c r="BP387"/>
      <c r="BQ387"/>
      <c r="BR387"/>
      <c r="BS387"/>
      <c r="BT387" t="str">
        <f>HYPERLINK("https%3A%2F%2Fwww.webofscience.com%2Fwos%2Fwoscc%2Ffull-record%2F","View Full Record in Web of Science")</f>
        <v>View Full Record in Web of Science</v>
      </c>
    </row>
    <row r="388" spans="1:72" customHeight="1" ht="12.75">
      <c r="A388" t="s">
        <v>72</v>
      </c>
      <c r="B388" t="s">
        <v>2806</v>
      </c>
      <c r="C388"/>
      <c r="D388"/>
      <c r="E388"/>
      <c r="F388" t="s">
        <v>2807</v>
      </c>
      <c r="G388"/>
      <c r="H388"/>
      <c r="I388" t="s">
        <v>2808</v>
      </c>
      <c r="J388" t="s">
        <v>2809</v>
      </c>
      <c r="K388"/>
      <c r="L388"/>
      <c r="M388"/>
      <c r="N388" t="s">
        <v>112</v>
      </c>
      <c r="O388"/>
      <c r="P388"/>
      <c r="Q388"/>
      <c r="R388"/>
      <c r="S388"/>
      <c r="T388" t="s">
        <v>2810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>
        <v>4</v>
      </c>
      <c r="AI388">
        <v>4</v>
      </c>
      <c r="AJ388"/>
      <c r="AK388"/>
      <c r="AL388"/>
      <c r="AM388"/>
      <c r="AN388"/>
      <c r="AO388" t="s">
        <v>2811</v>
      </c>
      <c r="AP388" t="s">
        <v>2812</v>
      </c>
      <c r="AQ388"/>
      <c r="AR388"/>
      <c r="AS388"/>
      <c r="AT388" t="s">
        <v>394</v>
      </c>
      <c r="AU388">
        <v>2018</v>
      </c>
      <c r="AV388">
        <v>171</v>
      </c>
      <c r="AW388">
        <v>1</v>
      </c>
      <c r="AX388"/>
      <c r="AY388"/>
      <c r="AZ388"/>
      <c r="BA388"/>
      <c r="BB388">
        <v>26</v>
      </c>
      <c r="BC388">
        <v>31</v>
      </c>
      <c r="BD388"/>
      <c r="BE388" t="s">
        <v>2813</v>
      </c>
      <c r="BF388" t="str">
        <f>HYPERLINK("http://dx.doi.org/10.1680/jener.17.00010","http://dx.doi.org/10.1680/jener.17.00010")</f>
        <v>http://dx.doi.org/10.1680/jener.17.00010</v>
      </c>
      <c r="BG388"/>
      <c r="BH388"/>
      <c r="BI388"/>
      <c r="BJ388" t="s">
        <v>898</v>
      </c>
      <c r="BK388"/>
      <c r="BL388"/>
      <c r="BM388"/>
      <c r="BN388"/>
      <c r="BO388"/>
      <c r="BP388"/>
      <c r="BQ388"/>
      <c r="BR388"/>
      <c r="BS388"/>
      <c r="BT388" t="str">
        <f>HYPERLINK("https%3A%2F%2Fwww.webofscience.com%2Fwos%2Fwoscc%2Ffull-record%2F","View Full Record in Web of Science")</f>
        <v>View Full Record in Web of Science</v>
      </c>
    </row>
    <row r="389" spans="1:72" customHeight="1" ht="12.75">
      <c r="A389" t="s">
        <v>72</v>
      </c>
      <c r="B389" t="s">
        <v>2814</v>
      </c>
      <c r="C389"/>
      <c r="D389"/>
      <c r="E389"/>
      <c r="F389" t="s">
        <v>2815</v>
      </c>
      <c r="G389"/>
      <c r="H389"/>
      <c r="I389" t="s">
        <v>2816</v>
      </c>
      <c r="J389" t="s">
        <v>123</v>
      </c>
      <c r="K389"/>
      <c r="L389"/>
      <c r="M389"/>
      <c r="N389" t="s">
        <v>112</v>
      </c>
      <c r="O389"/>
      <c r="P389"/>
      <c r="Q389"/>
      <c r="R389"/>
      <c r="S389"/>
      <c r="T389" t="s">
        <v>2817</v>
      </c>
      <c r="U389" t="s">
        <v>2818</v>
      </c>
      <c r="V389"/>
      <c r="W389"/>
      <c r="X389"/>
      <c r="Y389"/>
      <c r="Z389"/>
      <c r="AA389"/>
      <c r="AB389"/>
      <c r="AC389"/>
      <c r="AD389"/>
      <c r="AE389"/>
      <c r="AF389"/>
      <c r="AG389"/>
      <c r="AH389">
        <v>190</v>
      </c>
      <c r="AI389">
        <v>228</v>
      </c>
      <c r="AJ389"/>
      <c r="AK389"/>
      <c r="AL389"/>
      <c r="AM389"/>
      <c r="AN389"/>
      <c r="AO389" t="s">
        <v>126</v>
      </c>
      <c r="AP389" t="s">
        <v>127</v>
      </c>
      <c r="AQ389"/>
      <c r="AR389"/>
      <c r="AS389"/>
      <c r="AT389" t="s">
        <v>154</v>
      </c>
      <c r="AU389">
        <v>2014</v>
      </c>
      <c r="AV389">
        <v>38</v>
      </c>
      <c r="AW389">
        <v>4</v>
      </c>
      <c r="AX389"/>
      <c r="AY389"/>
      <c r="AZ389"/>
      <c r="BA389"/>
      <c r="BB389">
        <v>598</v>
      </c>
      <c r="BC389">
        <v>604</v>
      </c>
      <c r="BD389"/>
      <c r="BE389" t="s">
        <v>2819</v>
      </c>
      <c r="BF389" t="str">
        <f>HYPERLINK("http://dx.doi.org/10.1177/0309132513500443","http://dx.doi.org/10.1177/0309132513500443")</f>
        <v>http://dx.doi.org/10.1177/0309132513500443</v>
      </c>
      <c r="BG389"/>
      <c r="BH389"/>
      <c r="BI389"/>
      <c r="BJ389" t="s">
        <v>83</v>
      </c>
      <c r="BK389"/>
      <c r="BL389"/>
      <c r="BM389"/>
      <c r="BN389"/>
      <c r="BO389"/>
      <c r="BP389"/>
      <c r="BQ389"/>
      <c r="BR389"/>
      <c r="BS389"/>
      <c r="BT389" t="str">
        <f>HYPERLINK("https%3A%2F%2Fwww.webofscience.com%2Fwos%2Fwoscc%2Ffull-record%2F","View Full Record in Web of Science")</f>
        <v>View Full Record in Web of Science</v>
      </c>
    </row>
    <row r="390" spans="1:72" customHeight="1" ht="12.75">
      <c r="A390" t="s">
        <v>72</v>
      </c>
      <c r="B390" t="s">
        <v>2820</v>
      </c>
      <c r="C390"/>
      <c r="D390"/>
      <c r="E390"/>
      <c r="F390" t="s">
        <v>2821</v>
      </c>
      <c r="G390"/>
      <c r="H390"/>
      <c r="I390" t="s">
        <v>2822</v>
      </c>
      <c r="J390" t="s">
        <v>1308</v>
      </c>
      <c r="K390"/>
      <c r="L390"/>
      <c r="M390"/>
      <c r="N390" t="s">
        <v>112</v>
      </c>
      <c r="O390"/>
      <c r="P390"/>
      <c r="Q390"/>
      <c r="R390"/>
      <c r="S390"/>
      <c r="T390" t="s">
        <v>2823</v>
      </c>
      <c r="U390" t="s">
        <v>2824</v>
      </c>
      <c r="V390"/>
      <c r="W390"/>
      <c r="X390"/>
      <c r="Y390"/>
      <c r="Z390"/>
      <c r="AA390"/>
      <c r="AB390"/>
      <c r="AC390"/>
      <c r="AD390"/>
      <c r="AE390"/>
      <c r="AF390"/>
      <c r="AG390"/>
      <c r="AH390">
        <v>4</v>
      </c>
      <c r="AI390">
        <v>4</v>
      </c>
      <c r="AJ390"/>
      <c r="AK390"/>
      <c r="AL390"/>
      <c r="AM390"/>
      <c r="AN390"/>
      <c r="AO390" t="s">
        <v>1311</v>
      </c>
      <c r="AP390"/>
      <c r="AQ390"/>
      <c r="AR390"/>
      <c r="AS390"/>
      <c r="AT390" t="s">
        <v>128</v>
      </c>
      <c r="AU390">
        <v>2021</v>
      </c>
      <c r="AV390">
        <v>9</v>
      </c>
      <c r="AW390">
        <v>4</v>
      </c>
      <c r="AX390"/>
      <c r="AY390"/>
      <c r="AZ390"/>
      <c r="BA390"/>
      <c r="BB390"/>
      <c r="BC390"/>
      <c r="BD390">
        <v>1080323</v>
      </c>
      <c r="BE390" t="s">
        <v>2825</v>
      </c>
      <c r="BF390" t="str">
        <f>HYPERLINK("http://dx.doi.org/10.13044/j.sdewes.d8.0323","http://dx.doi.org/10.13044/j.sdewes.d8.0323")</f>
        <v>http://dx.doi.org/10.13044/j.sdewes.d8.0323</v>
      </c>
      <c r="BG390"/>
      <c r="BH390"/>
      <c r="BI390"/>
      <c r="BJ390" t="s">
        <v>224</v>
      </c>
      <c r="BK390"/>
      <c r="BL390"/>
      <c r="BM390"/>
      <c r="BN390"/>
      <c r="BO390"/>
      <c r="BP390"/>
      <c r="BQ390"/>
      <c r="BR390"/>
      <c r="BS390"/>
      <c r="BT390" t="str">
        <f>HYPERLINK("https%3A%2F%2Fwww.webofscience.com%2Fwos%2Fwoscc%2Ffull-record%2F","View Full Record in Web of Science")</f>
        <v>View Full Record in Web of Science</v>
      </c>
    </row>
    <row r="391" spans="1:72" customHeight="1" ht="12.75">
      <c r="A391" t="s">
        <v>72</v>
      </c>
      <c r="B391" t="s">
        <v>2826</v>
      </c>
      <c r="C391"/>
      <c r="D391"/>
      <c r="E391"/>
      <c r="F391" t="s">
        <v>2827</v>
      </c>
      <c r="G391"/>
      <c r="H391"/>
      <c r="I391" t="s">
        <v>2828</v>
      </c>
      <c r="J391" t="s">
        <v>2829</v>
      </c>
      <c r="K391"/>
      <c r="L391"/>
      <c r="M391"/>
      <c r="N391" t="s">
        <v>112</v>
      </c>
      <c r="O391"/>
      <c r="P391"/>
      <c r="Q391"/>
      <c r="R391"/>
      <c r="S391"/>
      <c r="T391" t="s">
        <v>2830</v>
      </c>
      <c r="U391" t="s">
        <v>2831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>
        <v>5</v>
      </c>
      <c r="AI391">
        <v>5</v>
      </c>
      <c r="AJ391"/>
      <c r="AK391"/>
      <c r="AL391"/>
      <c r="AM391"/>
      <c r="AN391"/>
      <c r="AO391" t="s">
        <v>1520</v>
      </c>
      <c r="AP391" t="s">
        <v>1521</v>
      </c>
      <c r="AQ391"/>
      <c r="AR391"/>
      <c r="AS391"/>
      <c r="AT391" t="s">
        <v>1522</v>
      </c>
      <c r="AU391">
        <v>2019</v>
      </c>
      <c r="AV391">
        <v>21</v>
      </c>
      <c r="AW391">
        <v>2</v>
      </c>
      <c r="AX391"/>
      <c r="AY391"/>
      <c r="AZ391"/>
      <c r="BA391"/>
      <c r="BB391">
        <v>76</v>
      </c>
      <c r="BC391">
        <v>89</v>
      </c>
      <c r="BD391"/>
      <c r="BE391" t="s">
        <v>2832</v>
      </c>
      <c r="BF391" t="str">
        <f>HYPERLINK("http://dx.doi.org/10.14718/RevArq.2019.21.2.2048","http://dx.doi.org/10.14718/RevArq.2019.21.2.2048")</f>
        <v>http://dx.doi.org/10.14718/RevArq.2019.21.2.2048</v>
      </c>
      <c r="BG391"/>
      <c r="BH391"/>
      <c r="BI391"/>
      <c r="BJ391" t="s">
        <v>233</v>
      </c>
      <c r="BK391"/>
      <c r="BL391"/>
      <c r="BM391"/>
      <c r="BN391"/>
      <c r="BO391"/>
      <c r="BP391"/>
      <c r="BQ391"/>
      <c r="BR391"/>
      <c r="BS391"/>
      <c r="BT391" t="str">
        <f>HYPERLINK("https%3A%2F%2Fwww.webofscience.com%2Fwos%2Fwoscc%2Ffull-record%2F","View Full Record in Web of Science")</f>
        <v>View Full Record in Web of Science</v>
      </c>
    </row>
    <row r="392" spans="1:72" customHeight="1" ht="12.75">
      <c r="A392" t="s">
        <v>72</v>
      </c>
      <c r="B392" t="s">
        <v>2833</v>
      </c>
      <c r="C392"/>
      <c r="D392"/>
      <c r="E392"/>
      <c r="F392" t="s">
        <v>2834</v>
      </c>
      <c r="G392"/>
      <c r="H392"/>
      <c r="I392" t="s">
        <v>2835</v>
      </c>
      <c r="J392" t="s">
        <v>587</v>
      </c>
      <c r="K392"/>
      <c r="L392"/>
      <c r="M392"/>
      <c r="N392" t="s">
        <v>112</v>
      </c>
      <c r="O392"/>
      <c r="P392"/>
      <c r="Q392"/>
      <c r="R392"/>
      <c r="S392"/>
      <c r="T392" t="s">
        <v>2836</v>
      </c>
      <c r="U392" t="s">
        <v>2837</v>
      </c>
      <c r="V392"/>
      <c r="W392"/>
      <c r="X392"/>
      <c r="Y392"/>
      <c r="Z392"/>
      <c r="AA392"/>
      <c r="AB392"/>
      <c r="AC392"/>
      <c r="AD392"/>
      <c r="AE392"/>
      <c r="AF392"/>
      <c r="AG392"/>
      <c r="AH392">
        <v>35</v>
      </c>
      <c r="AI392">
        <v>38</v>
      </c>
      <c r="AJ392"/>
      <c r="AK392"/>
      <c r="AL392"/>
      <c r="AM392"/>
      <c r="AN392"/>
      <c r="AO392" t="s">
        <v>590</v>
      </c>
      <c r="AP392" t="s">
        <v>591</v>
      </c>
      <c r="AQ392"/>
      <c r="AR392"/>
      <c r="AS392"/>
      <c r="AT392" t="s">
        <v>1534</v>
      </c>
      <c r="AU392">
        <v>2019</v>
      </c>
      <c r="AV392">
        <v>227</v>
      </c>
      <c r="AW392"/>
      <c r="AX392"/>
      <c r="AY392"/>
      <c r="AZ392"/>
      <c r="BA392"/>
      <c r="BB392">
        <v>434</v>
      </c>
      <c r="BC392">
        <v>446</v>
      </c>
      <c r="BD392"/>
      <c r="BE392" t="s">
        <v>2838</v>
      </c>
      <c r="BF392" t="str">
        <f>HYPERLINK("http://dx.doi.org/10.1016/j.jclepro.2019.04.039","http://dx.doi.org/10.1016/j.jclepro.2019.04.039")</f>
        <v>http://dx.doi.org/10.1016/j.jclepro.2019.04.039</v>
      </c>
      <c r="BG392"/>
      <c r="BH392"/>
      <c r="BI392"/>
      <c r="BJ392" t="s">
        <v>139</v>
      </c>
      <c r="BK392"/>
      <c r="BL392"/>
      <c r="BM392"/>
      <c r="BN392"/>
      <c r="BO392"/>
      <c r="BP392"/>
      <c r="BQ392"/>
      <c r="BR392"/>
      <c r="BS392"/>
      <c r="BT392" t="str">
        <f>HYPERLINK("https%3A%2F%2Fwww.webofscience.com%2Fwos%2Fwoscc%2Ffull-record%2F","View Full Record in Web of Science")</f>
        <v>View Full Record in Web of Science</v>
      </c>
    </row>
    <row r="393" spans="1:72" customHeight="1" ht="12.75">
      <c r="A393" t="s">
        <v>72</v>
      </c>
      <c r="B393" t="s">
        <v>2839</v>
      </c>
      <c r="C393"/>
      <c r="D393"/>
      <c r="E393"/>
      <c r="F393" t="s">
        <v>2840</v>
      </c>
      <c r="G393"/>
      <c r="H393"/>
      <c r="I393" t="s">
        <v>2841</v>
      </c>
      <c r="J393" t="s">
        <v>2842</v>
      </c>
      <c r="K393"/>
      <c r="L393"/>
      <c r="M393"/>
      <c r="N393" t="s">
        <v>112</v>
      </c>
      <c r="O393"/>
      <c r="P393"/>
      <c r="Q393"/>
      <c r="R393"/>
      <c r="S393"/>
      <c r="T393" t="s">
        <v>2843</v>
      </c>
      <c r="U393" t="s">
        <v>2844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>
        <v>1</v>
      </c>
      <c r="AI393">
        <v>1</v>
      </c>
      <c r="AJ393"/>
      <c r="AK393"/>
      <c r="AL393"/>
      <c r="AM393"/>
      <c r="AN393"/>
      <c r="AO393" t="s">
        <v>2845</v>
      </c>
      <c r="AP393" t="s">
        <v>2846</v>
      </c>
      <c r="AQ393"/>
      <c r="AR393"/>
      <c r="AS393"/>
      <c r="AT393" t="s">
        <v>404</v>
      </c>
      <c r="AU393">
        <v>2023</v>
      </c>
      <c r="AV393">
        <v>45</v>
      </c>
      <c r="AW393"/>
      <c r="AX393"/>
      <c r="AY393"/>
      <c r="AZ393"/>
      <c r="BA393"/>
      <c r="BB393"/>
      <c r="BC393"/>
      <c r="BD393">
        <v>101041</v>
      </c>
      <c r="BE393" t="s">
        <v>2847</v>
      </c>
      <c r="BF393" t="str">
        <f>HYPERLINK("http://dx.doi.org/10.1016/j.esr.2022.101041","http://dx.doi.org/10.1016/j.esr.2022.101041")</f>
        <v>http://dx.doi.org/10.1016/j.esr.2022.101041</v>
      </c>
      <c r="BG393"/>
      <c r="BH393" t="s">
        <v>444</v>
      </c>
      <c r="BI393"/>
      <c r="BJ393" t="s">
        <v>898</v>
      </c>
      <c r="BK393"/>
      <c r="BL393"/>
      <c r="BM393"/>
      <c r="BN393"/>
      <c r="BO393"/>
      <c r="BP393"/>
      <c r="BQ393"/>
      <c r="BR393"/>
      <c r="BS393"/>
      <c r="BT393" t="str">
        <f>HYPERLINK("https%3A%2F%2Fwww.webofscience.com%2Fwos%2Fwoscc%2Ffull-record%2F","View Full Record in Web of Science")</f>
        <v>View Full Record in Web of Science</v>
      </c>
    </row>
    <row r="394" spans="1:72" customHeight="1" ht="12.75">
      <c r="A394" t="s">
        <v>72</v>
      </c>
      <c r="B394" t="s">
        <v>2848</v>
      </c>
      <c r="C394"/>
      <c r="D394"/>
      <c r="E394"/>
      <c r="F394" t="s">
        <v>2849</v>
      </c>
      <c r="G394"/>
      <c r="H394"/>
      <c r="I394" t="s">
        <v>2850</v>
      </c>
      <c r="J394" t="s">
        <v>2851</v>
      </c>
      <c r="K394"/>
      <c r="L394"/>
      <c r="M394"/>
      <c r="N394" t="s">
        <v>325</v>
      </c>
      <c r="O394"/>
      <c r="P394"/>
      <c r="Q394"/>
      <c r="R394"/>
      <c r="S394"/>
      <c r="T394" t="s">
        <v>2852</v>
      </c>
      <c r="U394" t="s">
        <v>2853</v>
      </c>
      <c r="V394"/>
      <c r="W394"/>
      <c r="X394"/>
      <c r="Y394"/>
      <c r="Z394"/>
      <c r="AA394"/>
      <c r="AB394"/>
      <c r="AC394"/>
      <c r="AD394"/>
      <c r="AE394"/>
      <c r="AF394"/>
      <c r="AG394"/>
      <c r="AH394">
        <v>16</v>
      </c>
      <c r="AI394">
        <v>16</v>
      </c>
      <c r="AJ394"/>
      <c r="AK394"/>
      <c r="AL394"/>
      <c r="AM394"/>
      <c r="AN394"/>
      <c r="AO394" t="s">
        <v>2854</v>
      </c>
      <c r="AP394" t="s">
        <v>2855</v>
      </c>
      <c r="AQ394"/>
      <c r="AR394"/>
      <c r="AS394"/>
      <c r="AT394" t="s">
        <v>581</v>
      </c>
      <c r="AU394">
        <v>2021</v>
      </c>
      <c r="AV394">
        <v>326</v>
      </c>
      <c r="AW394"/>
      <c r="AX394"/>
      <c r="AY394"/>
      <c r="AZ394"/>
      <c r="BA394"/>
      <c r="BB394"/>
      <c r="BC394"/>
      <c r="BD394">
        <v>124712</v>
      </c>
      <c r="BE394" t="s">
        <v>2856</v>
      </c>
      <c r="BF394" t="str">
        <f>HYPERLINK("http://dx.doi.org/10.1016/j.biortech.2021.124712","http://dx.doi.org/10.1016/j.biortech.2021.124712")</f>
        <v>http://dx.doi.org/10.1016/j.biortech.2021.124712</v>
      </c>
      <c r="BG394"/>
      <c r="BH394" t="s">
        <v>583</v>
      </c>
      <c r="BI394"/>
      <c r="BJ394" t="s">
        <v>2857</v>
      </c>
      <c r="BK394"/>
      <c r="BL394"/>
      <c r="BM394"/>
      <c r="BN394"/>
      <c r="BO394"/>
      <c r="BP394"/>
      <c r="BQ394"/>
      <c r="BR394"/>
      <c r="BS394"/>
      <c r="BT394" t="str">
        <f>HYPERLINK("https%3A%2F%2Fwww.webofscience.com%2Fwos%2Fwoscc%2Ffull-record%2F","View Full Record in Web of Science")</f>
        <v>View Full Record in Web of Science</v>
      </c>
    </row>
    <row r="395" spans="1:72" customHeight="1" ht="12.75">
      <c r="A395" t="s">
        <v>72</v>
      </c>
      <c r="B395" t="s">
        <v>2858</v>
      </c>
      <c r="C395"/>
      <c r="D395"/>
      <c r="E395"/>
      <c r="F395" t="s">
        <v>2859</v>
      </c>
      <c r="G395"/>
      <c r="H395"/>
      <c r="I395" t="s">
        <v>2860</v>
      </c>
      <c r="J395" t="s">
        <v>2861</v>
      </c>
      <c r="K395"/>
      <c r="L395"/>
      <c r="M395"/>
      <c r="N395" t="s">
        <v>112</v>
      </c>
      <c r="O395"/>
      <c r="P395"/>
      <c r="Q395"/>
      <c r="R395"/>
      <c r="S395"/>
      <c r="T395" t="s">
        <v>2862</v>
      </c>
      <c r="U395" t="s">
        <v>2863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>
        <v>24</v>
      </c>
      <c r="AI395">
        <v>31</v>
      </c>
      <c r="AJ395"/>
      <c r="AK395"/>
      <c r="AL395"/>
      <c r="AM395"/>
      <c r="AN395"/>
      <c r="AO395" t="s">
        <v>2864</v>
      </c>
      <c r="AP395"/>
      <c r="AQ395"/>
      <c r="AR395"/>
      <c r="AS395"/>
      <c r="AT395"/>
      <c r="AU395">
        <v>2009</v>
      </c>
      <c r="AV395">
        <v>14</v>
      </c>
      <c r="AW395">
        <v>2</v>
      </c>
      <c r="AX395"/>
      <c r="AY395"/>
      <c r="AZ395"/>
      <c r="BA395"/>
      <c r="BB395"/>
      <c r="BC395"/>
      <c r="BD395">
        <v>10</v>
      </c>
      <c r="BE395"/>
      <c r="BF395"/>
      <c r="BG395"/>
      <c r="BH395"/>
      <c r="BI395"/>
      <c r="BJ395" t="s">
        <v>2865</v>
      </c>
      <c r="BK395"/>
      <c r="BL395"/>
      <c r="BM395"/>
      <c r="BN395"/>
      <c r="BO395"/>
      <c r="BP395"/>
      <c r="BQ395"/>
      <c r="BR395"/>
      <c r="BS395"/>
      <c r="BT395" t="str">
        <f>HYPERLINK("https%3A%2F%2Fwww.webofscience.com%2Fwos%2Fwoscc%2Ffull-record%2F","View Full Record in Web of Science")</f>
        <v>View Full Record in Web of Science</v>
      </c>
    </row>
    <row r="396" spans="1:72" customHeight="1" ht="12.75">
      <c r="A396" t="s">
        <v>72</v>
      </c>
      <c r="B396" t="s">
        <v>2866</v>
      </c>
      <c r="C396"/>
      <c r="D396"/>
      <c r="E396"/>
      <c r="F396" t="s">
        <v>2866</v>
      </c>
      <c r="G396"/>
      <c r="H396"/>
      <c r="I396" t="s">
        <v>2867</v>
      </c>
      <c r="J396" t="s">
        <v>356</v>
      </c>
      <c r="K396"/>
      <c r="L396"/>
      <c r="M396"/>
      <c r="N396" t="s">
        <v>112</v>
      </c>
      <c r="O396"/>
      <c r="P396"/>
      <c r="Q396"/>
      <c r="R396"/>
      <c r="S396"/>
      <c r="T396"/>
      <c r="U396" t="s">
        <v>2868</v>
      </c>
      <c r="V396"/>
      <c r="W396"/>
      <c r="X396"/>
      <c r="Y396"/>
      <c r="Z396"/>
      <c r="AA396"/>
      <c r="AB396"/>
      <c r="AC396"/>
      <c r="AD396"/>
      <c r="AE396"/>
      <c r="AF396"/>
      <c r="AG396"/>
      <c r="AH396">
        <v>21</v>
      </c>
      <c r="AI396">
        <v>25</v>
      </c>
      <c r="AJ396"/>
      <c r="AK396"/>
      <c r="AL396"/>
      <c r="AM396"/>
      <c r="AN396"/>
      <c r="AO396" t="s">
        <v>357</v>
      </c>
      <c r="AP396" t="s">
        <v>358</v>
      </c>
      <c r="AQ396"/>
      <c r="AR396"/>
      <c r="AS396"/>
      <c r="AT396" t="s">
        <v>352</v>
      </c>
      <c r="AU396">
        <v>2005</v>
      </c>
      <c r="AV396">
        <v>32</v>
      </c>
      <c r="AW396">
        <v>5</v>
      </c>
      <c r="AX396"/>
      <c r="AY396"/>
      <c r="AZ396"/>
      <c r="BA396"/>
      <c r="BB396">
        <v>639</v>
      </c>
      <c r="BC396">
        <v>656</v>
      </c>
      <c r="BD396"/>
      <c r="BE396" t="s">
        <v>2869</v>
      </c>
      <c r="BF396" t="str">
        <f>HYPERLINK("http://dx.doi.org/10.1068/b31113","http://dx.doi.org/10.1068/b31113")</f>
        <v>http://dx.doi.org/10.1068/b31113</v>
      </c>
      <c r="BG396"/>
      <c r="BH396"/>
      <c r="BI396"/>
      <c r="BJ396" t="s">
        <v>359</v>
      </c>
      <c r="BK396"/>
      <c r="BL396"/>
      <c r="BM396"/>
      <c r="BN396"/>
      <c r="BO396"/>
      <c r="BP396"/>
      <c r="BQ396"/>
      <c r="BR396"/>
      <c r="BS396"/>
      <c r="BT396" t="str">
        <f>HYPERLINK("https%3A%2F%2Fwww.webofscience.com%2Fwos%2Fwoscc%2Ffull-record%2F","View Full Record in Web of Science")</f>
        <v>View Full Record in Web of Science</v>
      </c>
    </row>
    <row r="397" spans="1:72" customHeight="1" ht="12.75">
      <c r="A397" t="s">
        <v>72</v>
      </c>
      <c r="B397" t="s">
        <v>2870</v>
      </c>
      <c r="C397"/>
      <c r="D397"/>
      <c r="E397"/>
      <c r="F397" t="s">
        <v>2871</v>
      </c>
      <c r="G397"/>
      <c r="H397"/>
      <c r="I397" t="s">
        <v>2872</v>
      </c>
      <c r="J397" t="s">
        <v>214</v>
      </c>
      <c r="K397"/>
      <c r="L397"/>
      <c r="M397"/>
      <c r="N397" t="s">
        <v>112</v>
      </c>
      <c r="O397"/>
      <c r="P397"/>
      <c r="Q397"/>
      <c r="R397"/>
      <c r="S397"/>
      <c r="T397" t="s">
        <v>2873</v>
      </c>
      <c r="U397" t="s">
        <v>2874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>
        <v>69</v>
      </c>
      <c r="AI397">
        <v>74</v>
      </c>
      <c r="AJ397"/>
      <c r="AK397"/>
      <c r="AL397"/>
      <c r="AM397"/>
      <c r="AN397"/>
      <c r="AO397" t="s">
        <v>218</v>
      </c>
      <c r="AP397" t="s">
        <v>219</v>
      </c>
      <c r="AQ397"/>
      <c r="AR397"/>
      <c r="AS397"/>
      <c r="AT397" t="s">
        <v>92</v>
      </c>
      <c r="AU397">
        <v>2012</v>
      </c>
      <c r="AV397">
        <v>170</v>
      </c>
      <c r="AW397"/>
      <c r="AX397"/>
      <c r="AY397"/>
      <c r="AZ397"/>
      <c r="BA397"/>
      <c r="BB397">
        <v>169</v>
      </c>
      <c r="BC397">
        <v>176</v>
      </c>
      <c r="BD397"/>
      <c r="BE397" t="s">
        <v>2875</v>
      </c>
      <c r="BF397" t="str">
        <f>HYPERLINK("http://dx.doi.org/10.1016/j.envpol.2012.07.010","http://dx.doi.org/10.1016/j.envpol.2012.07.010")</f>
        <v>http://dx.doi.org/10.1016/j.envpol.2012.07.010</v>
      </c>
      <c r="BG397"/>
      <c r="BH397"/>
      <c r="BI397"/>
      <c r="BJ397" t="s">
        <v>224</v>
      </c>
      <c r="BK397"/>
      <c r="BL397"/>
      <c r="BM397"/>
      <c r="BN397"/>
      <c r="BO397"/>
      <c r="BP397"/>
      <c r="BQ397"/>
      <c r="BR397"/>
      <c r="BS397"/>
      <c r="BT397" t="str">
        <f>HYPERLINK("https%3A%2F%2Fwww.webofscience.com%2Fwos%2Fwoscc%2Ffull-record%2F","View Full Record in Web of Science")</f>
        <v>View Full Record in Web of Science</v>
      </c>
    </row>
    <row r="398" spans="1:72" customHeight="1" ht="12.75">
      <c r="A398" t="s">
        <v>72</v>
      </c>
      <c r="B398" t="s">
        <v>331</v>
      </c>
      <c r="C398"/>
      <c r="D398"/>
      <c r="E398"/>
      <c r="F398" t="s">
        <v>332</v>
      </c>
      <c r="G398"/>
      <c r="H398"/>
      <c r="I398" t="s">
        <v>2876</v>
      </c>
      <c r="J398" t="s">
        <v>722</v>
      </c>
      <c r="K398"/>
      <c r="L398"/>
      <c r="M398"/>
      <c r="N398" t="s">
        <v>112</v>
      </c>
      <c r="O398"/>
      <c r="P398"/>
      <c r="Q398"/>
      <c r="R398"/>
      <c r="S398"/>
      <c r="T398" t="s">
        <v>2877</v>
      </c>
      <c r="U398" t="s">
        <v>2878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>
        <v>9</v>
      </c>
      <c r="AI398">
        <v>9</v>
      </c>
      <c r="AJ398"/>
      <c r="AK398"/>
      <c r="AL398"/>
      <c r="AM398"/>
      <c r="AN398"/>
      <c r="AO398" t="s">
        <v>725</v>
      </c>
      <c r="AP398" t="s">
        <v>726</v>
      </c>
      <c r="AQ398"/>
      <c r="AR398"/>
      <c r="AS398"/>
      <c r="AT398" t="s">
        <v>394</v>
      </c>
      <c r="AU398">
        <v>2013</v>
      </c>
      <c r="AV398">
        <v>42</v>
      </c>
      <c r="AW398">
        <v>1</v>
      </c>
      <c r="AX398"/>
      <c r="AY398"/>
      <c r="AZ398"/>
      <c r="BA398"/>
      <c r="BB398">
        <v>41</v>
      </c>
      <c r="BC398">
        <v>51</v>
      </c>
      <c r="BD398"/>
      <c r="BE398" t="s">
        <v>2879</v>
      </c>
      <c r="BF398" t="str">
        <f>HYPERLINK("http://dx.doi.org/10.1007/s13280-012-0350-x","http://dx.doi.org/10.1007/s13280-012-0350-x")</f>
        <v>http://dx.doi.org/10.1007/s13280-012-0350-x</v>
      </c>
      <c r="BG398"/>
      <c r="BH398"/>
      <c r="BI398"/>
      <c r="BJ398" t="s">
        <v>119</v>
      </c>
      <c r="BK398"/>
      <c r="BL398"/>
      <c r="BM398"/>
      <c r="BN398"/>
      <c r="BO398"/>
      <c r="BP398"/>
      <c r="BQ398"/>
      <c r="BR398"/>
      <c r="BS398"/>
      <c r="BT398" t="str">
        <f>HYPERLINK("https%3A%2F%2Fwww.webofscience.com%2Fwos%2Fwoscc%2Ffull-record%2F","View Full Record in Web of Science")</f>
        <v>View Full Record in Web of Science</v>
      </c>
    </row>
    <row r="399" spans="1:72" customHeight="1" ht="12.75">
      <c r="A399" t="s">
        <v>72</v>
      </c>
      <c r="B399" t="s">
        <v>2880</v>
      </c>
      <c r="C399"/>
      <c r="D399"/>
      <c r="E399"/>
      <c r="F399" t="s">
        <v>2881</v>
      </c>
      <c r="G399"/>
      <c r="H399"/>
      <c r="I399" t="s">
        <v>2882</v>
      </c>
      <c r="J399" t="s">
        <v>2883</v>
      </c>
      <c r="K399"/>
      <c r="L399"/>
      <c r="M399"/>
      <c r="N399" t="s">
        <v>325</v>
      </c>
      <c r="O399"/>
      <c r="P399"/>
      <c r="Q399"/>
      <c r="R399"/>
      <c r="S399"/>
      <c r="T399" t="s">
        <v>2884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>
        <v>7</v>
      </c>
      <c r="AI399">
        <v>7</v>
      </c>
      <c r="AJ399"/>
      <c r="AK399"/>
      <c r="AL399"/>
      <c r="AM399"/>
      <c r="AN399"/>
      <c r="AO399"/>
      <c r="AP399" t="s">
        <v>2885</v>
      </c>
      <c r="AQ399"/>
      <c r="AR399"/>
      <c r="AS399"/>
      <c r="AT399" t="s">
        <v>1287</v>
      </c>
      <c r="AU399">
        <v>2021</v>
      </c>
      <c r="AV399">
        <v>43</v>
      </c>
      <c r="AW399"/>
      <c r="AX399"/>
      <c r="AY399"/>
      <c r="AZ399"/>
      <c r="BA399"/>
      <c r="BB399"/>
      <c r="BC399"/>
      <c r="BD399">
        <v>103008</v>
      </c>
      <c r="BE399" t="s">
        <v>2886</v>
      </c>
      <c r="BF399" t="str">
        <f>HYPERLINK("http://dx.doi.org/10.1016/j.jobe.2021.103008","http://dx.doi.org/10.1016/j.jobe.2021.103008")</f>
        <v>http://dx.doi.org/10.1016/j.jobe.2021.103008</v>
      </c>
      <c r="BG399"/>
      <c r="BH399" t="s">
        <v>1289</v>
      </c>
      <c r="BI399"/>
      <c r="BJ399" t="s">
        <v>814</v>
      </c>
      <c r="BK399"/>
      <c r="BL399"/>
      <c r="BM399"/>
      <c r="BN399"/>
      <c r="BO399"/>
      <c r="BP399"/>
      <c r="BQ399"/>
      <c r="BR399"/>
      <c r="BS399"/>
      <c r="BT399" t="str">
        <f>HYPERLINK("https%3A%2F%2Fwww.webofscience.com%2Fwos%2Fwoscc%2Ffull-record%2F","View Full Record in Web of Science")</f>
        <v>View Full Record in Web of Science</v>
      </c>
    </row>
    <row r="400" spans="1:72" customHeight="1" ht="12.75">
      <c r="A400" t="s">
        <v>72</v>
      </c>
      <c r="B400" t="s">
        <v>2887</v>
      </c>
      <c r="C400"/>
      <c r="D400"/>
      <c r="E400"/>
      <c r="F400" t="s">
        <v>2888</v>
      </c>
      <c r="G400"/>
      <c r="H400"/>
      <c r="I400" t="s">
        <v>2889</v>
      </c>
      <c r="J400" t="s">
        <v>2890</v>
      </c>
      <c r="K400"/>
      <c r="L400"/>
      <c r="M400"/>
      <c r="N400" t="s">
        <v>325</v>
      </c>
      <c r="O400"/>
      <c r="P400"/>
      <c r="Q400"/>
      <c r="R400"/>
      <c r="S400"/>
      <c r="T400" t="s">
        <v>2891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>
        <v>0.0</v>
      </c>
      <c r="AI400">
        <v>0.0</v>
      </c>
      <c r="AJ400"/>
      <c r="AK400"/>
      <c r="AL400"/>
      <c r="AM400"/>
      <c r="AN400"/>
      <c r="AO400" t="s">
        <v>2892</v>
      </c>
      <c r="AP400" t="s">
        <v>2893</v>
      </c>
      <c r="AQ400"/>
      <c r="AR400"/>
      <c r="AS400"/>
      <c r="AT400" t="s">
        <v>442</v>
      </c>
      <c r="AU400">
        <v>2023</v>
      </c>
      <c r="AV400">
        <v>23</v>
      </c>
      <c r="AW400">
        <v>2</v>
      </c>
      <c r="AX400"/>
      <c r="AY400"/>
      <c r="AZ400"/>
      <c r="BA400"/>
      <c r="BB400">
        <v>447</v>
      </c>
      <c r="BC400">
        <v>458</v>
      </c>
      <c r="BD400"/>
      <c r="BE400" t="s">
        <v>2894</v>
      </c>
      <c r="BF400" t="str">
        <f>HYPERLINK("http://dx.doi.org/10.2166/ws.2023.015","http://dx.doi.org/10.2166/ws.2023.015")</f>
        <v>http://dx.doi.org/10.2166/ws.2023.015</v>
      </c>
      <c r="BG400"/>
      <c r="BH400" t="s">
        <v>2895</v>
      </c>
      <c r="BI400"/>
      <c r="BJ400" t="s">
        <v>1184</v>
      </c>
      <c r="BK400"/>
      <c r="BL400"/>
      <c r="BM400"/>
      <c r="BN400"/>
      <c r="BO400"/>
      <c r="BP400"/>
      <c r="BQ400"/>
      <c r="BR400"/>
      <c r="BS400"/>
      <c r="BT400" t="str">
        <f>HYPERLINK("https%3A%2F%2Fwww.webofscience.com%2Fwos%2Fwoscc%2Ffull-record%2F","View Full Record in Web of Science")</f>
        <v>View Full Record in Web of Science</v>
      </c>
    </row>
    <row r="401" spans="1:72" customHeight="1" ht="12.75">
      <c r="A401" t="s">
        <v>72</v>
      </c>
      <c r="B401" t="s">
        <v>2896</v>
      </c>
      <c r="C401"/>
      <c r="D401"/>
      <c r="E401"/>
      <c r="F401" t="s">
        <v>2897</v>
      </c>
      <c r="G401"/>
      <c r="H401"/>
      <c r="I401" t="s">
        <v>2898</v>
      </c>
      <c r="J401" t="s">
        <v>561</v>
      </c>
      <c r="K401"/>
      <c r="L401"/>
      <c r="M401"/>
      <c r="N401" t="s">
        <v>112</v>
      </c>
      <c r="O401"/>
      <c r="P401"/>
      <c r="Q401"/>
      <c r="R401"/>
      <c r="S401"/>
      <c r="T401" t="s">
        <v>2899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>
        <v>1</v>
      </c>
      <c r="AI401">
        <v>2</v>
      </c>
      <c r="AJ401"/>
      <c r="AK401"/>
      <c r="AL401"/>
      <c r="AM401"/>
      <c r="AN401"/>
      <c r="AO401" t="s">
        <v>564</v>
      </c>
      <c r="AP401" t="s">
        <v>565</v>
      </c>
      <c r="AQ401"/>
      <c r="AR401"/>
      <c r="AS401"/>
      <c r="AT401" t="s">
        <v>352</v>
      </c>
      <c r="AU401">
        <v>2017</v>
      </c>
      <c r="AV401">
        <v>43</v>
      </c>
      <c r="AW401">
        <v>5</v>
      </c>
      <c r="AX401"/>
      <c r="AY401"/>
      <c r="AZ401"/>
      <c r="BA401"/>
      <c r="BB401">
        <v>703</v>
      </c>
      <c r="BC401">
        <v>719</v>
      </c>
      <c r="BD401"/>
      <c r="BE401" t="s">
        <v>2900</v>
      </c>
      <c r="BF401" t="str">
        <f>HYPERLINK("http://dx.doi.org/10.1177/0096144215601054","http://dx.doi.org/10.1177/0096144215601054")</f>
        <v>http://dx.doi.org/10.1177/0096144215601054</v>
      </c>
      <c r="BG401"/>
      <c r="BH401"/>
      <c r="BI401"/>
      <c r="BJ401" t="s">
        <v>568</v>
      </c>
      <c r="BK401"/>
      <c r="BL401"/>
      <c r="BM401"/>
      <c r="BN401"/>
      <c r="BO401"/>
      <c r="BP401"/>
      <c r="BQ401"/>
      <c r="BR401"/>
      <c r="BS401"/>
      <c r="BT401" t="str">
        <f>HYPERLINK("https%3A%2F%2Fwww.webofscience.com%2Fwos%2Fwoscc%2Ffull-record%2F","View Full Record in Web of Science")</f>
        <v>View Full Record in Web of Science</v>
      </c>
    </row>
    <row r="402" spans="1:72" customHeight="1" ht="12.75">
      <c r="A402" t="s">
        <v>72</v>
      </c>
      <c r="B402" t="s">
        <v>2901</v>
      </c>
      <c r="C402"/>
      <c r="D402"/>
      <c r="E402"/>
      <c r="F402" t="s">
        <v>2902</v>
      </c>
      <c r="G402"/>
      <c r="H402"/>
      <c r="I402" t="s">
        <v>2903</v>
      </c>
      <c r="J402" t="s">
        <v>214</v>
      </c>
      <c r="K402"/>
      <c r="L402"/>
      <c r="M402"/>
      <c r="N402" t="s">
        <v>112</v>
      </c>
      <c r="O402"/>
      <c r="P402"/>
      <c r="Q402"/>
      <c r="R402"/>
      <c r="S402"/>
      <c r="T402" t="s">
        <v>2904</v>
      </c>
      <c r="U402" t="s">
        <v>2905</v>
      </c>
      <c r="V402"/>
      <c r="W402"/>
      <c r="X402"/>
      <c r="Y402"/>
      <c r="Z402"/>
      <c r="AA402"/>
      <c r="AB402"/>
      <c r="AC402"/>
      <c r="AD402"/>
      <c r="AE402"/>
      <c r="AF402"/>
      <c r="AG402"/>
      <c r="AH402">
        <v>54</v>
      </c>
      <c r="AI402">
        <v>65</v>
      </c>
      <c r="AJ402"/>
      <c r="AK402"/>
      <c r="AL402"/>
      <c r="AM402"/>
      <c r="AN402"/>
      <c r="AO402" t="s">
        <v>218</v>
      </c>
      <c r="AP402" t="s">
        <v>219</v>
      </c>
      <c r="AQ402"/>
      <c r="AR402"/>
      <c r="AS402"/>
      <c r="AT402" t="s">
        <v>352</v>
      </c>
      <c r="AU402">
        <v>2014</v>
      </c>
      <c r="AV402">
        <v>192</v>
      </c>
      <c r="AW402"/>
      <c r="AX402"/>
      <c r="AY402"/>
      <c r="AZ402"/>
      <c r="BA402"/>
      <c r="BB402">
        <v>244</v>
      </c>
      <c r="BC402">
        <v>250</v>
      </c>
      <c r="BD402"/>
      <c r="BE402" t="s">
        <v>2906</v>
      </c>
      <c r="BF402" t="str">
        <f>HYPERLINK("http://dx.doi.org/10.1016/j.envpol.2014.03.038","http://dx.doi.org/10.1016/j.envpol.2014.03.038")</f>
        <v>http://dx.doi.org/10.1016/j.envpol.2014.03.038</v>
      </c>
      <c r="BG402"/>
      <c r="BH402"/>
      <c r="BI402"/>
      <c r="BJ402" t="s">
        <v>224</v>
      </c>
      <c r="BK402"/>
      <c r="BL402"/>
      <c r="BM402"/>
      <c r="BN402"/>
      <c r="BO402"/>
      <c r="BP402"/>
      <c r="BQ402"/>
      <c r="BR402"/>
      <c r="BS402"/>
      <c r="BT402" t="str">
        <f>HYPERLINK("https%3A%2F%2Fwww.webofscience.com%2Fwos%2Fwoscc%2Ffull-record%2F","View Full Record in Web of Science")</f>
        <v>View Full Record in Web of Science</v>
      </c>
    </row>
    <row r="403" spans="1:72" customHeight="1" ht="12.75">
      <c r="A403" t="s">
        <v>72</v>
      </c>
      <c r="B403" t="s">
        <v>2907</v>
      </c>
      <c r="C403"/>
      <c r="D403"/>
      <c r="E403"/>
      <c r="F403" t="s">
        <v>2908</v>
      </c>
      <c r="G403"/>
      <c r="H403"/>
      <c r="I403" t="s">
        <v>2909</v>
      </c>
      <c r="J403" t="s">
        <v>1452</v>
      </c>
      <c r="K403"/>
      <c r="L403"/>
      <c r="M403"/>
      <c r="N403" t="s">
        <v>99</v>
      </c>
      <c r="O403"/>
      <c r="P403"/>
      <c r="Q403"/>
      <c r="R403"/>
      <c r="S403"/>
      <c r="T403" t="s">
        <v>2910</v>
      </c>
      <c r="U403" t="s">
        <v>2911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>
        <v>11</v>
      </c>
      <c r="AI403">
        <v>11</v>
      </c>
      <c r="AJ403"/>
      <c r="AK403"/>
      <c r="AL403"/>
      <c r="AM403"/>
      <c r="AN403"/>
      <c r="AO403" t="s">
        <v>1455</v>
      </c>
      <c r="AP403" t="s">
        <v>1456</v>
      </c>
      <c r="AQ403"/>
      <c r="AR403"/>
      <c r="AS403"/>
      <c r="AT403" t="s">
        <v>2912</v>
      </c>
      <c r="AU403">
        <v>2021</v>
      </c>
      <c r="AV403">
        <v>64</v>
      </c>
      <c r="AW403">
        <v>2</v>
      </c>
      <c r="AX403"/>
      <c r="AY403"/>
      <c r="AZ403"/>
      <c r="BA403"/>
      <c r="BB403">
        <v>182</v>
      </c>
      <c r="BC403">
        <v>201</v>
      </c>
      <c r="BD403"/>
      <c r="BE403" t="s">
        <v>2913</v>
      </c>
      <c r="BF403" t="str">
        <f>HYPERLINK("http://dx.doi.org/10.1080/09640568.2020.1763931","http://dx.doi.org/10.1080/09640568.2020.1763931")</f>
        <v>http://dx.doi.org/10.1080/09640568.2020.1763931</v>
      </c>
      <c r="BG403"/>
      <c r="BH403" t="s">
        <v>2914</v>
      </c>
      <c r="BI403"/>
      <c r="BJ403" t="s">
        <v>1459</v>
      </c>
      <c r="BK403"/>
      <c r="BL403"/>
      <c r="BM403"/>
      <c r="BN403"/>
      <c r="BO403"/>
      <c r="BP403"/>
      <c r="BQ403"/>
      <c r="BR403"/>
      <c r="BS403"/>
      <c r="BT403" t="str">
        <f>HYPERLINK("https%3A%2F%2Fwww.webofscience.com%2Fwos%2Fwoscc%2Ffull-record%2F","View Full Record in Web of Science")</f>
        <v>View Full Record in Web of Science</v>
      </c>
    </row>
    <row r="404" spans="1:72" customHeight="1" ht="12.75">
      <c r="A404" t="s">
        <v>72</v>
      </c>
      <c r="B404" t="s">
        <v>2915</v>
      </c>
      <c r="C404"/>
      <c r="D404"/>
      <c r="E404"/>
      <c r="F404" t="s">
        <v>2916</v>
      </c>
      <c r="G404"/>
      <c r="H404"/>
      <c r="I404" t="s">
        <v>2917</v>
      </c>
      <c r="J404" t="s">
        <v>834</v>
      </c>
      <c r="K404"/>
      <c r="L404"/>
      <c r="M404"/>
      <c r="N404" t="s">
        <v>112</v>
      </c>
      <c r="O404"/>
      <c r="P404"/>
      <c r="Q404"/>
      <c r="R404"/>
      <c r="S404"/>
      <c r="T404" t="s">
        <v>2918</v>
      </c>
      <c r="U404" t="s">
        <v>2919</v>
      </c>
      <c r="V404"/>
      <c r="W404"/>
      <c r="X404"/>
      <c r="Y404"/>
      <c r="Z404"/>
      <c r="AA404"/>
      <c r="AB404"/>
      <c r="AC404"/>
      <c r="AD404"/>
      <c r="AE404"/>
      <c r="AF404"/>
      <c r="AG404"/>
      <c r="AH404">
        <v>20</v>
      </c>
      <c r="AI404">
        <v>21</v>
      </c>
      <c r="AJ404"/>
      <c r="AK404"/>
      <c r="AL404"/>
      <c r="AM404"/>
      <c r="AN404"/>
      <c r="AO404" t="s">
        <v>837</v>
      </c>
      <c r="AP404" t="s">
        <v>838</v>
      </c>
      <c r="AQ404"/>
      <c r="AR404"/>
      <c r="AS404"/>
      <c r="AT404"/>
      <c r="AU404">
        <v>2011</v>
      </c>
      <c r="AV404">
        <v>18</v>
      </c>
      <c r="AW404">
        <v>3</v>
      </c>
      <c r="AX404"/>
      <c r="AY404"/>
      <c r="AZ404" t="s">
        <v>222</v>
      </c>
      <c r="BA404"/>
      <c r="BB404">
        <v>190</v>
      </c>
      <c r="BC404">
        <v>200</v>
      </c>
      <c r="BD404" t="s">
        <v>2920</v>
      </c>
      <c r="BE404" t="s">
        <v>2921</v>
      </c>
      <c r="BF404" t="str">
        <f>HYPERLINK("http://dx.doi.org/10.1080/13504509.2011.570800","http://dx.doi.org/10.1080/13504509.2011.570800")</f>
        <v>http://dx.doi.org/10.1080/13504509.2011.570800</v>
      </c>
      <c r="BG404"/>
      <c r="BH404"/>
      <c r="BI404"/>
      <c r="BJ404" t="s">
        <v>840</v>
      </c>
      <c r="BK404"/>
      <c r="BL404"/>
      <c r="BM404"/>
      <c r="BN404"/>
      <c r="BO404"/>
      <c r="BP404"/>
      <c r="BQ404"/>
      <c r="BR404"/>
      <c r="BS404"/>
      <c r="BT404" t="str">
        <f>HYPERLINK("https%3A%2F%2Fwww.webofscience.com%2Fwos%2Fwoscc%2Ffull-record%2F","View Full Record in Web of Science")</f>
        <v>View Full Record in Web of Science</v>
      </c>
    </row>
    <row r="405" spans="1:72" customHeight="1" ht="12.75">
      <c r="A405" t="s">
        <v>72</v>
      </c>
      <c r="B405" t="s">
        <v>2922</v>
      </c>
      <c r="C405"/>
      <c r="D405"/>
      <c r="E405"/>
      <c r="F405" t="s">
        <v>2923</v>
      </c>
      <c r="G405"/>
      <c r="H405"/>
      <c r="I405" t="s">
        <v>2924</v>
      </c>
      <c r="J405" t="s">
        <v>2925</v>
      </c>
      <c r="K405"/>
      <c r="L405"/>
      <c r="M405"/>
      <c r="N405" t="s">
        <v>325</v>
      </c>
      <c r="O405"/>
      <c r="P405"/>
      <c r="Q405"/>
      <c r="R405"/>
      <c r="S405"/>
      <c r="T405" t="s">
        <v>2926</v>
      </c>
      <c r="U405" t="s">
        <v>2927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>
        <v>4</v>
      </c>
      <c r="AI405">
        <v>4</v>
      </c>
      <c r="AJ405"/>
      <c r="AK405"/>
      <c r="AL405"/>
      <c r="AM405"/>
      <c r="AN405"/>
      <c r="AO405" t="s">
        <v>2928</v>
      </c>
      <c r="AP405" t="s">
        <v>2929</v>
      </c>
      <c r="AQ405"/>
      <c r="AR405"/>
      <c r="AS405"/>
      <c r="AT405" t="s">
        <v>2930</v>
      </c>
      <c r="AU405">
        <v>2021</v>
      </c>
      <c r="AV405">
        <v>62</v>
      </c>
      <c r="AW405"/>
      <c r="AX405"/>
      <c r="AY405"/>
      <c r="AZ405"/>
      <c r="BA405"/>
      <c r="BB405"/>
      <c r="BC405"/>
      <c r="BD405">
        <v>127108</v>
      </c>
      <c r="BE405" t="s">
        <v>2931</v>
      </c>
      <c r="BF405" t="str">
        <f>HYPERLINK("http://dx.doi.org/10.1016/j.ufug.2021.127108","http://dx.doi.org/10.1016/j.ufug.2021.127108")</f>
        <v>http://dx.doi.org/10.1016/j.ufug.2021.127108</v>
      </c>
      <c r="BG405"/>
      <c r="BH405" t="s">
        <v>2932</v>
      </c>
      <c r="BI405"/>
      <c r="BJ405" t="s">
        <v>2933</v>
      </c>
      <c r="BK405"/>
      <c r="BL405"/>
      <c r="BM405"/>
      <c r="BN405"/>
      <c r="BO405"/>
      <c r="BP405"/>
      <c r="BQ405"/>
      <c r="BR405"/>
      <c r="BS405"/>
      <c r="BT405" t="str">
        <f>HYPERLINK("https%3A%2F%2Fwww.webofscience.com%2Fwos%2Fwoscc%2Ffull-record%2F","View Full Record in Web of Science")</f>
        <v>View Full Record in Web of Science</v>
      </c>
    </row>
    <row r="406" spans="1:72" customHeight="1" ht="12.75">
      <c r="A406" t="s">
        <v>72</v>
      </c>
      <c r="B406" t="s">
        <v>2934</v>
      </c>
      <c r="C406"/>
      <c r="D406"/>
      <c r="E406"/>
      <c r="F406" t="s">
        <v>2935</v>
      </c>
      <c r="G406"/>
      <c r="H406"/>
      <c r="I406" t="s">
        <v>2936</v>
      </c>
      <c r="J406" t="s">
        <v>2937</v>
      </c>
      <c r="K406"/>
      <c r="L406"/>
      <c r="M406"/>
      <c r="N406" t="s">
        <v>112</v>
      </c>
      <c r="O406"/>
      <c r="P406"/>
      <c r="Q406"/>
      <c r="R406"/>
      <c r="S406"/>
      <c r="T406" t="s">
        <v>2938</v>
      </c>
      <c r="U406" t="s">
        <v>2939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>
        <v>8</v>
      </c>
      <c r="AI406">
        <v>8</v>
      </c>
      <c r="AJ406"/>
      <c r="AK406"/>
      <c r="AL406"/>
      <c r="AM406"/>
      <c r="AN406"/>
      <c r="AO406" t="s">
        <v>2940</v>
      </c>
      <c r="AP406" t="s">
        <v>2941</v>
      </c>
      <c r="AQ406"/>
      <c r="AR406"/>
      <c r="AS406"/>
      <c r="AT406" t="s">
        <v>190</v>
      </c>
      <c r="AU406">
        <v>2015</v>
      </c>
      <c r="AV406">
        <v>47</v>
      </c>
      <c r="AW406">
        <v>2</v>
      </c>
      <c r="AX406"/>
      <c r="AY406"/>
      <c r="AZ406"/>
      <c r="BA406"/>
      <c r="BB406">
        <v>360</v>
      </c>
      <c r="BC406">
        <v>379</v>
      </c>
      <c r="BD406"/>
      <c r="BE406" t="s">
        <v>2942</v>
      </c>
      <c r="BF406" t="str">
        <f>HYPERLINK("http://dx.doi.org/10.1111/anti.12111","http://dx.doi.org/10.1111/anti.12111")</f>
        <v>http://dx.doi.org/10.1111/anti.12111</v>
      </c>
      <c r="BG406"/>
      <c r="BH406"/>
      <c r="BI406"/>
      <c r="BJ406" t="s">
        <v>83</v>
      </c>
      <c r="BK406"/>
      <c r="BL406"/>
      <c r="BM406"/>
      <c r="BN406"/>
      <c r="BO406"/>
      <c r="BP406"/>
      <c r="BQ406"/>
      <c r="BR406"/>
      <c r="BS406"/>
      <c r="BT406" t="str">
        <f>HYPERLINK("https%3A%2F%2Fwww.webofscience.com%2Fwos%2Fwoscc%2Ffull-record%2F","View Full Record in Web of Science")</f>
        <v>View Full Record in Web of Science</v>
      </c>
    </row>
    <row r="407" spans="1:72" customHeight="1" ht="12.75">
      <c r="A407" t="s">
        <v>72</v>
      </c>
      <c r="B407" t="s">
        <v>2943</v>
      </c>
      <c r="C407"/>
      <c r="D407"/>
      <c r="E407"/>
      <c r="F407" t="s">
        <v>2944</v>
      </c>
      <c r="G407"/>
      <c r="H407"/>
      <c r="I407" t="s">
        <v>2945</v>
      </c>
      <c r="J407" t="s">
        <v>1690</v>
      </c>
      <c r="K407"/>
      <c r="L407"/>
      <c r="M407"/>
      <c r="N407" t="s">
        <v>112</v>
      </c>
      <c r="O407"/>
      <c r="P407"/>
      <c r="Q407"/>
      <c r="R407"/>
      <c r="S407"/>
      <c r="T407" t="s">
        <v>2946</v>
      </c>
      <c r="U407" t="s">
        <v>2947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>
        <v>41</v>
      </c>
      <c r="AI407">
        <v>42</v>
      </c>
      <c r="AJ407"/>
      <c r="AK407"/>
      <c r="AL407"/>
      <c r="AM407"/>
      <c r="AN407"/>
      <c r="AO407" t="s">
        <v>1693</v>
      </c>
      <c r="AP407" t="s">
        <v>1694</v>
      </c>
      <c r="AQ407"/>
      <c r="AR407"/>
      <c r="AS407"/>
      <c r="AT407"/>
      <c r="AU407">
        <v>2017</v>
      </c>
      <c r="AV407">
        <v>14</v>
      </c>
      <c r="AW407">
        <v>1</v>
      </c>
      <c r="AX407"/>
      <c r="AY407"/>
      <c r="AZ407"/>
      <c r="BA407"/>
      <c r="BB407">
        <v>61</v>
      </c>
      <c r="BC407">
        <v>68</v>
      </c>
      <c r="BD407"/>
      <c r="BE407" t="s">
        <v>2948</v>
      </c>
      <c r="BF407" t="str">
        <f>HYPERLINK("http://dx.doi.org/10.1080/1573062X.2015.1076858","http://dx.doi.org/10.1080/1573062X.2015.1076858")</f>
        <v>http://dx.doi.org/10.1080/1573062X.2015.1076858</v>
      </c>
      <c r="BG407"/>
      <c r="BH407"/>
      <c r="BI407"/>
      <c r="BJ407" t="s">
        <v>1211</v>
      </c>
      <c r="BK407"/>
      <c r="BL407"/>
      <c r="BM407"/>
      <c r="BN407"/>
      <c r="BO407"/>
      <c r="BP407"/>
      <c r="BQ407"/>
      <c r="BR407"/>
      <c r="BS407"/>
      <c r="BT407" t="str">
        <f>HYPERLINK("https%3A%2F%2Fwww.webofscience.com%2Fwos%2Fwoscc%2Ffull-record%2F","View Full Record in Web of Science")</f>
        <v>View Full Record in Web of Science</v>
      </c>
    </row>
    <row r="408" spans="1:72" customHeight="1" ht="12.75">
      <c r="A408" t="s">
        <v>72</v>
      </c>
      <c r="B408" t="s">
        <v>2949</v>
      </c>
      <c r="C408"/>
      <c r="D408"/>
      <c r="E408"/>
      <c r="F408" t="s">
        <v>2950</v>
      </c>
      <c r="G408"/>
      <c r="H408"/>
      <c r="I408" t="s">
        <v>2951</v>
      </c>
      <c r="J408" t="s">
        <v>2952</v>
      </c>
      <c r="K408"/>
      <c r="L408"/>
      <c r="M408"/>
      <c r="N408" t="s">
        <v>112</v>
      </c>
      <c r="O408"/>
      <c r="P408"/>
      <c r="Q408"/>
      <c r="R408"/>
      <c r="S408"/>
      <c r="T408" t="s">
        <v>2953</v>
      </c>
      <c r="U408" t="s">
        <v>2954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>
        <v>12</v>
      </c>
      <c r="AI408">
        <v>18</v>
      </c>
      <c r="AJ408"/>
      <c r="AK408"/>
      <c r="AL408"/>
      <c r="AM408"/>
      <c r="AN408"/>
      <c r="AO408" t="s">
        <v>2955</v>
      </c>
      <c r="AP408" t="s">
        <v>2956</v>
      </c>
      <c r="AQ408"/>
      <c r="AR408"/>
      <c r="AS408"/>
      <c r="AT408"/>
      <c r="AU408">
        <v>2015</v>
      </c>
      <c r="AV408">
        <v>33</v>
      </c>
      <c r="AW408">
        <v>1</v>
      </c>
      <c r="AX408"/>
      <c r="AY408"/>
      <c r="AZ408"/>
      <c r="BA408"/>
      <c r="BB408">
        <v>35</v>
      </c>
      <c r="BC408">
        <v>51</v>
      </c>
      <c r="BD408"/>
      <c r="BE408" t="s">
        <v>2957</v>
      </c>
      <c r="BF408" t="str">
        <f>HYPERLINK("http://dx.doi.org/10.1068/d13188p","http://dx.doi.org/10.1068/d13188p")</f>
        <v>http://dx.doi.org/10.1068/d13188p</v>
      </c>
      <c r="BG408"/>
      <c r="BH408"/>
      <c r="BI408"/>
      <c r="BJ408" t="s">
        <v>2958</v>
      </c>
      <c r="BK408"/>
      <c r="BL408"/>
      <c r="BM408"/>
      <c r="BN408"/>
      <c r="BO408"/>
      <c r="BP408"/>
      <c r="BQ408"/>
      <c r="BR408"/>
      <c r="BS408"/>
      <c r="BT408" t="str">
        <f>HYPERLINK("https%3A%2F%2Fwww.webofscience.com%2Fwos%2Fwoscc%2Ffull-record%2F","View Full Record in Web of Science")</f>
        <v>View Full Record in Web of Science</v>
      </c>
    </row>
    <row r="409" spans="1:72" customHeight="1" ht="12.75">
      <c r="A409" t="s">
        <v>72</v>
      </c>
      <c r="B409" t="s">
        <v>225</v>
      </c>
      <c r="C409"/>
      <c r="D409"/>
      <c r="E409"/>
      <c r="F409" t="s">
        <v>226</v>
      </c>
      <c r="G409"/>
      <c r="H409"/>
      <c r="I409" t="s">
        <v>2959</v>
      </c>
      <c r="J409" t="s">
        <v>945</v>
      </c>
      <c r="K409"/>
      <c r="L409"/>
      <c r="M409"/>
      <c r="N409" t="s">
        <v>325</v>
      </c>
      <c r="O409"/>
      <c r="P409"/>
      <c r="Q409"/>
      <c r="R409"/>
      <c r="S409"/>
      <c r="T409" t="s">
        <v>2960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>
        <v>2</v>
      </c>
      <c r="AI409">
        <v>2</v>
      </c>
      <c r="AJ409"/>
      <c r="AK409"/>
      <c r="AL409"/>
      <c r="AM409"/>
      <c r="AN409"/>
      <c r="AO409" t="s">
        <v>948</v>
      </c>
      <c r="AP409" t="s">
        <v>949</v>
      </c>
      <c r="AQ409"/>
      <c r="AR409"/>
      <c r="AS409"/>
      <c r="AT409" t="s">
        <v>2961</v>
      </c>
      <c r="AU409">
        <v>2021</v>
      </c>
      <c r="AV409"/>
      <c r="AW409"/>
      <c r="AX409"/>
      <c r="AY409"/>
      <c r="AZ409"/>
      <c r="BA409"/>
      <c r="BB409"/>
      <c r="BC409"/>
      <c r="BD409"/>
      <c r="BE409" t="s">
        <v>2962</v>
      </c>
      <c r="BF409" t="str">
        <f>HYPERLINK("http://dx.doi.org/10.1080/13264826.2021.1973049","http://dx.doi.org/10.1080/13264826.2021.1973049")</f>
        <v>http://dx.doi.org/10.1080/13264826.2021.1973049</v>
      </c>
      <c r="BG409"/>
      <c r="BH409" t="s">
        <v>2963</v>
      </c>
      <c r="BI409"/>
      <c r="BJ409" t="s">
        <v>233</v>
      </c>
      <c r="BK409"/>
      <c r="BL409"/>
      <c r="BM409"/>
      <c r="BN409"/>
      <c r="BO409"/>
      <c r="BP409"/>
      <c r="BQ409"/>
      <c r="BR409"/>
      <c r="BS409"/>
      <c r="BT409" t="str">
        <f>HYPERLINK("https%3A%2F%2Fwww.webofscience.com%2Fwos%2Fwoscc%2Ffull-record%2F","View Full Record in Web of Science")</f>
        <v>View Full Record in Web of Science</v>
      </c>
    </row>
    <row r="410" spans="1:72" customHeight="1" ht="12.75">
      <c r="A410" t="s">
        <v>72</v>
      </c>
      <c r="B410" t="s">
        <v>2964</v>
      </c>
      <c r="C410"/>
      <c r="D410"/>
      <c r="E410"/>
      <c r="F410" t="s">
        <v>2965</v>
      </c>
      <c r="G410"/>
      <c r="H410"/>
      <c r="I410" t="s">
        <v>2966</v>
      </c>
      <c r="J410" t="s">
        <v>642</v>
      </c>
      <c r="K410"/>
      <c r="L410"/>
      <c r="M410"/>
      <c r="N410" t="s">
        <v>112</v>
      </c>
      <c r="O410"/>
      <c r="P410"/>
      <c r="Q410"/>
      <c r="R410"/>
      <c r="S410"/>
      <c r="T410" t="s">
        <v>2967</v>
      </c>
      <c r="U410" t="s">
        <v>2968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>
        <v>16</v>
      </c>
      <c r="AI410">
        <v>19</v>
      </c>
      <c r="AJ410"/>
      <c r="AK410"/>
      <c r="AL410"/>
      <c r="AM410"/>
      <c r="AN410"/>
      <c r="AO410" t="s">
        <v>643</v>
      </c>
      <c r="AP410" t="s">
        <v>913</v>
      </c>
      <c r="AQ410"/>
      <c r="AR410"/>
      <c r="AS410"/>
      <c r="AT410" t="s">
        <v>2969</v>
      </c>
      <c r="AU410">
        <v>2007</v>
      </c>
      <c r="AV410">
        <v>28</v>
      </c>
      <c r="AW410">
        <v>8</v>
      </c>
      <c r="AX410"/>
      <c r="AY410"/>
      <c r="AZ410"/>
      <c r="BA410"/>
      <c r="BB410">
        <v>705</v>
      </c>
      <c r="BC410">
        <v>731</v>
      </c>
      <c r="BD410"/>
      <c r="BE410" t="s">
        <v>2970</v>
      </c>
      <c r="BF410" t="str">
        <f>HYPERLINK("http://dx.doi.org/10.2747/0272-3638.28.8.705","http://dx.doi.org/10.2747/0272-3638.28.8.705")</f>
        <v>http://dx.doi.org/10.2747/0272-3638.28.8.705</v>
      </c>
      <c r="BG410"/>
      <c r="BH410"/>
      <c r="BI410"/>
      <c r="BJ410" t="s">
        <v>646</v>
      </c>
      <c r="BK410"/>
      <c r="BL410"/>
      <c r="BM410"/>
      <c r="BN410"/>
      <c r="BO410"/>
      <c r="BP410"/>
      <c r="BQ410"/>
      <c r="BR410"/>
      <c r="BS410"/>
      <c r="BT410" t="str">
        <f>HYPERLINK("https%3A%2F%2Fwww.webofscience.com%2Fwos%2Fwoscc%2Ffull-record%2F","View Full Record in Web of Science")</f>
        <v>View Full Record in Web of Science</v>
      </c>
    </row>
    <row r="411" spans="1:72" customHeight="1" ht="12.75">
      <c r="A411" t="s">
        <v>72</v>
      </c>
      <c r="B411" t="s">
        <v>2971</v>
      </c>
      <c r="C411"/>
      <c r="D411"/>
      <c r="E411"/>
      <c r="F411" t="s">
        <v>2972</v>
      </c>
      <c r="G411"/>
      <c r="H411"/>
      <c r="I411" t="s">
        <v>2973</v>
      </c>
      <c r="J411" t="s">
        <v>809</v>
      </c>
      <c r="K411"/>
      <c r="L411"/>
      <c r="M411"/>
      <c r="N411" t="s">
        <v>112</v>
      </c>
      <c r="O411"/>
      <c r="P411"/>
      <c r="Q411"/>
      <c r="R411"/>
      <c r="S411"/>
      <c r="T411" t="s">
        <v>2974</v>
      </c>
      <c r="U411" t="s">
        <v>2975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>
        <v>0.0</v>
      </c>
      <c r="AI411">
        <v>0.0</v>
      </c>
      <c r="AJ411"/>
      <c r="AK411"/>
      <c r="AL411"/>
      <c r="AM411"/>
      <c r="AN411"/>
      <c r="AO411"/>
      <c r="AP411" t="s">
        <v>812</v>
      </c>
      <c r="AQ411"/>
      <c r="AR411"/>
      <c r="AS411"/>
      <c r="AT411" t="s">
        <v>404</v>
      </c>
      <c r="AU411">
        <v>2024</v>
      </c>
      <c r="AV411">
        <v>14</v>
      </c>
      <c r="AW411">
        <v>1</v>
      </c>
      <c r="AX411"/>
      <c r="AY411"/>
      <c r="AZ411"/>
      <c r="BA411"/>
      <c r="BB411"/>
      <c r="BC411"/>
      <c r="BD411">
        <v>202</v>
      </c>
      <c r="BE411" t="s">
        <v>2976</v>
      </c>
      <c r="BF411" t="str">
        <f>HYPERLINK("http://dx.doi.org/10.3390/buildings14010202","http://dx.doi.org/10.3390/buildings14010202")</f>
        <v>http://dx.doi.org/10.3390/buildings14010202</v>
      </c>
      <c r="BG411"/>
      <c r="BH411"/>
      <c r="BI411"/>
      <c r="BJ411" t="s">
        <v>814</v>
      </c>
      <c r="BK411"/>
      <c r="BL411"/>
      <c r="BM411"/>
      <c r="BN411"/>
      <c r="BO411"/>
      <c r="BP411"/>
      <c r="BQ411"/>
      <c r="BR411"/>
      <c r="BS411"/>
      <c r="BT411" t="str">
        <f>HYPERLINK("https%3A%2F%2Fwww.webofscience.com%2Fwos%2Fwoscc%2Ffull-record%2F","View Full Record in Web of Science")</f>
        <v>View Full Record in Web of Science</v>
      </c>
    </row>
    <row r="412" spans="1:72" customHeight="1" ht="12.75">
      <c r="A412" t="s">
        <v>72</v>
      </c>
      <c r="B412" t="s">
        <v>2977</v>
      </c>
      <c r="C412"/>
      <c r="D412"/>
      <c r="E412"/>
      <c r="F412" t="s">
        <v>2978</v>
      </c>
      <c r="G412"/>
      <c r="H412"/>
      <c r="I412" t="s">
        <v>2979</v>
      </c>
      <c r="J412" t="s">
        <v>2980</v>
      </c>
      <c r="K412"/>
      <c r="L412"/>
      <c r="M412"/>
      <c r="N412" t="s">
        <v>112</v>
      </c>
      <c r="O412"/>
      <c r="P412"/>
      <c r="Q412"/>
      <c r="R412"/>
      <c r="S412"/>
      <c r="T412" t="s">
        <v>2981</v>
      </c>
      <c r="U412" t="s">
        <v>2982</v>
      </c>
      <c r="V412"/>
      <c r="W412"/>
      <c r="X412"/>
      <c r="Y412"/>
      <c r="Z412"/>
      <c r="AA412"/>
      <c r="AB412"/>
      <c r="AC412"/>
      <c r="AD412"/>
      <c r="AE412"/>
      <c r="AF412"/>
      <c r="AG412"/>
      <c r="AH412">
        <v>65</v>
      </c>
      <c r="AI412">
        <v>77</v>
      </c>
      <c r="AJ412"/>
      <c r="AK412"/>
      <c r="AL412"/>
      <c r="AM412"/>
      <c r="AN412"/>
      <c r="AO412" t="s">
        <v>2983</v>
      </c>
      <c r="AP412" t="s">
        <v>2984</v>
      </c>
      <c r="AQ412"/>
      <c r="AR412"/>
      <c r="AS412"/>
      <c r="AT412" t="s">
        <v>362</v>
      </c>
      <c r="AU412">
        <v>2017</v>
      </c>
      <c r="AV412">
        <v>60</v>
      </c>
      <c r="AW412">
        <v>6</v>
      </c>
      <c r="AX412"/>
      <c r="AY412"/>
      <c r="AZ412" t="s">
        <v>222</v>
      </c>
      <c r="BA412"/>
      <c r="BB412">
        <v>1083</v>
      </c>
      <c r="BC412">
        <v>1097</v>
      </c>
      <c r="BD412"/>
      <c r="BE412" t="s">
        <v>2985</v>
      </c>
      <c r="BF412" t="str">
        <f>HYPERLINK("http://dx.doi.org/10.1007/s11430-016-9038-6","http://dx.doi.org/10.1007/s11430-016-9038-6")</f>
        <v>http://dx.doi.org/10.1007/s11430-016-9038-6</v>
      </c>
      <c r="BG412"/>
      <c r="BH412"/>
      <c r="BI412"/>
      <c r="BJ412" t="s">
        <v>2986</v>
      </c>
      <c r="BK412"/>
      <c r="BL412"/>
      <c r="BM412"/>
      <c r="BN412"/>
      <c r="BO412"/>
      <c r="BP412"/>
      <c r="BQ412"/>
      <c r="BR412"/>
      <c r="BS412"/>
      <c r="BT412" t="str">
        <f>HYPERLINK("https%3A%2F%2Fwww.webofscience.com%2Fwos%2Fwoscc%2Ffull-record%2F","View Full Record in Web of Science")</f>
        <v>View Full Record in Web of Science</v>
      </c>
    </row>
    <row r="413" spans="1:72" customHeight="1" ht="12.75">
      <c r="A413" t="s">
        <v>72</v>
      </c>
      <c r="B413" t="s">
        <v>2987</v>
      </c>
      <c r="C413"/>
      <c r="D413"/>
      <c r="E413"/>
      <c r="F413" t="s">
        <v>2988</v>
      </c>
      <c r="G413"/>
      <c r="H413"/>
      <c r="I413" t="s">
        <v>2989</v>
      </c>
      <c r="J413" t="s">
        <v>457</v>
      </c>
      <c r="K413"/>
      <c r="L413"/>
      <c r="M413"/>
      <c r="N413" t="s">
        <v>112</v>
      </c>
      <c r="O413"/>
      <c r="P413"/>
      <c r="Q413"/>
      <c r="R413"/>
      <c r="S413"/>
      <c r="T413" t="s">
        <v>2990</v>
      </c>
      <c r="U413" t="s">
        <v>2991</v>
      </c>
      <c r="V413"/>
      <c r="W413"/>
      <c r="X413"/>
      <c r="Y413"/>
      <c r="Z413"/>
      <c r="AA413"/>
      <c r="AB413"/>
      <c r="AC413"/>
      <c r="AD413"/>
      <c r="AE413"/>
      <c r="AF413"/>
      <c r="AG413"/>
      <c r="AH413">
        <v>12</v>
      </c>
      <c r="AI413">
        <v>12</v>
      </c>
      <c r="AJ413"/>
      <c r="AK413"/>
      <c r="AL413"/>
      <c r="AM413"/>
      <c r="AN413"/>
      <c r="AO413"/>
      <c r="AP413" t="s">
        <v>458</v>
      </c>
      <c r="AQ413"/>
      <c r="AR413"/>
      <c r="AS413"/>
      <c r="AT413" t="s">
        <v>394</v>
      </c>
      <c r="AU413">
        <v>2021</v>
      </c>
      <c r="AV413">
        <v>13</v>
      </c>
      <c r="AW413">
        <v>4</v>
      </c>
      <c r="AX413"/>
      <c r="AY413"/>
      <c r="AZ413"/>
      <c r="BA413"/>
      <c r="BB413"/>
      <c r="BC413"/>
      <c r="BD413">
        <v>1786</v>
      </c>
      <c r="BE413" t="s">
        <v>2992</v>
      </c>
      <c r="BF413" t="str">
        <f>HYPERLINK("http://dx.doi.org/10.3390/su13041786","http://dx.doi.org/10.3390/su13041786")</f>
        <v>http://dx.doi.org/10.3390/su13041786</v>
      </c>
      <c r="BG413"/>
      <c r="BH413"/>
      <c r="BI413"/>
      <c r="BJ413" t="s">
        <v>460</v>
      </c>
      <c r="BK413"/>
      <c r="BL413"/>
      <c r="BM413"/>
      <c r="BN413"/>
      <c r="BO413"/>
      <c r="BP413"/>
      <c r="BQ413"/>
      <c r="BR413"/>
      <c r="BS413"/>
      <c r="BT413" t="str">
        <f>HYPERLINK("https%3A%2F%2Fwww.webofscience.com%2Fwos%2Fwoscc%2Ffull-record%2F","View Full Record in Web of Science")</f>
        <v>View Full Record in Web of Science</v>
      </c>
    </row>
    <row r="414" spans="1:72" customHeight="1" ht="12.75">
      <c r="A414" t="s">
        <v>72</v>
      </c>
      <c r="B414" t="s">
        <v>2993</v>
      </c>
      <c r="C414"/>
      <c r="D414"/>
      <c r="E414"/>
      <c r="F414" t="s">
        <v>2994</v>
      </c>
      <c r="G414"/>
      <c r="H414"/>
      <c r="I414" t="s">
        <v>2995</v>
      </c>
      <c r="J414" t="s">
        <v>1991</v>
      </c>
      <c r="K414"/>
      <c r="L414"/>
      <c r="M414"/>
      <c r="N414" t="s">
        <v>112</v>
      </c>
      <c r="O414"/>
      <c r="P414"/>
      <c r="Q414"/>
      <c r="R414"/>
      <c r="S414"/>
      <c r="T414" t="s">
        <v>2996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>
        <v>5</v>
      </c>
      <c r="AI414">
        <v>5</v>
      </c>
      <c r="AJ414"/>
      <c r="AK414"/>
      <c r="AL414"/>
      <c r="AM414"/>
      <c r="AN414"/>
      <c r="AO414" t="s">
        <v>1994</v>
      </c>
      <c r="AP414" t="s">
        <v>1995</v>
      </c>
      <c r="AQ414"/>
      <c r="AR414"/>
      <c r="AS414"/>
      <c r="AT414" t="s">
        <v>385</v>
      </c>
      <c r="AU414">
        <v>2019</v>
      </c>
      <c r="AV414">
        <v>24</v>
      </c>
      <c r="AW414">
        <v>7</v>
      </c>
      <c r="AX414"/>
      <c r="AY414"/>
      <c r="AZ414" t="s">
        <v>222</v>
      </c>
      <c r="BA414"/>
      <c r="BB414">
        <v>1254</v>
      </c>
      <c r="BC414">
        <v>1268</v>
      </c>
      <c r="BD414"/>
      <c r="BE414" t="s">
        <v>2997</v>
      </c>
      <c r="BF414" t="str">
        <f>HYPERLINK("http://dx.doi.org/10.1007/s11367-018-1445-9","http://dx.doi.org/10.1007/s11367-018-1445-9")</f>
        <v>http://dx.doi.org/10.1007/s11367-018-1445-9</v>
      </c>
      <c r="BG414"/>
      <c r="BH414"/>
      <c r="BI414"/>
      <c r="BJ414" t="s">
        <v>119</v>
      </c>
      <c r="BK414"/>
      <c r="BL414"/>
      <c r="BM414"/>
      <c r="BN414"/>
      <c r="BO414"/>
      <c r="BP414"/>
      <c r="BQ414"/>
      <c r="BR414"/>
      <c r="BS414"/>
      <c r="BT414" t="str">
        <f>HYPERLINK("https%3A%2F%2Fwww.webofscience.com%2Fwos%2Fwoscc%2Ffull-record%2F","View Full Record in Web of Science")</f>
        <v>View Full Record in Web of Science</v>
      </c>
    </row>
    <row r="415" spans="1:72" customHeight="1" ht="12.75">
      <c r="A415" t="s">
        <v>72</v>
      </c>
      <c r="B415" t="s">
        <v>2998</v>
      </c>
      <c r="C415"/>
      <c r="D415"/>
      <c r="E415"/>
      <c r="F415" t="s">
        <v>2999</v>
      </c>
      <c r="G415"/>
      <c r="H415"/>
      <c r="I415" t="s">
        <v>3000</v>
      </c>
      <c r="J415" t="s">
        <v>1957</v>
      </c>
      <c r="K415"/>
      <c r="L415"/>
      <c r="M415"/>
      <c r="N415" t="s">
        <v>325</v>
      </c>
      <c r="O415"/>
      <c r="P415"/>
      <c r="Q415"/>
      <c r="R415"/>
      <c r="S415"/>
      <c r="T415" t="s">
        <v>3001</v>
      </c>
      <c r="U415" t="s">
        <v>3002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>
        <v>4</v>
      </c>
      <c r="AI415">
        <v>4</v>
      </c>
      <c r="AJ415"/>
      <c r="AK415"/>
      <c r="AL415"/>
      <c r="AM415"/>
      <c r="AN415"/>
      <c r="AO415" t="s">
        <v>1959</v>
      </c>
      <c r="AP415" t="s">
        <v>3003</v>
      </c>
      <c r="AQ415"/>
      <c r="AR415"/>
      <c r="AS415"/>
      <c r="AT415" t="s">
        <v>3004</v>
      </c>
      <c r="AU415">
        <v>2023</v>
      </c>
      <c r="AV415">
        <v>30</v>
      </c>
      <c r="AW415">
        <v>11</v>
      </c>
      <c r="AX415"/>
      <c r="AY415"/>
      <c r="AZ415"/>
      <c r="BA415"/>
      <c r="BB415">
        <v>30514</v>
      </c>
      <c r="BC415">
        <v>30529</v>
      </c>
      <c r="BD415"/>
      <c r="BE415" t="s">
        <v>3005</v>
      </c>
      <c r="BF415" t="str">
        <f>HYPERLINK("http://dx.doi.org/10.1007/s11356-022-24307-8","http://dx.doi.org/10.1007/s11356-022-24307-8")</f>
        <v>http://dx.doi.org/10.1007/s11356-022-24307-8</v>
      </c>
      <c r="BG415"/>
      <c r="BH415" t="s">
        <v>1738</v>
      </c>
      <c r="BI415"/>
      <c r="BJ415" t="s">
        <v>224</v>
      </c>
      <c r="BK415"/>
      <c r="BL415"/>
      <c r="BM415"/>
      <c r="BN415"/>
      <c r="BO415"/>
      <c r="BP415"/>
      <c r="BQ415"/>
      <c r="BR415"/>
      <c r="BS415"/>
      <c r="BT415" t="str">
        <f>HYPERLINK("https%3A%2F%2Fwww.webofscience.com%2Fwos%2Fwoscc%2Ffull-record%2F","View Full Record in Web of Science")</f>
        <v>View Full Record in Web of Science</v>
      </c>
    </row>
    <row r="416" spans="1:72" customHeight="1" ht="12.75">
      <c r="A416" t="s">
        <v>72</v>
      </c>
      <c r="B416" t="s">
        <v>3006</v>
      </c>
      <c r="C416"/>
      <c r="D416"/>
      <c r="E416"/>
      <c r="F416" t="s">
        <v>3007</v>
      </c>
      <c r="G416"/>
      <c r="H416"/>
      <c r="I416" t="s">
        <v>3008</v>
      </c>
      <c r="J416" t="s">
        <v>3009</v>
      </c>
      <c r="K416"/>
      <c r="L416"/>
      <c r="M416"/>
      <c r="N416" t="s">
        <v>77</v>
      </c>
      <c r="O416"/>
      <c r="P416"/>
      <c r="Q416"/>
      <c r="R416"/>
      <c r="S416"/>
      <c r="T416" t="s">
        <v>3010</v>
      </c>
      <c r="U416" t="s">
        <v>3011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>
        <v>6</v>
      </c>
      <c r="AI416">
        <v>6</v>
      </c>
      <c r="AJ416"/>
      <c r="AK416"/>
      <c r="AL416"/>
      <c r="AM416"/>
      <c r="AN416"/>
      <c r="AO416" t="s">
        <v>3012</v>
      </c>
      <c r="AP416"/>
      <c r="AQ416"/>
      <c r="AR416"/>
      <c r="AS416"/>
      <c r="AT416" t="s">
        <v>117</v>
      </c>
      <c r="AU416">
        <v>2022</v>
      </c>
      <c r="AV416">
        <v>13</v>
      </c>
      <c r="AW416"/>
      <c r="AX416"/>
      <c r="AY416"/>
      <c r="AZ416"/>
      <c r="BA416"/>
      <c r="BB416"/>
      <c r="BC416"/>
      <c r="BD416">
        <v>200066</v>
      </c>
      <c r="BE416" t="s">
        <v>3013</v>
      </c>
      <c r="BF416" t="str">
        <f>HYPERLINK("http://dx.doi.org/10.1016/j.rcradv.2022.200066","http://dx.doi.org/10.1016/j.rcradv.2022.200066")</f>
        <v>http://dx.doi.org/10.1016/j.rcradv.2022.200066</v>
      </c>
      <c r="BG416"/>
      <c r="BH416"/>
      <c r="BI416"/>
      <c r="BJ416" t="s">
        <v>224</v>
      </c>
      <c r="BK416"/>
      <c r="BL416"/>
      <c r="BM416"/>
      <c r="BN416"/>
      <c r="BO416"/>
      <c r="BP416"/>
      <c r="BQ416"/>
      <c r="BR416"/>
      <c r="BS416"/>
      <c r="BT416" t="str">
        <f>HYPERLINK("https%3A%2F%2Fwww.webofscience.com%2Fwos%2Fwoscc%2Ffull-record%2F","View Full Record in Web of Science")</f>
        <v>View Full Record in Web of Science</v>
      </c>
    </row>
    <row r="417" spans="1:72" customHeight="1" ht="12.75">
      <c r="A417" t="s">
        <v>72</v>
      </c>
      <c r="B417" t="s">
        <v>3014</v>
      </c>
      <c r="C417"/>
      <c r="D417"/>
      <c r="E417"/>
      <c r="F417" t="s">
        <v>3015</v>
      </c>
      <c r="G417"/>
      <c r="H417"/>
      <c r="I417" t="s">
        <v>3016</v>
      </c>
      <c r="J417" t="s">
        <v>587</v>
      </c>
      <c r="K417"/>
      <c r="L417"/>
      <c r="M417"/>
      <c r="N417" t="s">
        <v>112</v>
      </c>
      <c r="O417"/>
      <c r="P417"/>
      <c r="Q417"/>
      <c r="R417"/>
      <c r="S417"/>
      <c r="T417" t="s">
        <v>3017</v>
      </c>
      <c r="U417" t="s">
        <v>3018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>
        <v>38</v>
      </c>
      <c r="AI417">
        <v>42</v>
      </c>
      <c r="AJ417"/>
      <c r="AK417"/>
      <c r="AL417"/>
      <c r="AM417"/>
      <c r="AN417"/>
      <c r="AO417" t="s">
        <v>590</v>
      </c>
      <c r="AP417" t="s">
        <v>591</v>
      </c>
      <c r="AQ417"/>
      <c r="AR417"/>
      <c r="AS417"/>
      <c r="AT417" t="s">
        <v>688</v>
      </c>
      <c r="AU417">
        <v>2017</v>
      </c>
      <c r="AV417">
        <v>163</v>
      </c>
      <c r="AW417"/>
      <c r="AX417"/>
      <c r="AY417"/>
      <c r="AZ417"/>
      <c r="BA417"/>
      <c r="BB417">
        <v>146</v>
      </c>
      <c r="BC417">
        <v>153</v>
      </c>
      <c r="BD417"/>
      <c r="BE417" t="s">
        <v>3019</v>
      </c>
      <c r="BF417" t="str">
        <f>HYPERLINK("http://dx.doi.org/10.1016/j.jclepro.2016.03.034","http://dx.doi.org/10.1016/j.jclepro.2016.03.034")</f>
        <v>http://dx.doi.org/10.1016/j.jclepro.2016.03.034</v>
      </c>
      <c r="BG417"/>
      <c r="BH417"/>
      <c r="BI417"/>
      <c r="BJ417" t="s">
        <v>139</v>
      </c>
      <c r="BK417"/>
      <c r="BL417"/>
      <c r="BM417"/>
      <c r="BN417"/>
      <c r="BO417"/>
      <c r="BP417"/>
      <c r="BQ417"/>
      <c r="BR417"/>
      <c r="BS417"/>
      <c r="BT417" t="str">
        <f>HYPERLINK("https%3A%2F%2Fwww.webofscience.com%2Fwos%2Fwoscc%2Ffull-record%2F","View Full Record in Web of Science")</f>
        <v>View Full Record in Web of Science</v>
      </c>
    </row>
    <row r="418" spans="1:72" customHeight="1" ht="12.75">
      <c r="A418" t="s">
        <v>72</v>
      </c>
      <c r="B418" t="s">
        <v>3020</v>
      </c>
      <c r="C418"/>
      <c r="D418"/>
      <c r="E418"/>
      <c r="F418" t="s">
        <v>3021</v>
      </c>
      <c r="G418"/>
      <c r="H418"/>
      <c r="I418" t="s">
        <v>3022</v>
      </c>
      <c r="J418" t="s">
        <v>3023</v>
      </c>
      <c r="K418"/>
      <c r="L418"/>
      <c r="M418"/>
      <c r="N418" t="s">
        <v>112</v>
      </c>
      <c r="O418"/>
      <c r="P418"/>
      <c r="Q418"/>
      <c r="R418"/>
      <c r="S418"/>
      <c r="T418" t="s">
        <v>3024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>
        <v>0.0</v>
      </c>
      <c r="AI418">
        <v>0.0</v>
      </c>
      <c r="AJ418"/>
      <c r="AK418"/>
      <c r="AL418"/>
      <c r="AM418"/>
      <c r="AN418"/>
      <c r="AO418" t="s">
        <v>3025</v>
      </c>
      <c r="AP418"/>
      <c r="AQ418"/>
      <c r="AR418"/>
      <c r="AS418"/>
      <c r="AT418" t="s">
        <v>352</v>
      </c>
      <c r="AU418">
        <v>2023</v>
      </c>
      <c r="AV418"/>
      <c r="AW418">
        <v>34</v>
      </c>
      <c r="AX418"/>
      <c r="AY418"/>
      <c r="AZ418"/>
      <c r="BA418"/>
      <c r="BB418">
        <v>162</v>
      </c>
      <c r="BC418">
        <v>179</v>
      </c>
      <c r="BD418"/>
      <c r="BE418" t="s">
        <v>3026</v>
      </c>
      <c r="BF418" t="str">
        <f>HYPERLINK("http://dx.doi.org/10.17141/letrasverdes.34.2023.5960","http://dx.doi.org/10.17141/letrasverdes.34.2023.5960")</f>
        <v>http://dx.doi.org/10.17141/letrasverdes.34.2023.5960</v>
      </c>
      <c r="BG418"/>
      <c r="BH418"/>
      <c r="BI418"/>
      <c r="BJ418" t="s">
        <v>359</v>
      </c>
      <c r="BK418"/>
      <c r="BL418"/>
      <c r="BM418"/>
      <c r="BN418"/>
      <c r="BO418"/>
      <c r="BP418"/>
      <c r="BQ418"/>
      <c r="BR418"/>
      <c r="BS418"/>
      <c r="BT418" t="str">
        <f>HYPERLINK("https%3A%2F%2Fwww.webofscience.com%2Fwos%2Fwoscc%2Ffull-record%2F","View Full Record in Web of Science")</f>
        <v>View Full Record in Web of Science</v>
      </c>
    </row>
    <row r="419" spans="1:72" customHeight="1" ht="12.75">
      <c r="A419" t="s">
        <v>72</v>
      </c>
      <c r="B419" t="s">
        <v>3027</v>
      </c>
      <c r="C419"/>
      <c r="D419"/>
      <c r="E419"/>
      <c r="F419" t="s">
        <v>3028</v>
      </c>
      <c r="G419"/>
      <c r="H419"/>
      <c r="I419" t="s">
        <v>3029</v>
      </c>
      <c r="J419" t="s">
        <v>399</v>
      </c>
      <c r="K419"/>
      <c r="L419"/>
      <c r="M419"/>
      <c r="N419" t="s">
        <v>112</v>
      </c>
      <c r="O419"/>
      <c r="P419"/>
      <c r="Q419"/>
      <c r="R419"/>
      <c r="S419"/>
      <c r="T419" t="s">
        <v>3030</v>
      </c>
      <c r="U419" t="s">
        <v>3031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>
        <v>16</v>
      </c>
      <c r="AI419">
        <v>20</v>
      </c>
      <c r="AJ419"/>
      <c r="AK419"/>
      <c r="AL419"/>
      <c r="AM419"/>
      <c r="AN419"/>
      <c r="AO419" t="s">
        <v>402</v>
      </c>
      <c r="AP419" t="s">
        <v>403</v>
      </c>
      <c r="AQ419"/>
      <c r="AR419"/>
      <c r="AS419"/>
      <c r="AT419" t="s">
        <v>92</v>
      </c>
      <c r="AU419">
        <v>2015</v>
      </c>
      <c r="AV419">
        <v>45</v>
      </c>
      <c r="AW419"/>
      <c r="AX419"/>
      <c r="AY419"/>
      <c r="AZ419" t="s">
        <v>222</v>
      </c>
      <c r="BA419"/>
      <c r="BB419">
        <v>180</v>
      </c>
      <c r="BC419">
        <v>185</v>
      </c>
      <c r="BD419"/>
      <c r="BE419" t="s">
        <v>3032</v>
      </c>
      <c r="BF419" t="str">
        <f>HYPERLINK("http://dx.doi.org/10.1016/j.wasman.2015.03.036","http://dx.doi.org/10.1016/j.wasman.2015.03.036")</f>
        <v>http://dx.doi.org/10.1016/j.wasman.2015.03.036</v>
      </c>
      <c r="BG419"/>
      <c r="BH419"/>
      <c r="BI419"/>
      <c r="BJ419" t="s">
        <v>119</v>
      </c>
      <c r="BK419"/>
      <c r="BL419"/>
      <c r="BM419"/>
      <c r="BN419"/>
      <c r="BO419"/>
      <c r="BP419"/>
      <c r="BQ419"/>
      <c r="BR419"/>
      <c r="BS419"/>
      <c r="BT419" t="str">
        <f>HYPERLINK("https%3A%2F%2Fwww.webofscience.com%2Fwos%2Fwoscc%2Ffull-record%2F","View Full Record in Web of Science")</f>
        <v>View Full Record in Web of Science</v>
      </c>
    </row>
    <row r="420" spans="1:72" customHeight="1" ht="12.75">
      <c r="A420" t="s">
        <v>72</v>
      </c>
      <c r="B420" t="s">
        <v>3033</v>
      </c>
      <c r="C420"/>
      <c r="D420"/>
      <c r="E420"/>
      <c r="F420" t="s">
        <v>3034</v>
      </c>
      <c r="G420"/>
      <c r="H420"/>
      <c r="I420" t="s">
        <v>3035</v>
      </c>
      <c r="J420" t="s">
        <v>3036</v>
      </c>
      <c r="K420"/>
      <c r="L420"/>
      <c r="M420"/>
      <c r="N420" t="s">
        <v>112</v>
      </c>
      <c r="O420"/>
      <c r="P420"/>
      <c r="Q420"/>
      <c r="R420"/>
      <c r="S420"/>
      <c r="T420" t="s">
        <v>3037</v>
      </c>
      <c r="U420" t="s">
        <v>3038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>
        <v>34</v>
      </c>
      <c r="AI420">
        <v>36</v>
      </c>
      <c r="AJ420"/>
      <c r="AK420"/>
      <c r="AL420"/>
      <c r="AM420"/>
      <c r="AN420"/>
      <c r="AO420" t="s">
        <v>3039</v>
      </c>
      <c r="AP420" t="s">
        <v>3040</v>
      </c>
      <c r="AQ420"/>
      <c r="AR420"/>
      <c r="AS420"/>
      <c r="AT420" t="s">
        <v>394</v>
      </c>
      <c r="AU420">
        <v>2020</v>
      </c>
      <c r="AV420">
        <v>35</v>
      </c>
      <c r="AW420">
        <v>1</v>
      </c>
      <c r="AX420"/>
      <c r="AY420"/>
      <c r="AZ420"/>
      <c r="BA420"/>
      <c r="BB420">
        <v>74</v>
      </c>
      <c r="BC420">
        <v>103</v>
      </c>
      <c r="BD420"/>
      <c r="BE420" t="s">
        <v>3041</v>
      </c>
      <c r="BF420" t="str">
        <f>HYPERLINK("http://dx.doi.org/10.14506/ca35.1.08","http://dx.doi.org/10.14506/ca35.1.08")</f>
        <v>http://dx.doi.org/10.14506/ca35.1.08</v>
      </c>
      <c r="BG420"/>
      <c r="BH420"/>
      <c r="BI420"/>
      <c r="BJ420" t="s">
        <v>2708</v>
      </c>
      <c r="BK420"/>
      <c r="BL420"/>
      <c r="BM420"/>
      <c r="BN420"/>
      <c r="BO420"/>
      <c r="BP420"/>
      <c r="BQ420"/>
      <c r="BR420"/>
      <c r="BS420"/>
      <c r="BT420" t="str">
        <f>HYPERLINK("https%3A%2F%2Fwww.webofscience.com%2Fwos%2Fwoscc%2Ffull-record%2F","View Full Record in Web of Science")</f>
        <v>View Full Record in Web of Science</v>
      </c>
    </row>
    <row r="421" spans="1:72" customHeight="1" ht="12.75">
      <c r="A421" t="s">
        <v>72</v>
      </c>
      <c r="B421" t="s">
        <v>3042</v>
      </c>
      <c r="C421"/>
      <c r="D421"/>
      <c r="E421"/>
      <c r="F421" t="s">
        <v>3043</v>
      </c>
      <c r="G421"/>
      <c r="H421"/>
      <c r="I421" t="s">
        <v>3044</v>
      </c>
      <c r="J421" t="s">
        <v>133</v>
      </c>
      <c r="K421"/>
      <c r="L421"/>
      <c r="M421"/>
      <c r="N421" t="s">
        <v>112</v>
      </c>
      <c r="O421"/>
      <c r="P421"/>
      <c r="Q421"/>
      <c r="R421"/>
      <c r="S421"/>
      <c r="T421" t="s">
        <v>3045</v>
      </c>
      <c r="U421" t="s">
        <v>3046</v>
      </c>
      <c r="V421"/>
      <c r="W421"/>
      <c r="X421"/>
      <c r="Y421"/>
      <c r="Z421"/>
      <c r="AA421"/>
      <c r="AB421"/>
      <c r="AC421"/>
      <c r="AD421"/>
      <c r="AE421"/>
      <c r="AF421"/>
      <c r="AG421"/>
      <c r="AH421">
        <v>10</v>
      </c>
      <c r="AI421">
        <v>10</v>
      </c>
      <c r="AJ421"/>
      <c r="AK421"/>
      <c r="AL421"/>
      <c r="AM421"/>
      <c r="AN421"/>
      <c r="AO421" t="s">
        <v>136</v>
      </c>
      <c r="AP421" t="s">
        <v>137</v>
      </c>
      <c r="AQ421"/>
      <c r="AR421"/>
      <c r="AS421"/>
      <c r="AT421" t="s">
        <v>198</v>
      </c>
      <c r="AU421">
        <v>2017</v>
      </c>
      <c r="AV421">
        <v>21</v>
      </c>
      <c r="AW421">
        <v>5</v>
      </c>
      <c r="AX421"/>
      <c r="AY421"/>
      <c r="AZ421"/>
      <c r="BA421"/>
      <c r="BB421">
        <v>1250</v>
      </c>
      <c r="BC421">
        <v>1261</v>
      </c>
      <c r="BD421"/>
      <c r="BE421" t="s">
        <v>3047</v>
      </c>
      <c r="BF421" t="str">
        <f>HYPERLINK("http://dx.doi.org/10.1111/jiec.12474","http://dx.doi.org/10.1111/jiec.12474")</f>
        <v>http://dx.doi.org/10.1111/jiec.12474</v>
      </c>
      <c r="BG421"/>
      <c r="BH421"/>
      <c r="BI421"/>
      <c r="BJ421" t="s">
        <v>139</v>
      </c>
      <c r="BK421"/>
      <c r="BL421"/>
      <c r="BM421"/>
      <c r="BN421"/>
      <c r="BO421"/>
      <c r="BP421"/>
      <c r="BQ421"/>
      <c r="BR421"/>
      <c r="BS421"/>
      <c r="BT421" t="str">
        <f>HYPERLINK("https%3A%2F%2Fwww.webofscience.com%2Fwos%2Fwoscc%2Ffull-record%2F","View Full Record in Web of Science")</f>
        <v>View Full Record in Web of Science</v>
      </c>
    </row>
    <row r="422" spans="1:72" customHeight="1" ht="12.75">
      <c r="A422" t="s">
        <v>72</v>
      </c>
      <c r="B422" t="s">
        <v>3048</v>
      </c>
      <c r="C422"/>
      <c r="D422"/>
      <c r="E422"/>
      <c r="F422" t="s">
        <v>3049</v>
      </c>
      <c r="G422"/>
      <c r="H422"/>
      <c r="I422" t="s">
        <v>3050</v>
      </c>
      <c r="J422" t="s">
        <v>133</v>
      </c>
      <c r="K422"/>
      <c r="L422"/>
      <c r="M422"/>
      <c r="N422" t="s">
        <v>112</v>
      </c>
      <c r="O422"/>
      <c r="P422"/>
      <c r="Q422"/>
      <c r="R422"/>
      <c r="S422"/>
      <c r="T422" t="s">
        <v>3051</v>
      </c>
      <c r="U422" t="s">
        <v>457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>
        <v>29</v>
      </c>
      <c r="AI422">
        <v>33</v>
      </c>
      <c r="AJ422"/>
      <c r="AK422"/>
      <c r="AL422"/>
      <c r="AM422"/>
      <c r="AN422"/>
      <c r="AO422" t="s">
        <v>136</v>
      </c>
      <c r="AP422" t="s">
        <v>137</v>
      </c>
      <c r="AQ422"/>
      <c r="AR422"/>
      <c r="AS422"/>
      <c r="AT422" t="s">
        <v>154</v>
      </c>
      <c r="AU422">
        <v>2015</v>
      </c>
      <c r="AV422">
        <v>19</v>
      </c>
      <c r="AW422">
        <v>4</v>
      </c>
      <c r="AX422"/>
      <c r="AY422"/>
      <c r="AZ422"/>
      <c r="BA422"/>
      <c r="BB422">
        <v>656</v>
      </c>
      <c r="BC422">
        <v>665</v>
      </c>
      <c r="BD422"/>
      <c r="BE422" t="s">
        <v>3052</v>
      </c>
      <c r="BF422" t="str">
        <f>HYPERLINK("http://dx.doi.org/10.1111/jiec.12240","http://dx.doi.org/10.1111/jiec.12240")</f>
        <v>http://dx.doi.org/10.1111/jiec.12240</v>
      </c>
      <c r="BG422"/>
      <c r="BH422"/>
      <c r="BI422"/>
      <c r="BJ422" t="s">
        <v>139</v>
      </c>
      <c r="BK422"/>
      <c r="BL422"/>
      <c r="BM422"/>
      <c r="BN422"/>
      <c r="BO422"/>
      <c r="BP422"/>
      <c r="BQ422"/>
      <c r="BR422"/>
      <c r="BS422"/>
      <c r="BT422" t="str">
        <f>HYPERLINK("https%3A%2F%2Fwww.webofscience.com%2Fwos%2Fwoscc%2Ffull-record%2F","View Full Record in Web of Science")</f>
        <v>View Full Record in Web of Science</v>
      </c>
    </row>
    <row r="423" spans="1:72" customHeight="1" ht="12.75">
      <c r="A423" t="s">
        <v>72</v>
      </c>
      <c r="B423" t="s">
        <v>3053</v>
      </c>
      <c r="C423"/>
      <c r="D423"/>
      <c r="E423"/>
      <c r="F423" t="s">
        <v>3054</v>
      </c>
      <c r="G423"/>
      <c r="H423"/>
      <c r="I423" t="s">
        <v>3055</v>
      </c>
      <c r="J423" t="s">
        <v>3056</v>
      </c>
      <c r="K423"/>
      <c r="L423"/>
      <c r="M423"/>
      <c r="N423" t="s">
        <v>112</v>
      </c>
      <c r="O423"/>
      <c r="P423"/>
      <c r="Q423"/>
      <c r="R423"/>
      <c r="S423"/>
      <c r="T423" t="s">
        <v>3057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>
        <v>2</v>
      </c>
      <c r="AI423">
        <v>3</v>
      </c>
      <c r="AJ423"/>
      <c r="AK423"/>
      <c r="AL423"/>
      <c r="AM423"/>
      <c r="AN423"/>
      <c r="AO423" t="s">
        <v>3058</v>
      </c>
      <c r="AP423" t="s">
        <v>3059</v>
      </c>
      <c r="AQ423"/>
      <c r="AR423"/>
      <c r="AS423"/>
      <c r="AT423"/>
      <c r="AU423">
        <v>2018</v>
      </c>
      <c r="AV423">
        <v>31</v>
      </c>
      <c r="AW423">
        <v>9</v>
      </c>
      <c r="AX423"/>
      <c r="AY423"/>
      <c r="AZ423"/>
      <c r="BA423"/>
      <c r="BB423">
        <v>1030</v>
      </c>
      <c r="BC423">
        <v>1044</v>
      </c>
      <c r="BD423"/>
      <c r="BE423" t="s">
        <v>3060</v>
      </c>
      <c r="BF423" t="str">
        <f>HYPERLINK("http://dx.doi.org/10.1080/08941920.2018.1475586","http://dx.doi.org/10.1080/08941920.2018.1475586")</f>
        <v>http://dx.doi.org/10.1080/08941920.2018.1475586</v>
      </c>
      <c r="BG423"/>
      <c r="BH423"/>
      <c r="BI423"/>
      <c r="BJ423" t="s">
        <v>3061</v>
      </c>
      <c r="BK423"/>
      <c r="BL423"/>
      <c r="BM423"/>
      <c r="BN423"/>
      <c r="BO423"/>
      <c r="BP423"/>
      <c r="BQ423"/>
      <c r="BR423"/>
      <c r="BS423"/>
      <c r="BT423" t="str">
        <f>HYPERLINK("https%3A%2F%2Fwww.webofscience.com%2Fwos%2Fwoscc%2Ffull-record%2F","View Full Record in Web of Science")</f>
        <v>View Full Record in Web of Science</v>
      </c>
    </row>
    <row r="424" spans="1:72" customHeight="1" ht="12.75">
      <c r="A424" t="s">
        <v>72</v>
      </c>
      <c r="B424" t="s">
        <v>3062</v>
      </c>
      <c r="C424"/>
      <c r="D424"/>
      <c r="E424"/>
      <c r="F424" t="s">
        <v>3063</v>
      </c>
      <c r="G424"/>
      <c r="H424"/>
      <c r="I424" t="s">
        <v>3064</v>
      </c>
      <c r="J424" t="s">
        <v>3065</v>
      </c>
      <c r="K424"/>
      <c r="L424"/>
      <c r="M424"/>
      <c r="N424" t="s">
        <v>112</v>
      </c>
      <c r="O424"/>
      <c r="P424"/>
      <c r="Q424"/>
      <c r="R424"/>
      <c r="S424"/>
      <c r="T424" t="s">
        <v>3066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>
        <v>2</v>
      </c>
      <c r="AI424">
        <v>2</v>
      </c>
      <c r="AJ424"/>
      <c r="AK424"/>
      <c r="AL424"/>
      <c r="AM424"/>
      <c r="AN424"/>
      <c r="AO424" t="s">
        <v>3067</v>
      </c>
      <c r="AP424" t="s">
        <v>3068</v>
      </c>
      <c r="AQ424"/>
      <c r="AR424"/>
      <c r="AS424"/>
      <c r="AT424" t="s">
        <v>3069</v>
      </c>
      <c r="AU424">
        <v>2022</v>
      </c>
      <c r="AV424">
        <v>198</v>
      </c>
      <c r="AW424">
        <v>803</v>
      </c>
      <c r="AX424"/>
      <c r="AY424"/>
      <c r="AZ424"/>
      <c r="BA424"/>
      <c r="BB424"/>
      <c r="BC424"/>
      <c r="BD424" t="s">
        <v>3070</v>
      </c>
      <c r="BE424" t="s">
        <v>3071</v>
      </c>
      <c r="BF424" t="str">
        <f>HYPERLINK("http://dx.doi.org/10.3989/arbor.2022.803-804003","http://dx.doi.org/10.3989/arbor.2022.803-804003")</f>
        <v>http://dx.doi.org/10.3989/arbor.2022.803-804003</v>
      </c>
      <c r="BG424"/>
      <c r="BH424"/>
      <c r="BI424"/>
      <c r="BJ424" t="s">
        <v>3072</v>
      </c>
      <c r="BK424"/>
      <c r="BL424"/>
      <c r="BM424"/>
      <c r="BN424"/>
      <c r="BO424"/>
      <c r="BP424"/>
      <c r="BQ424"/>
      <c r="BR424"/>
      <c r="BS424"/>
      <c r="BT424" t="str">
        <f>HYPERLINK("https%3A%2F%2Fwww.webofscience.com%2Fwos%2Fwoscc%2Ffull-record%2F","View Full Record in Web of Science")</f>
        <v>View Full Record in Web of Science</v>
      </c>
    </row>
    <row r="425" spans="1:72" customHeight="1" ht="12.75">
      <c r="A425" t="s">
        <v>72</v>
      </c>
      <c r="B425" t="s">
        <v>3073</v>
      </c>
      <c r="C425"/>
      <c r="D425"/>
      <c r="E425"/>
      <c r="F425" t="s">
        <v>3074</v>
      </c>
      <c r="G425"/>
      <c r="H425"/>
      <c r="I425" t="s">
        <v>3075</v>
      </c>
      <c r="J425" t="s">
        <v>3076</v>
      </c>
      <c r="K425"/>
      <c r="L425"/>
      <c r="M425"/>
      <c r="N425" t="s">
        <v>112</v>
      </c>
      <c r="O425"/>
      <c r="P425"/>
      <c r="Q425"/>
      <c r="R425"/>
      <c r="S425"/>
      <c r="T425" t="s">
        <v>3077</v>
      </c>
      <c r="U425" t="s">
        <v>3078</v>
      </c>
      <c r="V425"/>
      <c r="W425"/>
      <c r="X425"/>
      <c r="Y425"/>
      <c r="Z425"/>
      <c r="AA425"/>
      <c r="AB425"/>
      <c r="AC425"/>
      <c r="AD425"/>
      <c r="AE425"/>
      <c r="AF425"/>
      <c r="AG425"/>
      <c r="AH425">
        <v>0.0</v>
      </c>
      <c r="AI425">
        <v>0.0</v>
      </c>
      <c r="AJ425"/>
      <c r="AK425"/>
      <c r="AL425"/>
      <c r="AM425"/>
      <c r="AN425"/>
      <c r="AO425" t="s">
        <v>3079</v>
      </c>
      <c r="AP425" t="s">
        <v>3080</v>
      </c>
      <c r="AQ425"/>
      <c r="AR425"/>
      <c r="AS425"/>
      <c r="AT425" t="s">
        <v>117</v>
      </c>
      <c r="AU425">
        <v>2023</v>
      </c>
      <c r="AV425"/>
      <c r="AW425">
        <v>84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 t="s">
        <v>3081</v>
      </c>
      <c r="BK425"/>
      <c r="BL425"/>
      <c r="BM425"/>
      <c r="BN425"/>
      <c r="BO425"/>
      <c r="BP425"/>
      <c r="BQ425"/>
      <c r="BR425"/>
      <c r="BS425"/>
      <c r="BT425" t="str">
        <f>HYPERLINK("https%3A%2F%2Fwww.webofscience.com%2Fwos%2Fwoscc%2Ffull-record%2F","View Full Record in Web of Science")</f>
        <v>View Full Record in Web of Science</v>
      </c>
    </row>
    <row r="426" spans="1:72" customHeight="1" ht="12.75">
      <c r="A426" t="s">
        <v>72</v>
      </c>
      <c r="B426" t="s">
        <v>3082</v>
      </c>
      <c r="C426"/>
      <c r="D426"/>
      <c r="E426"/>
      <c r="F426" t="s">
        <v>3083</v>
      </c>
      <c r="G426"/>
      <c r="H426"/>
      <c r="I426" t="s">
        <v>3084</v>
      </c>
      <c r="J426" t="s">
        <v>3036</v>
      </c>
      <c r="K426"/>
      <c r="L426"/>
      <c r="M426"/>
      <c r="N426" t="s">
        <v>112</v>
      </c>
      <c r="O426"/>
      <c r="P426"/>
      <c r="Q426"/>
      <c r="R426"/>
      <c r="S426"/>
      <c r="T426" t="s">
        <v>3085</v>
      </c>
      <c r="U426" t="s">
        <v>3086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>
        <v>2</v>
      </c>
      <c r="AI426">
        <v>2</v>
      </c>
      <c r="AJ426"/>
      <c r="AK426"/>
      <c r="AL426"/>
      <c r="AM426"/>
      <c r="AN426"/>
      <c r="AO426" t="s">
        <v>3039</v>
      </c>
      <c r="AP426" t="s">
        <v>3040</v>
      </c>
      <c r="AQ426"/>
      <c r="AR426"/>
      <c r="AS426"/>
      <c r="AT426" t="s">
        <v>92</v>
      </c>
      <c r="AU426">
        <v>2021</v>
      </c>
      <c r="AV426">
        <v>36</v>
      </c>
      <c r="AW426">
        <v>4</v>
      </c>
      <c r="AX426"/>
      <c r="AY426"/>
      <c r="AZ426"/>
      <c r="BA426"/>
      <c r="BB426">
        <v>708</v>
      </c>
      <c r="BC426">
        <v>732</v>
      </c>
      <c r="BD426"/>
      <c r="BE426" t="s">
        <v>3087</v>
      </c>
      <c r="BF426" t="str">
        <f>HYPERLINK("http://dx.doi.org/10.14506/ca36.4.11","http://dx.doi.org/10.14506/ca36.4.11")</f>
        <v>http://dx.doi.org/10.14506/ca36.4.11</v>
      </c>
      <c r="BG426"/>
      <c r="BH426"/>
      <c r="BI426"/>
      <c r="BJ426" t="s">
        <v>2708</v>
      </c>
      <c r="BK426"/>
      <c r="BL426"/>
      <c r="BM426"/>
      <c r="BN426"/>
      <c r="BO426"/>
      <c r="BP426"/>
      <c r="BQ426"/>
      <c r="BR426"/>
      <c r="BS426"/>
      <c r="BT426" t="str">
        <f>HYPERLINK("https%3A%2F%2Fwww.webofscience.com%2Fwos%2Fwoscc%2Ffull-record%2F","View Full Record in Web of Science")</f>
        <v>View Full Record in Web of Science</v>
      </c>
    </row>
    <row r="427" spans="1:72" customHeight="1" ht="12.75">
      <c r="A427" t="s">
        <v>72</v>
      </c>
      <c r="B427" t="s">
        <v>3088</v>
      </c>
      <c r="C427"/>
      <c r="D427"/>
      <c r="E427"/>
      <c r="F427" t="s">
        <v>3089</v>
      </c>
      <c r="G427"/>
      <c r="H427"/>
      <c r="I427" t="s">
        <v>3090</v>
      </c>
      <c r="J427" t="s">
        <v>1360</v>
      </c>
      <c r="K427"/>
      <c r="L427"/>
      <c r="M427"/>
      <c r="N427" t="s">
        <v>112</v>
      </c>
      <c r="O427"/>
      <c r="P427"/>
      <c r="Q427"/>
      <c r="R427"/>
      <c r="S427"/>
      <c r="T427" t="s">
        <v>3091</v>
      </c>
      <c r="U427" t="s">
        <v>3092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>
        <v>74</v>
      </c>
      <c r="AI427">
        <v>76</v>
      </c>
      <c r="AJ427"/>
      <c r="AK427"/>
      <c r="AL427"/>
      <c r="AM427"/>
      <c r="AN427"/>
      <c r="AO427" t="s">
        <v>1363</v>
      </c>
      <c r="AP427" t="s">
        <v>1364</v>
      </c>
      <c r="AQ427"/>
      <c r="AR427"/>
      <c r="AS427"/>
      <c r="AT427" t="s">
        <v>688</v>
      </c>
      <c r="AU427">
        <v>2018</v>
      </c>
      <c r="AV427">
        <v>227</v>
      </c>
      <c r="AW427"/>
      <c r="AX427"/>
      <c r="AY427"/>
      <c r="AZ427" t="s">
        <v>222</v>
      </c>
      <c r="BA427"/>
      <c r="BB427">
        <v>342</v>
      </c>
      <c r="BC427">
        <v>352</v>
      </c>
      <c r="BD427"/>
      <c r="BE427" t="s">
        <v>3093</v>
      </c>
      <c r="BF427" t="str">
        <f>HYPERLINK("http://dx.doi.org/10.1016/j.apenergy.2018.01.028","http://dx.doi.org/10.1016/j.apenergy.2018.01.028")</f>
        <v>http://dx.doi.org/10.1016/j.apenergy.2018.01.028</v>
      </c>
      <c r="BG427"/>
      <c r="BH427"/>
      <c r="BI427"/>
      <c r="BJ427" t="s">
        <v>1367</v>
      </c>
      <c r="BK427"/>
      <c r="BL427"/>
      <c r="BM427"/>
      <c r="BN427"/>
      <c r="BO427"/>
      <c r="BP427"/>
      <c r="BQ427"/>
      <c r="BR427"/>
      <c r="BS427"/>
      <c r="BT427" t="str">
        <f>HYPERLINK("https%3A%2F%2Fwww.webofscience.com%2Fwos%2Fwoscc%2Ffull-record%2F","View Full Record in Web of Science")</f>
        <v>View Full Record in Web of Science</v>
      </c>
    </row>
    <row r="428" spans="1:72" customHeight="1" ht="12.75">
      <c r="A428" t="s">
        <v>72</v>
      </c>
      <c r="B428" t="s">
        <v>3094</v>
      </c>
      <c r="C428"/>
      <c r="D428"/>
      <c r="E428"/>
      <c r="F428" t="s">
        <v>3095</v>
      </c>
      <c r="G428"/>
      <c r="H428"/>
      <c r="I428" t="s">
        <v>3096</v>
      </c>
      <c r="J428" t="s">
        <v>3097</v>
      </c>
      <c r="K428"/>
      <c r="L428"/>
      <c r="M428"/>
      <c r="N428" t="s">
        <v>167</v>
      </c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>
        <v>3</v>
      </c>
      <c r="AI428">
        <v>3</v>
      </c>
      <c r="AJ428"/>
      <c r="AK428"/>
      <c r="AL428"/>
      <c r="AM428"/>
      <c r="AN428"/>
      <c r="AO428" t="s">
        <v>3098</v>
      </c>
      <c r="AP428" t="s">
        <v>3099</v>
      </c>
      <c r="AQ428"/>
      <c r="AR428"/>
      <c r="AS428"/>
      <c r="AT428" t="s">
        <v>404</v>
      </c>
      <c r="AU428">
        <v>2014</v>
      </c>
      <c r="AV428">
        <v>71</v>
      </c>
      <c r="AW428">
        <v>2</v>
      </c>
      <c r="AX428"/>
      <c r="AY428"/>
      <c r="AZ428" t="s">
        <v>222</v>
      </c>
      <c r="BA428"/>
      <c r="BB428">
        <v>983</v>
      </c>
      <c r="BC428">
        <v>990</v>
      </c>
      <c r="BD428"/>
      <c r="BE428" t="s">
        <v>3100</v>
      </c>
      <c r="BF428" t="str">
        <f>HYPERLINK("http://dx.doi.org/10.1007/s12665-013-2866-1","http://dx.doi.org/10.1007/s12665-013-2866-1")</f>
        <v>http://dx.doi.org/10.1007/s12665-013-2866-1</v>
      </c>
      <c r="BG428"/>
      <c r="BH428"/>
      <c r="BI428"/>
      <c r="BJ428" t="s">
        <v>3101</v>
      </c>
      <c r="BK428"/>
      <c r="BL428"/>
      <c r="BM428"/>
      <c r="BN428"/>
      <c r="BO428"/>
      <c r="BP428"/>
      <c r="BQ428"/>
      <c r="BR428"/>
      <c r="BS428"/>
      <c r="BT428" t="str">
        <f>HYPERLINK("https%3A%2F%2Fwww.webofscience.com%2Fwos%2Fwoscc%2Ffull-record%2F","View Full Record in Web of Science")</f>
        <v>View Full Record in Web of Science</v>
      </c>
    </row>
    <row r="429" spans="1:72" customHeight="1" ht="12.75">
      <c r="A429" t="s">
        <v>72</v>
      </c>
      <c r="B429" t="s">
        <v>3102</v>
      </c>
      <c r="C429"/>
      <c r="D429"/>
      <c r="E429"/>
      <c r="F429" t="s">
        <v>3103</v>
      </c>
      <c r="G429"/>
      <c r="H429"/>
      <c r="I429" t="s">
        <v>3104</v>
      </c>
      <c r="J429" t="s">
        <v>3105</v>
      </c>
      <c r="K429"/>
      <c r="L429"/>
      <c r="M429"/>
      <c r="N429" t="s">
        <v>77</v>
      </c>
      <c r="O429"/>
      <c r="P429"/>
      <c r="Q429"/>
      <c r="R429"/>
      <c r="S429"/>
      <c r="T429" t="s">
        <v>3106</v>
      </c>
      <c r="U429" t="s">
        <v>3107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>
        <v>0.0</v>
      </c>
      <c r="AI429">
        <v>0.0</v>
      </c>
      <c r="AJ429"/>
      <c r="AK429"/>
      <c r="AL429"/>
      <c r="AM429"/>
      <c r="AN429"/>
      <c r="AO429"/>
      <c r="AP429" t="s">
        <v>3108</v>
      </c>
      <c r="AQ429"/>
      <c r="AR429"/>
      <c r="AS429"/>
      <c r="AT429" t="s">
        <v>404</v>
      </c>
      <c r="AU429">
        <v>2024</v>
      </c>
      <c r="AV429">
        <v>12</v>
      </c>
      <c r="AW429">
        <v>1</v>
      </c>
      <c r="AX429"/>
      <c r="AY429"/>
      <c r="AZ429"/>
      <c r="BA429"/>
      <c r="BB429"/>
      <c r="BC429"/>
      <c r="BD429">
        <v>16</v>
      </c>
      <c r="BE429" t="s">
        <v>3109</v>
      </c>
      <c r="BF429" t="str">
        <f>HYPERLINK("http://dx.doi.org/10.3390/machines12010016","http://dx.doi.org/10.3390/machines12010016")</f>
        <v>http://dx.doi.org/10.3390/machines12010016</v>
      </c>
      <c r="BG429"/>
      <c r="BH429"/>
      <c r="BI429"/>
      <c r="BJ429" t="s">
        <v>3110</v>
      </c>
      <c r="BK429"/>
      <c r="BL429"/>
      <c r="BM429"/>
      <c r="BN429"/>
      <c r="BO429"/>
      <c r="BP429"/>
      <c r="BQ429"/>
      <c r="BR429"/>
      <c r="BS429"/>
      <c r="BT429" t="str">
        <f>HYPERLINK("https%3A%2F%2Fwww.webofscience.com%2Fwos%2Fwoscc%2Ffull-record%2F","View Full Record in Web of Science")</f>
        <v>View Full Record in Web of Science</v>
      </c>
    </row>
    <row r="430" spans="1:72" customHeight="1" ht="12.75">
      <c r="A430" t="s">
        <v>72</v>
      </c>
      <c r="B430" t="s">
        <v>3111</v>
      </c>
      <c r="C430"/>
      <c r="D430"/>
      <c r="E430"/>
      <c r="F430" t="s">
        <v>3111</v>
      </c>
      <c r="G430"/>
      <c r="H430"/>
      <c r="I430" t="s">
        <v>3112</v>
      </c>
      <c r="J430" t="s">
        <v>3113</v>
      </c>
      <c r="K430"/>
      <c r="L430"/>
      <c r="M430"/>
      <c r="N430" t="s">
        <v>112</v>
      </c>
      <c r="O430"/>
      <c r="P430"/>
      <c r="Q430"/>
      <c r="R430"/>
      <c r="S430"/>
      <c r="T430" t="s">
        <v>3114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>
        <v>52</v>
      </c>
      <c r="AI430">
        <v>56</v>
      </c>
      <c r="AJ430"/>
      <c r="AK430"/>
      <c r="AL430"/>
      <c r="AM430"/>
      <c r="AN430"/>
      <c r="AO430" t="s">
        <v>3115</v>
      </c>
      <c r="AP430"/>
      <c r="AQ430"/>
      <c r="AR430"/>
      <c r="AS430"/>
      <c r="AT430" t="s">
        <v>198</v>
      </c>
      <c r="AU430">
        <v>1997</v>
      </c>
      <c r="AV430">
        <v>7</v>
      </c>
      <c r="AW430">
        <v>3</v>
      </c>
      <c r="AX430"/>
      <c r="AY430"/>
      <c r="AZ430"/>
      <c r="BA430"/>
      <c r="BB430">
        <v>205</v>
      </c>
      <c r="BC430">
        <v>234</v>
      </c>
      <c r="BD430"/>
      <c r="BE430" t="s">
        <v>3116</v>
      </c>
      <c r="BF430" t="str">
        <f>HYPERLINK("http://dx.doi.org/10.1016/S0959-3780(97)00009-5","http://dx.doi.org/10.1016/S0959-3780(97)00009-5")</f>
        <v>http://dx.doi.org/10.1016/S0959-3780(97)00009-5</v>
      </c>
      <c r="BG430"/>
      <c r="BH430"/>
      <c r="BI430"/>
      <c r="BJ430" t="s">
        <v>3117</v>
      </c>
      <c r="BK430"/>
      <c r="BL430"/>
      <c r="BM430"/>
      <c r="BN430"/>
      <c r="BO430"/>
      <c r="BP430"/>
      <c r="BQ430"/>
      <c r="BR430"/>
      <c r="BS430"/>
      <c r="BT430" t="str">
        <f>HYPERLINK("https%3A%2F%2Fwww.webofscience.com%2Fwos%2Fwoscc%2Ffull-record%2F","View Full Record in Web of Science")</f>
        <v>View Full Record in Web of Science</v>
      </c>
    </row>
    <row r="431" spans="1:72" customHeight="1" ht="12.75">
      <c r="A431" t="s">
        <v>72</v>
      </c>
      <c r="B431" t="s">
        <v>3118</v>
      </c>
      <c r="C431"/>
      <c r="D431"/>
      <c r="E431"/>
      <c r="F431" t="s">
        <v>3119</v>
      </c>
      <c r="G431"/>
      <c r="H431"/>
      <c r="I431" t="s">
        <v>3120</v>
      </c>
      <c r="J431" t="s">
        <v>2851</v>
      </c>
      <c r="K431"/>
      <c r="L431"/>
      <c r="M431"/>
      <c r="N431" t="s">
        <v>77</v>
      </c>
      <c r="O431"/>
      <c r="P431"/>
      <c r="Q431"/>
      <c r="R431"/>
      <c r="S431"/>
      <c r="T431" t="s">
        <v>3121</v>
      </c>
      <c r="U431" t="s">
        <v>3122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>
        <v>27</v>
      </c>
      <c r="AI431">
        <v>28</v>
      </c>
      <c r="AJ431"/>
      <c r="AK431"/>
      <c r="AL431"/>
      <c r="AM431"/>
      <c r="AN431"/>
      <c r="AO431" t="s">
        <v>2854</v>
      </c>
      <c r="AP431" t="s">
        <v>2855</v>
      </c>
      <c r="AQ431"/>
      <c r="AR431"/>
      <c r="AS431"/>
      <c r="AT431" t="s">
        <v>362</v>
      </c>
      <c r="AU431">
        <v>2020</v>
      </c>
      <c r="AV431">
        <v>306</v>
      </c>
      <c r="AW431"/>
      <c r="AX431"/>
      <c r="AY431"/>
      <c r="AZ431"/>
      <c r="BA431"/>
      <c r="BB431"/>
      <c r="BC431"/>
      <c r="BD431">
        <v>123098</v>
      </c>
      <c r="BE431" t="s">
        <v>3123</v>
      </c>
      <c r="BF431" t="str">
        <f>HYPERLINK("http://dx.doi.org/10.1016/j.biortech.2020.123098","http://dx.doi.org/10.1016/j.biortech.2020.123098")</f>
        <v>http://dx.doi.org/10.1016/j.biortech.2020.123098</v>
      </c>
      <c r="BG431"/>
      <c r="BH431"/>
      <c r="BI431"/>
      <c r="BJ431" t="s">
        <v>2857</v>
      </c>
      <c r="BK431"/>
      <c r="BL431"/>
      <c r="BM431"/>
      <c r="BN431"/>
      <c r="BO431"/>
      <c r="BP431"/>
      <c r="BQ431"/>
      <c r="BR431"/>
      <c r="BS431"/>
      <c r="BT431" t="str">
        <f>HYPERLINK("https%3A%2F%2Fwww.webofscience.com%2Fwos%2Fwoscc%2Ffull-record%2F","View Full Record in Web of Science")</f>
        <v>View Full Record in Web of Science</v>
      </c>
    </row>
    <row r="432" spans="1:72" customHeight="1" ht="12.75">
      <c r="A432" t="s">
        <v>72</v>
      </c>
      <c r="B432" t="s">
        <v>3124</v>
      </c>
      <c r="C432"/>
      <c r="D432"/>
      <c r="E432"/>
      <c r="F432" t="s">
        <v>3125</v>
      </c>
      <c r="G432"/>
      <c r="H432"/>
      <c r="I432" t="s">
        <v>3126</v>
      </c>
      <c r="J432" t="s">
        <v>510</v>
      </c>
      <c r="K432"/>
      <c r="L432"/>
      <c r="M432"/>
      <c r="N432" t="s">
        <v>112</v>
      </c>
      <c r="O432"/>
      <c r="P432"/>
      <c r="Q432"/>
      <c r="R432"/>
      <c r="S432"/>
      <c r="T432" t="s">
        <v>3127</v>
      </c>
      <c r="U432" t="s">
        <v>3128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>
        <v>24</v>
      </c>
      <c r="AI432">
        <v>28</v>
      </c>
      <c r="AJ432"/>
      <c r="AK432"/>
      <c r="AL432"/>
      <c r="AM432"/>
      <c r="AN432"/>
      <c r="AO432" t="s">
        <v>511</v>
      </c>
      <c r="AP432" t="s">
        <v>512</v>
      </c>
      <c r="AQ432"/>
      <c r="AR432"/>
      <c r="AS432"/>
      <c r="AT432" t="s">
        <v>2441</v>
      </c>
      <c r="AU432">
        <v>2013</v>
      </c>
      <c r="AV432">
        <v>252</v>
      </c>
      <c r="AW432"/>
      <c r="AX432"/>
      <c r="AY432"/>
      <c r="AZ432" t="s">
        <v>222</v>
      </c>
      <c r="BA432"/>
      <c r="BB432">
        <v>106</v>
      </c>
      <c r="BC432">
        <v>113</v>
      </c>
      <c r="BD432"/>
      <c r="BE432" t="s">
        <v>3129</v>
      </c>
      <c r="BF432" t="str">
        <f>HYPERLINK("http://dx.doi.org/10.1016/j.ecolmodel.2012.08.017","http://dx.doi.org/10.1016/j.ecolmodel.2012.08.017")</f>
        <v>http://dx.doi.org/10.1016/j.ecolmodel.2012.08.017</v>
      </c>
      <c r="BG432"/>
      <c r="BH432"/>
      <c r="BI432"/>
      <c r="BJ432" t="s">
        <v>181</v>
      </c>
      <c r="BK432"/>
      <c r="BL432"/>
      <c r="BM432"/>
      <c r="BN432"/>
      <c r="BO432"/>
      <c r="BP432"/>
      <c r="BQ432"/>
      <c r="BR432"/>
      <c r="BS432"/>
      <c r="BT432" t="str">
        <f>HYPERLINK("https%3A%2F%2Fwww.webofscience.com%2Fwos%2Fwoscc%2Ffull-record%2F","View Full Record in Web of Science")</f>
        <v>View Full Record in Web of Science</v>
      </c>
    </row>
    <row r="433" spans="1:72" customHeight="1" ht="12.75">
      <c r="A433" t="s">
        <v>72</v>
      </c>
      <c r="B433" t="s">
        <v>3130</v>
      </c>
      <c r="C433"/>
      <c r="D433"/>
      <c r="E433"/>
      <c r="F433" t="s">
        <v>3131</v>
      </c>
      <c r="G433"/>
      <c r="H433"/>
      <c r="I433" t="s">
        <v>3132</v>
      </c>
      <c r="J433" t="s">
        <v>457</v>
      </c>
      <c r="K433"/>
      <c r="L433"/>
      <c r="M433"/>
      <c r="N433" t="s">
        <v>112</v>
      </c>
      <c r="O433"/>
      <c r="P433"/>
      <c r="Q433"/>
      <c r="R433"/>
      <c r="S433"/>
      <c r="T433" t="s">
        <v>3133</v>
      </c>
      <c r="U433" t="s">
        <v>3134</v>
      </c>
      <c r="V433"/>
      <c r="W433"/>
      <c r="X433"/>
      <c r="Y433"/>
      <c r="Z433"/>
      <c r="AA433"/>
      <c r="AB433"/>
      <c r="AC433"/>
      <c r="AD433"/>
      <c r="AE433"/>
      <c r="AF433"/>
      <c r="AG433"/>
      <c r="AH433">
        <v>0.0</v>
      </c>
      <c r="AI433">
        <v>0.0</v>
      </c>
      <c r="AJ433"/>
      <c r="AK433"/>
      <c r="AL433"/>
      <c r="AM433"/>
      <c r="AN433"/>
      <c r="AO433"/>
      <c r="AP433" t="s">
        <v>458</v>
      </c>
      <c r="AQ433"/>
      <c r="AR433"/>
      <c r="AS433"/>
      <c r="AT433" t="s">
        <v>404</v>
      </c>
      <c r="AU433">
        <v>2024</v>
      </c>
      <c r="AV433">
        <v>16</v>
      </c>
      <c r="AW433">
        <v>2</v>
      </c>
      <c r="AX433"/>
      <c r="AY433"/>
      <c r="AZ433"/>
      <c r="BA433"/>
      <c r="BB433"/>
      <c r="BC433"/>
      <c r="BD433">
        <v>603</v>
      </c>
      <c r="BE433" t="s">
        <v>3135</v>
      </c>
      <c r="BF433" t="str">
        <f>HYPERLINK("http://dx.doi.org/10.3390/su16020603","http://dx.doi.org/10.3390/su16020603")</f>
        <v>http://dx.doi.org/10.3390/su16020603</v>
      </c>
      <c r="BG433"/>
      <c r="BH433"/>
      <c r="BI433"/>
      <c r="BJ433" t="s">
        <v>460</v>
      </c>
      <c r="BK433"/>
      <c r="BL433"/>
      <c r="BM433"/>
      <c r="BN433"/>
      <c r="BO433"/>
      <c r="BP433"/>
      <c r="BQ433"/>
      <c r="BR433"/>
      <c r="BS433"/>
      <c r="BT433" t="str">
        <f>HYPERLINK("https%3A%2F%2Fwww.webofscience.com%2Fwos%2Fwoscc%2Ffull-record%2F","View Full Record in Web of Science")</f>
        <v>View Full Record in Web of Science</v>
      </c>
    </row>
    <row r="434" spans="1:72" customHeight="1" ht="12.75">
      <c r="A434" t="s">
        <v>72</v>
      </c>
      <c r="B434" t="s">
        <v>3136</v>
      </c>
      <c r="C434"/>
      <c r="D434"/>
      <c r="E434"/>
      <c r="F434" t="s">
        <v>3137</v>
      </c>
      <c r="G434"/>
      <c r="H434"/>
      <c r="I434" t="s">
        <v>3138</v>
      </c>
      <c r="J434" t="s">
        <v>572</v>
      </c>
      <c r="K434"/>
      <c r="L434"/>
      <c r="M434"/>
      <c r="N434" t="s">
        <v>99</v>
      </c>
      <c r="O434"/>
      <c r="P434"/>
      <c r="Q434"/>
      <c r="R434"/>
      <c r="S434"/>
      <c r="T434" t="s">
        <v>3139</v>
      </c>
      <c r="U434" t="s">
        <v>3140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>
        <v>7</v>
      </c>
      <c r="AI434">
        <v>7</v>
      </c>
      <c r="AJ434"/>
      <c r="AK434"/>
      <c r="AL434"/>
      <c r="AM434"/>
      <c r="AN434"/>
      <c r="AO434" t="s">
        <v>573</v>
      </c>
      <c r="AP434" t="s">
        <v>574</v>
      </c>
      <c r="AQ434"/>
      <c r="AR434"/>
      <c r="AS434"/>
      <c r="AT434" t="s">
        <v>888</v>
      </c>
      <c r="AU434">
        <v>2022</v>
      </c>
      <c r="AV434">
        <v>40</v>
      </c>
      <c r="AW434">
        <v>3</v>
      </c>
      <c r="AX434"/>
      <c r="AY434"/>
      <c r="AZ434"/>
      <c r="BA434"/>
      <c r="BB434">
        <v>262</v>
      </c>
      <c r="BC434">
        <v>273</v>
      </c>
      <c r="BD434" t="s">
        <v>3141</v>
      </c>
      <c r="BE434" t="s">
        <v>3142</v>
      </c>
      <c r="BF434" t="str">
        <f>HYPERLINK("http://dx.doi.org/10.1177/0734242X211000430","http://dx.doi.org/10.1177/0734242X211000430")</f>
        <v>http://dx.doi.org/10.1177/0734242X211000430</v>
      </c>
      <c r="BG434"/>
      <c r="BH434" t="s">
        <v>2932</v>
      </c>
      <c r="BI434"/>
      <c r="BJ434" t="s">
        <v>119</v>
      </c>
      <c r="BK434"/>
      <c r="BL434"/>
      <c r="BM434"/>
      <c r="BN434"/>
      <c r="BO434"/>
      <c r="BP434"/>
      <c r="BQ434"/>
      <c r="BR434"/>
      <c r="BS434"/>
      <c r="BT434" t="str">
        <f>HYPERLINK("https%3A%2F%2Fwww.webofscience.com%2Fwos%2Fwoscc%2Ffull-record%2F","View Full Record in Web of Science")</f>
        <v>View Full Record in Web of Science</v>
      </c>
    </row>
    <row r="435" spans="1:72" customHeight="1" ht="12.75">
      <c r="A435" t="s">
        <v>72</v>
      </c>
      <c r="B435" t="s">
        <v>3143</v>
      </c>
      <c r="C435"/>
      <c r="D435"/>
      <c r="E435"/>
      <c r="F435" t="s">
        <v>3144</v>
      </c>
      <c r="G435"/>
      <c r="H435"/>
      <c r="I435" t="s">
        <v>3145</v>
      </c>
      <c r="J435" t="s">
        <v>3146</v>
      </c>
      <c r="K435"/>
      <c r="L435"/>
      <c r="M435"/>
      <c r="N435" t="s">
        <v>325</v>
      </c>
      <c r="O435"/>
      <c r="P435"/>
      <c r="Q435"/>
      <c r="R435"/>
      <c r="S435"/>
      <c r="T435" t="s">
        <v>3147</v>
      </c>
      <c r="U435" t="s">
        <v>3148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>
        <v>0.0</v>
      </c>
      <c r="AI435">
        <v>0.0</v>
      </c>
      <c r="AJ435"/>
      <c r="AK435"/>
      <c r="AL435"/>
      <c r="AM435"/>
      <c r="AN435"/>
      <c r="AO435" t="s">
        <v>3149</v>
      </c>
      <c r="AP435" t="s">
        <v>3150</v>
      </c>
      <c r="AQ435"/>
      <c r="AR435"/>
      <c r="AS435"/>
      <c r="AT435" t="s">
        <v>3151</v>
      </c>
      <c r="AU435">
        <v>2022</v>
      </c>
      <c r="AV435">
        <v>41</v>
      </c>
      <c r="AW435">
        <v>9</v>
      </c>
      <c r="AX435"/>
      <c r="AY435"/>
      <c r="AZ435"/>
      <c r="BA435"/>
      <c r="BB435">
        <v>1193</v>
      </c>
      <c r="BC435">
        <v>1214</v>
      </c>
      <c r="BD435">
        <v>2039140</v>
      </c>
      <c r="BE435" t="s">
        <v>3152</v>
      </c>
      <c r="BF435" t="str">
        <f>HYPERLINK("http://dx.doi.org/10.1080/14786451.2022.2039140","http://dx.doi.org/10.1080/14786451.2022.2039140")</f>
        <v>http://dx.doi.org/10.1080/14786451.2022.2039140</v>
      </c>
      <c r="BG435"/>
      <c r="BH435" t="s">
        <v>106</v>
      </c>
      <c r="BI435"/>
      <c r="BJ435" t="s">
        <v>898</v>
      </c>
      <c r="BK435"/>
      <c r="BL435"/>
      <c r="BM435"/>
      <c r="BN435"/>
      <c r="BO435"/>
      <c r="BP435"/>
      <c r="BQ435"/>
      <c r="BR435"/>
      <c r="BS435"/>
      <c r="BT435" t="str">
        <f>HYPERLINK("https%3A%2F%2Fwww.webofscience.com%2Fwos%2Fwoscc%2Ffull-record%2F","View Full Record in Web of Science")</f>
        <v>View Full Record in Web of Science</v>
      </c>
    </row>
    <row r="436" spans="1:72" customHeight="1" ht="12.75">
      <c r="A436" t="s">
        <v>72</v>
      </c>
      <c r="B436" t="s">
        <v>3153</v>
      </c>
      <c r="C436"/>
      <c r="D436"/>
      <c r="E436"/>
      <c r="F436" t="s">
        <v>3154</v>
      </c>
      <c r="G436"/>
      <c r="H436"/>
      <c r="I436" t="s">
        <v>3155</v>
      </c>
      <c r="J436" t="s">
        <v>133</v>
      </c>
      <c r="K436"/>
      <c r="L436"/>
      <c r="M436"/>
      <c r="N436" t="s">
        <v>112</v>
      </c>
      <c r="O436"/>
      <c r="P436"/>
      <c r="Q436"/>
      <c r="R436"/>
      <c r="S436"/>
      <c r="T436" t="s">
        <v>3156</v>
      </c>
      <c r="U436" t="s">
        <v>3157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>
        <v>4</v>
      </c>
      <c r="AI436">
        <v>4</v>
      </c>
      <c r="AJ436"/>
      <c r="AK436"/>
      <c r="AL436"/>
      <c r="AM436"/>
      <c r="AN436"/>
      <c r="AO436" t="s">
        <v>136</v>
      </c>
      <c r="AP436" t="s">
        <v>137</v>
      </c>
      <c r="AQ436"/>
      <c r="AR436"/>
      <c r="AS436"/>
      <c r="AT436" t="s">
        <v>362</v>
      </c>
      <c r="AU436">
        <v>2013</v>
      </c>
      <c r="AV436">
        <v>17</v>
      </c>
      <c r="AW436">
        <v>3</v>
      </c>
      <c r="AX436"/>
      <c r="AY436"/>
      <c r="AZ436"/>
      <c r="BA436"/>
      <c r="BB436">
        <v>472</v>
      </c>
      <c r="BC436">
        <v>481</v>
      </c>
      <c r="BD436"/>
      <c r="BE436" t="s">
        <v>3158</v>
      </c>
      <c r="BF436" t="str">
        <f>HYPERLINK("http://dx.doi.org/10.1111/j.1530-9290.2012.00530.x","http://dx.doi.org/10.1111/j.1530-9290.2012.00530.x")</f>
        <v>http://dx.doi.org/10.1111/j.1530-9290.2012.00530.x</v>
      </c>
      <c r="BG436"/>
      <c r="BH436"/>
      <c r="BI436"/>
      <c r="BJ436" t="s">
        <v>139</v>
      </c>
      <c r="BK436"/>
      <c r="BL436"/>
      <c r="BM436"/>
      <c r="BN436"/>
      <c r="BO436"/>
      <c r="BP436"/>
      <c r="BQ436"/>
      <c r="BR436"/>
      <c r="BS436"/>
      <c r="BT436" t="str">
        <f>HYPERLINK("https%3A%2F%2Fwww.webofscience.com%2Fwos%2Fwoscc%2Ffull-record%2F","View Full Record in Web of Science")</f>
        <v>View Full Record in Web of Science</v>
      </c>
    </row>
    <row r="437" spans="1:72" customHeight="1" ht="12.75">
      <c r="A437" t="s">
        <v>72</v>
      </c>
      <c r="B437" t="s">
        <v>3159</v>
      </c>
      <c r="C437"/>
      <c r="D437"/>
      <c r="E437"/>
      <c r="F437" t="s">
        <v>3160</v>
      </c>
      <c r="G437"/>
      <c r="H437"/>
      <c r="I437" t="s">
        <v>3161</v>
      </c>
      <c r="J437" t="s">
        <v>587</v>
      </c>
      <c r="K437"/>
      <c r="L437"/>
      <c r="M437"/>
      <c r="N437" t="s">
        <v>112</v>
      </c>
      <c r="O437"/>
      <c r="P437"/>
      <c r="Q437"/>
      <c r="R437"/>
      <c r="S437"/>
      <c r="T437" t="s">
        <v>3162</v>
      </c>
      <c r="U437" t="s">
        <v>3163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>
        <v>49</v>
      </c>
      <c r="AI437">
        <v>51</v>
      </c>
      <c r="AJ437"/>
      <c r="AK437"/>
      <c r="AL437"/>
      <c r="AM437"/>
      <c r="AN437"/>
      <c r="AO437" t="s">
        <v>590</v>
      </c>
      <c r="AP437" t="s">
        <v>591</v>
      </c>
      <c r="AQ437"/>
      <c r="AR437"/>
      <c r="AS437"/>
      <c r="AT437" t="s">
        <v>1911</v>
      </c>
      <c r="AU437">
        <v>2018</v>
      </c>
      <c r="AV437">
        <v>173</v>
      </c>
      <c r="AW437"/>
      <c r="AX437"/>
      <c r="AY437"/>
      <c r="AZ437"/>
      <c r="BA437"/>
      <c r="BB437">
        <v>112</v>
      </c>
      <c r="BC437">
        <v>123</v>
      </c>
      <c r="BD437"/>
      <c r="BE437" t="s">
        <v>3164</v>
      </c>
      <c r="BF437" t="str">
        <f>HYPERLINK("http://dx.doi.org/10.1016/j.jclepro.2016.10.068","http://dx.doi.org/10.1016/j.jclepro.2016.10.068")</f>
        <v>http://dx.doi.org/10.1016/j.jclepro.2016.10.068</v>
      </c>
      <c r="BG437"/>
      <c r="BH437"/>
      <c r="BI437"/>
      <c r="BJ437" t="s">
        <v>139</v>
      </c>
      <c r="BK437"/>
      <c r="BL437"/>
      <c r="BM437"/>
      <c r="BN437"/>
      <c r="BO437"/>
      <c r="BP437"/>
      <c r="BQ437"/>
      <c r="BR437"/>
      <c r="BS437"/>
      <c r="BT437" t="str">
        <f>HYPERLINK("https%3A%2F%2Fwww.webofscience.com%2Fwos%2Fwoscc%2Ffull-record%2F","View Full Record in Web of Science")</f>
        <v>View Full Record in Web of Science</v>
      </c>
    </row>
    <row r="438" spans="1:72" customHeight="1" ht="12.75">
      <c r="A438" t="s">
        <v>72</v>
      </c>
      <c r="B438" t="s">
        <v>3165</v>
      </c>
      <c r="C438"/>
      <c r="D438"/>
      <c r="E438"/>
      <c r="F438" t="s">
        <v>3166</v>
      </c>
      <c r="G438"/>
      <c r="H438"/>
      <c r="I438" t="s">
        <v>3167</v>
      </c>
      <c r="J438" t="s">
        <v>1177</v>
      </c>
      <c r="K438"/>
      <c r="L438"/>
      <c r="M438"/>
      <c r="N438" t="s">
        <v>112</v>
      </c>
      <c r="O438"/>
      <c r="P438"/>
      <c r="Q438"/>
      <c r="R438"/>
      <c r="S438"/>
      <c r="T438" t="s">
        <v>3168</v>
      </c>
      <c r="U438" t="s">
        <v>1330</v>
      </c>
      <c r="V438"/>
      <c r="W438"/>
      <c r="X438"/>
      <c r="Y438"/>
      <c r="Z438"/>
      <c r="AA438"/>
      <c r="AB438"/>
      <c r="AC438"/>
      <c r="AD438"/>
      <c r="AE438"/>
      <c r="AF438"/>
      <c r="AG438"/>
      <c r="AH438">
        <v>128</v>
      </c>
      <c r="AI438">
        <v>136</v>
      </c>
      <c r="AJ438"/>
      <c r="AK438"/>
      <c r="AL438"/>
      <c r="AM438"/>
      <c r="AN438"/>
      <c r="AO438" t="s">
        <v>1180</v>
      </c>
      <c r="AP438" t="s">
        <v>1181</v>
      </c>
      <c r="AQ438"/>
      <c r="AR438"/>
      <c r="AS438"/>
      <c r="AT438"/>
      <c r="AU438">
        <v>2011</v>
      </c>
      <c r="AV438">
        <v>63</v>
      </c>
      <c r="AW438">
        <v>9</v>
      </c>
      <c r="AX438"/>
      <c r="AY438"/>
      <c r="AZ438"/>
      <c r="BA438"/>
      <c r="BB438">
        <v>1983</v>
      </c>
      <c r="BC438">
        <v>1990</v>
      </c>
      <c r="BD438"/>
      <c r="BE438" t="s">
        <v>3169</v>
      </c>
      <c r="BF438" t="str">
        <f>HYPERLINK("http://dx.doi.org/10.2166/wst.2011.070","http://dx.doi.org/10.2166/wst.2011.070")</f>
        <v>http://dx.doi.org/10.2166/wst.2011.070</v>
      </c>
      <c r="BG438"/>
      <c r="BH438"/>
      <c r="BI438"/>
      <c r="BJ438" t="s">
        <v>1184</v>
      </c>
      <c r="BK438"/>
      <c r="BL438"/>
      <c r="BM438"/>
      <c r="BN438"/>
      <c r="BO438"/>
      <c r="BP438"/>
      <c r="BQ438"/>
      <c r="BR438"/>
      <c r="BS438"/>
      <c r="BT438" t="str">
        <f>HYPERLINK("https%3A%2F%2Fwww.webofscience.com%2Fwos%2Fwoscc%2Ffull-record%2F","View Full Record in Web of Science")</f>
        <v>View Full Record in Web of Science</v>
      </c>
    </row>
    <row r="439" spans="1:72" customHeight="1" ht="12.75">
      <c r="A439" t="s">
        <v>72</v>
      </c>
      <c r="B439" t="s">
        <v>3170</v>
      </c>
      <c r="C439"/>
      <c r="D439"/>
      <c r="E439"/>
      <c r="F439" t="s">
        <v>3171</v>
      </c>
      <c r="G439"/>
      <c r="H439"/>
      <c r="I439" t="s">
        <v>3172</v>
      </c>
      <c r="J439" t="s">
        <v>1991</v>
      </c>
      <c r="K439"/>
      <c r="L439"/>
      <c r="M439"/>
      <c r="N439" t="s">
        <v>112</v>
      </c>
      <c r="O439"/>
      <c r="P439"/>
      <c r="Q439"/>
      <c r="R439"/>
      <c r="S439"/>
      <c r="T439" t="s">
        <v>3173</v>
      </c>
      <c r="U439" t="s">
        <v>3174</v>
      </c>
      <c r="V439"/>
      <c r="W439"/>
      <c r="X439"/>
      <c r="Y439"/>
      <c r="Z439"/>
      <c r="AA439"/>
      <c r="AB439"/>
      <c r="AC439"/>
      <c r="AD439"/>
      <c r="AE439"/>
      <c r="AF439"/>
      <c r="AG439"/>
      <c r="AH439">
        <v>26</v>
      </c>
      <c r="AI439">
        <v>26</v>
      </c>
      <c r="AJ439"/>
      <c r="AK439"/>
      <c r="AL439"/>
      <c r="AM439"/>
      <c r="AN439"/>
      <c r="AO439" t="s">
        <v>1994</v>
      </c>
      <c r="AP439" t="s">
        <v>1995</v>
      </c>
      <c r="AQ439"/>
      <c r="AR439"/>
      <c r="AS439"/>
      <c r="AT439" t="s">
        <v>385</v>
      </c>
      <c r="AU439">
        <v>2019</v>
      </c>
      <c r="AV439">
        <v>24</v>
      </c>
      <c r="AW439">
        <v>7</v>
      </c>
      <c r="AX439"/>
      <c r="AY439"/>
      <c r="AZ439" t="s">
        <v>222</v>
      </c>
      <c r="BA439"/>
      <c r="BB439">
        <v>1239</v>
      </c>
      <c r="BC439">
        <v>1253</v>
      </c>
      <c r="BD439"/>
      <c r="BE439" t="s">
        <v>3175</v>
      </c>
      <c r="BF439" t="str">
        <f>HYPERLINK("http://dx.doi.org/10.1007/s11367-018-1453-9","http://dx.doi.org/10.1007/s11367-018-1453-9")</f>
        <v>http://dx.doi.org/10.1007/s11367-018-1453-9</v>
      </c>
      <c r="BG439"/>
      <c r="BH439"/>
      <c r="BI439"/>
      <c r="BJ439" t="s">
        <v>119</v>
      </c>
      <c r="BK439"/>
      <c r="BL439"/>
      <c r="BM439"/>
      <c r="BN439"/>
      <c r="BO439"/>
      <c r="BP439"/>
      <c r="BQ439"/>
      <c r="BR439"/>
      <c r="BS439"/>
      <c r="BT439" t="str">
        <f>HYPERLINK("https%3A%2F%2Fwww.webofscience.com%2Fwos%2Fwoscc%2Ffull-record%2F","View Full Record in Web of Science")</f>
        <v>View Full Record in Web of Science</v>
      </c>
    </row>
    <row r="440" spans="1:72" customHeight="1" ht="12.75">
      <c r="A440" t="s">
        <v>72</v>
      </c>
      <c r="B440" t="s">
        <v>3176</v>
      </c>
      <c r="C440"/>
      <c r="D440"/>
      <c r="E440"/>
      <c r="F440" t="s">
        <v>3177</v>
      </c>
      <c r="G440"/>
      <c r="H440"/>
      <c r="I440" t="s">
        <v>3178</v>
      </c>
      <c r="J440" t="s">
        <v>111</v>
      </c>
      <c r="K440"/>
      <c r="L440"/>
      <c r="M440"/>
      <c r="N440" t="s">
        <v>112</v>
      </c>
      <c r="O440"/>
      <c r="P440"/>
      <c r="Q440"/>
      <c r="R440"/>
      <c r="S440"/>
      <c r="T440" t="s">
        <v>3179</v>
      </c>
      <c r="U440" t="s">
        <v>3180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>
        <v>51</v>
      </c>
      <c r="AI440">
        <v>52</v>
      </c>
      <c r="AJ440"/>
      <c r="AK440"/>
      <c r="AL440"/>
      <c r="AM440"/>
      <c r="AN440"/>
      <c r="AO440" t="s">
        <v>115</v>
      </c>
      <c r="AP440" t="s">
        <v>116</v>
      </c>
      <c r="AQ440"/>
      <c r="AR440"/>
      <c r="AS440"/>
      <c r="AT440" t="s">
        <v>394</v>
      </c>
      <c r="AU440">
        <v>2018</v>
      </c>
      <c r="AV440">
        <v>129</v>
      </c>
      <c r="AW440"/>
      <c r="AX440"/>
      <c r="AY440"/>
      <c r="AZ440"/>
      <c r="BA440"/>
      <c r="BB440">
        <v>45</v>
      </c>
      <c r="BC440">
        <v>55</v>
      </c>
      <c r="BD440"/>
      <c r="BE440" t="s">
        <v>3181</v>
      </c>
      <c r="BF440" t="str">
        <f>HYPERLINK("http://dx.doi.org/10.1016/j.resconrec.2017.10.016","http://dx.doi.org/10.1016/j.resconrec.2017.10.016")</f>
        <v>http://dx.doi.org/10.1016/j.resconrec.2017.10.016</v>
      </c>
      <c r="BG440"/>
      <c r="BH440"/>
      <c r="BI440"/>
      <c r="BJ440" t="s">
        <v>119</v>
      </c>
      <c r="BK440"/>
      <c r="BL440"/>
      <c r="BM440"/>
      <c r="BN440"/>
      <c r="BO440"/>
      <c r="BP440"/>
      <c r="BQ440"/>
      <c r="BR440"/>
      <c r="BS440"/>
      <c r="BT440" t="str">
        <f>HYPERLINK("https%3A%2F%2Fwww.webofscience.com%2Fwos%2Fwoscc%2Ffull-record%2F","View Full Record in Web of Science")</f>
        <v>View Full Record in Web of Science</v>
      </c>
    </row>
    <row r="441" spans="1:72" customHeight="1" ht="12.75">
      <c r="A441" t="s">
        <v>72</v>
      </c>
      <c r="B441" t="s">
        <v>3182</v>
      </c>
      <c r="C441"/>
      <c r="D441"/>
      <c r="E441"/>
      <c r="F441" t="s">
        <v>3183</v>
      </c>
      <c r="G441"/>
      <c r="H441"/>
      <c r="I441" t="s">
        <v>3184</v>
      </c>
      <c r="J441" t="s">
        <v>619</v>
      </c>
      <c r="K441"/>
      <c r="L441"/>
      <c r="M441"/>
      <c r="N441" t="s">
        <v>112</v>
      </c>
      <c r="O441"/>
      <c r="P441"/>
      <c r="Q441"/>
      <c r="R441"/>
      <c r="S441"/>
      <c r="T441" t="s">
        <v>3185</v>
      </c>
      <c r="U441" t="s">
        <v>3186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>
        <v>19</v>
      </c>
      <c r="AI441">
        <v>22</v>
      </c>
      <c r="AJ441"/>
      <c r="AK441"/>
      <c r="AL441"/>
      <c r="AM441"/>
      <c r="AN441"/>
      <c r="AO441" t="s">
        <v>622</v>
      </c>
      <c r="AP441" t="s">
        <v>623</v>
      </c>
      <c r="AQ441"/>
      <c r="AR441"/>
      <c r="AS441"/>
      <c r="AT441" t="s">
        <v>3187</v>
      </c>
      <c r="AU441">
        <v>2018</v>
      </c>
      <c r="AV441">
        <v>155</v>
      </c>
      <c r="AW441"/>
      <c r="AX441"/>
      <c r="AY441"/>
      <c r="AZ441"/>
      <c r="BA441"/>
      <c r="BB441">
        <v>887</v>
      </c>
      <c r="BC441">
        <v>898</v>
      </c>
      <c r="BD441"/>
      <c r="BE441" t="s">
        <v>3188</v>
      </c>
      <c r="BF441" t="str">
        <f>HYPERLINK("http://dx.doi.org/10.1016/j.energy.2018.05.073","http://dx.doi.org/10.1016/j.energy.2018.05.073")</f>
        <v>http://dx.doi.org/10.1016/j.energy.2018.05.073</v>
      </c>
      <c r="BG441"/>
      <c r="BH441"/>
      <c r="BI441"/>
      <c r="BJ441" t="s">
        <v>626</v>
      </c>
      <c r="BK441"/>
      <c r="BL441"/>
      <c r="BM441"/>
      <c r="BN441"/>
      <c r="BO441"/>
      <c r="BP441"/>
      <c r="BQ441"/>
      <c r="BR441"/>
      <c r="BS441"/>
      <c r="BT441" t="str">
        <f>HYPERLINK("https%3A%2F%2Fwww.webofscience.com%2Fwos%2Fwoscc%2Ffull-record%2F","View Full Record in Web of Science")</f>
        <v>View Full Record in Web of Science</v>
      </c>
    </row>
    <row r="442" spans="1:72" customHeight="1" ht="12.75">
      <c r="A442" t="s">
        <v>72</v>
      </c>
      <c r="B442" t="s">
        <v>3189</v>
      </c>
      <c r="C442"/>
      <c r="D442"/>
      <c r="E442"/>
      <c r="F442" t="s">
        <v>3190</v>
      </c>
      <c r="G442"/>
      <c r="H442"/>
      <c r="I442" t="s">
        <v>3191</v>
      </c>
      <c r="J442" t="s">
        <v>457</v>
      </c>
      <c r="K442"/>
      <c r="L442"/>
      <c r="M442"/>
      <c r="N442" t="s">
        <v>112</v>
      </c>
      <c r="O442"/>
      <c r="P442"/>
      <c r="Q442"/>
      <c r="R442"/>
      <c r="S442"/>
      <c r="T442" t="s">
        <v>3192</v>
      </c>
      <c r="U442" t="s">
        <v>3193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>
        <v>3</v>
      </c>
      <c r="AI442">
        <v>3</v>
      </c>
      <c r="AJ442"/>
      <c r="AK442"/>
      <c r="AL442"/>
      <c r="AM442"/>
      <c r="AN442"/>
      <c r="AO442"/>
      <c r="AP442" t="s">
        <v>458</v>
      </c>
      <c r="AQ442"/>
      <c r="AR442"/>
      <c r="AS442"/>
      <c r="AT442" t="s">
        <v>92</v>
      </c>
      <c r="AU442">
        <v>2021</v>
      </c>
      <c r="AV442">
        <v>13</v>
      </c>
      <c r="AW442">
        <v>21</v>
      </c>
      <c r="AX442"/>
      <c r="AY442"/>
      <c r="AZ442"/>
      <c r="BA442"/>
      <c r="BB442"/>
      <c r="BC442"/>
      <c r="BD442">
        <v>11657</v>
      </c>
      <c r="BE442" t="s">
        <v>3194</v>
      </c>
      <c r="BF442" t="str">
        <f>HYPERLINK("http://dx.doi.org/10.3390/su132111657","http://dx.doi.org/10.3390/su132111657")</f>
        <v>http://dx.doi.org/10.3390/su132111657</v>
      </c>
      <c r="BG442"/>
      <c r="BH442"/>
      <c r="BI442"/>
      <c r="BJ442" t="s">
        <v>460</v>
      </c>
      <c r="BK442"/>
      <c r="BL442"/>
      <c r="BM442"/>
      <c r="BN442"/>
      <c r="BO442"/>
      <c r="BP442"/>
      <c r="BQ442"/>
      <c r="BR442"/>
      <c r="BS442"/>
      <c r="BT442" t="str">
        <f>HYPERLINK("https%3A%2F%2Fwww.webofscience.com%2Fwos%2Fwoscc%2Ffull-record%2F","View Full Record in Web of Science")</f>
        <v>View Full Record in Web of Science</v>
      </c>
    </row>
    <row r="443" spans="1:72" customHeight="1" ht="12.75">
      <c r="A443" t="s">
        <v>72</v>
      </c>
      <c r="B443" t="s">
        <v>3195</v>
      </c>
      <c r="C443"/>
      <c r="D443"/>
      <c r="E443"/>
      <c r="F443" t="s">
        <v>3196</v>
      </c>
      <c r="G443"/>
      <c r="H443"/>
      <c r="I443" t="s">
        <v>3197</v>
      </c>
      <c r="J443" t="s">
        <v>457</v>
      </c>
      <c r="K443"/>
      <c r="L443"/>
      <c r="M443"/>
      <c r="N443" t="s">
        <v>112</v>
      </c>
      <c r="O443"/>
      <c r="P443"/>
      <c r="Q443"/>
      <c r="R443"/>
      <c r="S443"/>
      <c r="T443" t="s">
        <v>3198</v>
      </c>
      <c r="U443" t="s">
        <v>3199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>
        <v>2</v>
      </c>
      <c r="AI443">
        <v>2</v>
      </c>
      <c r="AJ443"/>
      <c r="AK443"/>
      <c r="AL443"/>
      <c r="AM443"/>
      <c r="AN443"/>
      <c r="AO443"/>
      <c r="AP443" t="s">
        <v>458</v>
      </c>
      <c r="AQ443"/>
      <c r="AR443"/>
      <c r="AS443"/>
      <c r="AT443" t="s">
        <v>198</v>
      </c>
      <c r="AU443">
        <v>2020</v>
      </c>
      <c r="AV443">
        <v>12</v>
      </c>
      <c r="AW443">
        <v>20</v>
      </c>
      <c r="AX443"/>
      <c r="AY443"/>
      <c r="AZ443"/>
      <c r="BA443"/>
      <c r="BB443"/>
      <c r="BC443"/>
      <c r="BD443">
        <v>8336</v>
      </c>
      <c r="BE443" t="s">
        <v>3200</v>
      </c>
      <c r="BF443" t="str">
        <f>HYPERLINK("http://dx.doi.org/10.3390/su12208336","http://dx.doi.org/10.3390/su12208336")</f>
        <v>http://dx.doi.org/10.3390/su12208336</v>
      </c>
      <c r="BG443"/>
      <c r="BH443"/>
      <c r="BI443"/>
      <c r="BJ443" t="s">
        <v>460</v>
      </c>
      <c r="BK443"/>
      <c r="BL443"/>
      <c r="BM443"/>
      <c r="BN443"/>
      <c r="BO443"/>
      <c r="BP443"/>
      <c r="BQ443"/>
      <c r="BR443"/>
      <c r="BS443"/>
      <c r="BT443" t="str">
        <f>HYPERLINK("https%3A%2F%2Fwww.webofscience.com%2Fwos%2Fwoscc%2Ffull-record%2F","View Full Record in Web of Science")</f>
        <v>View Full Record in Web of Science</v>
      </c>
    </row>
    <row r="444" spans="1:72" customHeight="1" ht="12.75">
      <c r="A444" t="s">
        <v>72</v>
      </c>
      <c r="B444" t="s">
        <v>3201</v>
      </c>
      <c r="C444"/>
      <c r="D444"/>
      <c r="E444"/>
      <c r="F444" t="s">
        <v>3202</v>
      </c>
      <c r="G444"/>
      <c r="H444"/>
      <c r="I444" t="s">
        <v>3203</v>
      </c>
      <c r="J444" t="s">
        <v>166</v>
      </c>
      <c r="K444"/>
      <c r="L444"/>
      <c r="M444"/>
      <c r="N444" t="s">
        <v>112</v>
      </c>
      <c r="O444"/>
      <c r="P444"/>
      <c r="Q444"/>
      <c r="R444"/>
      <c r="S444"/>
      <c r="T444" t="s">
        <v>3204</v>
      </c>
      <c r="U444" t="s">
        <v>3205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>
        <v>14</v>
      </c>
      <c r="AI444">
        <v>14</v>
      </c>
      <c r="AJ444"/>
      <c r="AK444"/>
      <c r="AL444"/>
      <c r="AM444"/>
      <c r="AN444"/>
      <c r="AO444"/>
      <c r="AP444" t="s">
        <v>169</v>
      </c>
      <c r="AQ444"/>
      <c r="AR444"/>
      <c r="AS444"/>
      <c r="AT444"/>
      <c r="AU444">
        <v>2020</v>
      </c>
      <c r="AV444">
        <v>2</v>
      </c>
      <c r="AW444"/>
      <c r="AX444"/>
      <c r="AY444"/>
      <c r="AZ444"/>
      <c r="BA444"/>
      <c r="BB444"/>
      <c r="BC444"/>
      <c r="BD444">
        <v>12</v>
      </c>
      <c r="BE444" t="s">
        <v>3206</v>
      </c>
      <c r="BF444" t="str">
        <f>HYPERLINK("http://dx.doi.org/10.3389/frsc.2020.00012","http://dx.doi.org/10.3389/frsc.2020.00012")</f>
        <v>http://dx.doi.org/10.3389/frsc.2020.00012</v>
      </c>
      <c r="BG444"/>
      <c r="BH444"/>
      <c r="BI444"/>
      <c r="BJ444" t="s">
        <v>171</v>
      </c>
      <c r="BK444"/>
      <c r="BL444"/>
      <c r="BM444"/>
      <c r="BN444"/>
      <c r="BO444"/>
      <c r="BP444"/>
      <c r="BQ444"/>
      <c r="BR444"/>
      <c r="BS444"/>
      <c r="BT444" t="str">
        <f>HYPERLINK("https%3A%2F%2Fwww.webofscience.com%2Fwos%2Fwoscc%2Ffull-record%2F","View Full Record in Web of Science")</f>
        <v>View Full Record in Web of Science</v>
      </c>
    </row>
    <row r="445" spans="1:72" customHeight="1" ht="12.75">
      <c r="A445" t="s">
        <v>72</v>
      </c>
      <c r="B445" t="s">
        <v>3207</v>
      </c>
      <c r="C445"/>
      <c r="D445"/>
      <c r="E445"/>
      <c r="F445" t="s">
        <v>3208</v>
      </c>
      <c r="G445"/>
      <c r="H445"/>
      <c r="I445" t="s">
        <v>3209</v>
      </c>
      <c r="J445" t="s">
        <v>1177</v>
      </c>
      <c r="K445"/>
      <c r="L445"/>
      <c r="M445"/>
      <c r="N445" t="s">
        <v>112</v>
      </c>
      <c r="O445"/>
      <c r="P445"/>
      <c r="Q445"/>
      <c r="R445"/>
      <c r="S445"/>
      <c r="T445" t="s">
        <v>3210</v>
      </c>
      <c r="U445" t="s">
        <v>3211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>
        <v>24</v>
      </c>
      <c r="AI445">
        <v>30</v>
      </c>
      <c r="AJ445"/>
      <c r="AK445"/>
      <c r="AL445"/>
      <c r="AM445"/>
      <c r="AN445"/>
      <c r="AO445" t="s">
        <v>1180</v>
      </c>
      <c r="AP445" t="s">
        <v>1181</v>
      </c>
      <c r="AQ445"/>
      <c r="AR445"/>
      <c r="AS445"/>
      <c r="AT445"/>
      <c r="AU445">
        <v>2012</v>
      </c>
      <c r="AV445">
        <v>66</v>
      </c>
      <c r="AW445">
        <v>1</v>
      </c>
      <c r="AX445"/>
      <c r="AY445"/>
      <c r="AZ445"/>
      <c r="BA445"/>
      <c r="BB445">
        <v>113</v>
      </c>
      <c r="BC445">
        <v>121</v>
      </c>
      <c r="BD445"/>
      <c r="BE445" t="s">
        <v>3212</v>
      </c>
      <c r="BF445" t="str">
        <f>HYPERLINK("http://dx.doi.org/10.2166/wst.2012.071","http://dx.doi.org/10.2166/wst.2012.071")</f>
        <v>http://dx.doi.org/10.2166/wst.2012.071</v>
      </c>
      <c r="BG445"/>
      <c r="BH445"/>
      <c r="BI445"/>
      <c r="BJ445" t="s">
        <v>1184</v>
      </c>
      <c r="BK445"/>
      <c r="BL445"/>
      <c r="BM445"/>
      <c r="BN445"/>
      <c r="BO445"/>
      <c r="BP445"/>
      <c r="BQ445"/>
      <c r="BR445"/>
      <c r="BS445"/>
      <c r="BT445" t="str">
        <f>HYPERLINK("https%3A%2F%2Fwww.webofscience.com%2Fwos%2Fwoscc%2Ffull-record%2F","View Full Record in Web of Science")</f>
        <v>View Full Record in Web of Science</v>
      </c>
    </row>
    <row r="446" spans="1:72" customHeight="1" ht="12.75">
      <c r="A446" t="s">
        <v>72</v>
      </c>
      <c r="B446" t="s">
        <v>3213</v>
      </c>
      <c r="C446"/>
      <c r="D446"/>
      <c r="E446"/>
      <c r="F446" t="s">
        <v>3214</v>
      </c>
      <c r="G446"/>
      <c r="H446"/>
      <c r="I446" t="s">
        <v>3215</v>
      </c>
      <c r="J446" t="s">
        <v>3216</v>
      </c>
      <c r="K446"/>
      <c r="L446"/>
      <c r="M446"/>
      <c r="N446" t="s">
        <v>112</v>
      </c>
      <c r="O446"/>
      <c r="P446"/>
      <c r="Q446"/>
      <c r="R446"/>
      <c r="S446"/>
      <c r="T446" t="s">
        <v>3217</v>
      </c>
      <c r="U446" t="s">
        <v>3218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>
        <v>7</v>
      </c>
      <c r="AI446">
        <v>7</v>
      </c>
      <c r="AJ446"/>
      <c r="AK446"/>
      <c r="AL446"/>
      <c r="AM446"/>
      <c r="AN446"/>
      <c r="AO446" t="s">
        <v>3219</v>
      </c>
      <c r="AP446"/>
      <c r="AQ446"/>
      <c r="AR446"/>
      <c r="AS446"/>
      <c r="AT446"/>
      <c r="AU446">
        <v>2019</v>
      </c>
      <c r="AV446">
        <v>26</v>
      </c>
      <c r="AW446"/>
      <c r="AX446"/>
      <c r="AY446"/>
      <c r="AZ446"/>
      <c r="BA446"/>
      <c r="BB446">
        <v>633</v>
      </c>
      <c r="BC446">
        <v>651</v>
      </c>
      <c r="BD446"/>
      <c r="BE446" t="s">
        <v>3220</v>
      </c>
      <c r="BF446" t="str">
        <f>HYPERLINK("http://dx.doi.org/10.2458/v26i1.23257","http://dx.doi.org/10.2458/v26i1.23257")</f>
        <v>http://dx.doi.org/10.2458/v26i1.23257</v>
      </c>
      <c r="BG446"/>
      <c r="BH446"/>
      <c r="BI446"/>
      <c r="BJ446" t="s">
        <v>359</v>
      </c>
      <c r="BK446"/>
      <c r="BL446"/>
      <c r="BM446"/>
      <c r="BN446"/>
      <c r="BO446"/>
      <c r="BP446"/>
      <c r="BQ446"/>
      <c r="BR446"/>
      <c r="BS446"/>
      <c r="BT446" t="str">
        <f>HYPERLINK("https%3A%2F%2Fwww.webofscience.com%2Fwos%2Fwoscc%2Ffull-record%2F","View Full Record in Web of Science")</f>
        <v>View Full Record in Web of Science</v>
      </c>
    </row>
    <row r="447" spans="1:72" customHeight="1" ht="12.75">
      <c r="A447" t="s">
        <v>72</v>
      </c>
      <c r="B447" t="s">
        <v>3221</v>
      </c>
      <c r="C447"/>
      <c r="D447"/>
      <c r="E447"/>
      <c r="F447" t="s">
        <v>3222</v>
      </c>
      <c r="G447"/>
      <c r="H447"/>
      <c r="I447" t="s">
        <v>3223</v>
      </c>
      <c r="J447" t="s">
        <v>409</v>
      </c>
      <c r="K447"/>
      <c r="L447"/>
      <c r="M447"/>
      <c r="N447" t="s">
        <v>112</v>
      </c>
      <c r="O447"/>
      <c r="P447"/>
      <c r="Q447"/>
      <c r="R447"/>
      <c r="S447"/>
      <c r="T447" t="s">
        <v>3224</v>
      </c>
      <c r="U447" t="s">
        <v>3225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>
        <v>13</v>
      </c>
      <c r="AI447">
        <v>13</v>
      </c>
      <c r="AJ447"/>
      <c r="AK447"/>
      <c r="AL447"/>
      <c r="AM447"/>
      <c r="AN447"/>
      <c r="AO447" t="s">
        <v>1080</v>
      </c>
      <c r="AP447" t="s">
        <v>1081</v>
      </c>
      <c r="AQ447"/>
      <c r="AR447"/>
      <c r="AS447"/>
      <c r="AT447" t="s">
        <v>394</v>
      </c>
      <c r="AU447">
        <v>2020</v>
      </c>
      <c r="AV447">
        <v>97</v>
      </c>
      <c r="AW447"/>
      <c r="AX447"/>
      <c r="AY447"/>
      <c r="AZ447"/>
      <c r="BA447"/>
      <c r="BB447"/>
      <c r="BC447"/>
      <c r="BD447">
        <v>102494</v>
      </c>
      <c r="BE447" t="s">
        <v>3226</v>
      </c>
      <c r="BF447" t="str">
        <f>HYPERLINK("http://dx.doi.org/10.1016/j.cities.2019.102494","http://dx.doi.org/10.1016/j.cities.2019.102494")</f>
        <v>http://dx.doi.org/10.1016/j.cities.2019.102494</v>
      </c>
      <c r="BG447"/>
      <c r="BH447"/>
      <c r="BI447"/>
      <c r="BJ447" t="s">
        <v>243</v>
      </c>
      <c r="BK447"/>
      <c r="BL447"/>
      <c r="BM447"/>
      <c r="BN447"/>
      <c r="BO447"/>
      <c r="BP447"/>
      <c r="BQ447"/>
      <c r="BR447"/>
      <c r="BS447"/>
      <c r="BT447" t="str">
        <f>HYPERLINK("https%3A%2F%2Fwww.webofscience.com%2Fwos%2Fwoscc%2Ffull-record%2F","View Full Record in Web of Science")</f>
        <v>View Full Record in Web of Science</v>
      </c>
    </row>
    <row r="448" spans="1:72" customHeight="1" ht="12.75">
      <c r="A448" t="s">
        <v>72</v>
      </c>
      <c r="B448" t="s">
        <v>3227</v>
      </c>
      <c r="C448"/>
      <c r="D448"/>
      <c r="E448"/>
      <c r="F448" t="s">
        <v>3228</v>
      </c>
      <c r="G448"/>
      <c r="H448"/>
      <c r="I448" t="s">
        <v>3229</v>
      </c>
      <c r="J448" t="s">
        <v>2632</v>
      </c>
      <c r="K448"/>
      <c r="L448"/>
      <c r="M448"/>
      <c r="N448" t="s">
        <v>112</v>
      </c>
      <c r="O448"/>
      <c r="P448"/>
      <c r="Q448"/>
      <c r="R448"/>
      <c r="S448"/>
      <c r="T448" t="s">
        <v>3230</v>
      </c>
      <c r="U448" t="s">
        <v>3231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>
        <v>286</v>
      </c>
      <c r="AI448">
        <v>336</v>
      </c>
      <c r="AJ448"/>
      <c r="AK448"/>
      <c r="AL448"/>
      <c r="AM448"/>
      <c r="AN448"/>
      <c r="AO448" t="s">
        <v>2635</v>
      </c>
      <c r="AP448"/>
      <c r="AQ448"/>
      <c r="AR448"/>
      <c r="AS448"/>
      <c r="AT448" t="s">
        <v>352</v>
      </c>
      <c r="AU448">
        <v>2010</v>
      </c>
      <c r="AV448">
        <v>38</v>
      </c>
      <c r="AW448">
        <v>9</v>
      </c>
      <c r="AX448"/>
      <c r="AY448"/>
      <c r="AZ448"/>
      <c r="BA448"/>
      <c r="BB448">
        <v>4828</v>
      </c>
      <c r="BC448">
        <v>4837</v>
      </c>
      <c r="BD448"/>
      <c r="BE448" t="s">
        <v>3232</v>
      </c>
      <c r="BF448" t="str">
        <f>HYPERLINK("http://dx.doi.org/10.1016/j.enpol.2009.08.050","http://dx.doi.org/10.1016/j.enpol.2009.08.050")</f>
        <v>http://dx.doi.org/10.1016/j.enpol.2009.08.050</v>
      </c>
      <c r="BG448"/>
      <c r="BH448"/>
      <c r="BI448"/>
      <c r="BJ448" t="s">
        <v>2638</v>
      </c>
      <c r="BK448"/>
      <c r="BL448"/>
      <c r="BM448"/>
      <c r="BN448"/>
      <c r="BO448"/>
      <c r="BP448"/>
      <c r="BQ448"/>
      <c r="BR448"/>
      <c r="BS448"/>
      <c r="BT448" t="str">
        <f>HYPERLINK("https%3A%2F%2Fwww.webofscience.com%2Fwos%2Fwoscc%2Ffull-record%2F","View Full Record in Web of Science")</f>
        <v>View Full Record in Web of Science</v>
      </c>
    </row>
    <row r="449" spans="1:72" customHeight="1" ht="12.75">
      <c r="A449" t="s">
        <v>72</v>
      </c>
      <c r="B449" t="s">
        <v>3233</v>
      </c>
      <c r="C449"/>
      <c r="D449"/>
      <c r="E449"/>
      <c r="F449" t="s">
        <v>3234</v>
      </c>
      <c r="G449"/>
      <c r="H449"/>
      <c r="I449" t="s">
        <v>3235</v>
      </c>
      <c r="J449" t="s">
        <v>1206</v>
      </c>
      <c r="K449"/>
      <c r="L449"/>
      <c r="M449"/>
      <c r="N449" t="s">
        <v>112</v>
      </c>
      <c r="O449"/>
      <c r="P449"/>
      <c r="Q449"/>
      <c r="R449"/>
      <c r="S449"/>
      <c r="T449" t="s">
        <v>3236</v>
      </c>
      <c r="U449" t="s">
        <v>1330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>
        <v>41</v>
      </c>
      <c r="AI449">
        <v>43</v>
      </c>
      <c r="AJ449"/>
      <c r="AK449"/>
      <c r="AL449"/>
      <c r="AM449"/>
      <c r="AN449"/>
      <c r="AO449" t="s">
        <v>1209</v>
      </c>
      <c r="AP449"/>
      <c r="AQ449"/>
      <c r="AR449"/>
      <c r="AS449"/>
      <c r="AT449" t="s">
        <v>128</v>
      </c>
      <c r="AU449">
        <v>2011</v>
      </c>
      <c r="AV449">
        <v>2</v>
      </c>
      <c r="AW449">
        <v>4</v>
      </c>
      <c r="AX449"/>
      <c r="AY449"/>
      <c r="AZ449"/>
      <c r="BA449"/>
      <c r="BB449">
        <v>247</v>
      </c>
      <c r="BC449">
        <v>259</v>
      </c>
      <c r="BD449"/>
      <c r="BE449" t="s">
        <v>3237</v>
      </c>
      <c r="BF449" t="str">
        <f>HYPERLINK("http://dx.doi.org/10.2166/wcc.2011.005","http://dx.doi.org/10.2166/wcc.2011.005")</f>
        <v>http://dx.doi.org/10.2166/wcc.2011.005</v>
      </c>
      <c r="BG449"/>
      <c r="BH449"/>
      <c r="BI449"/>
      <c r="BJ449" t="s">
        <v>1211</v>
      </c>
      <c r="BK449"/>
      <c r="BL449"/>
      <c r="BM449"/>
      <c r="BN449"/>
      <c r="BO449"/>
      <c r="BP449"/>
      <c r="BQ449"/>
      <c r="BR449"/>
      <c r="BS449"/>
      <c r="BT449" t="str">
        <f>HYPERLINK("https%3A%2F%2Fwww.webofscience.com%2Fwos%2Fwoscc%2Ffull-record%2F","View Full Record in Web of Science")</f>
        <v>View Full Record in Web of Science</v>
      </c>
    </row>
    <row r="450" spans="1:72" customHeight="1" ht="12.75">
      <c r="A450" t="s">
        <v>72</v>
      </c>
      <c r="B450" t="s">
        <v>3238</v>
      </c>
      <c r="C450"/>
      <c r="D450"/>
      <c r="E450"/>
      <c r="F450" t="s">
        <v>3239</v>
      </c>
      <c r="G450"/>
      <c r="H450"/>
      <c r="I450" t="s">
        <v>3240</v>
      </c>
      <c r="J450" t="s">
        <v>3241</v>
      </c>
      <c r="K450"/>
      <c r="L450"/>
      <c r="M450"/>
      <c r="N450" t="s">
        <v>77</v>
      </c>
      <c r="O450"/>
      <c r="P450"/>
      <c r="Q450"/>
      <c r="R450"/>
      <c r="S450"/>
      <c r="T450"/>
      <c r="U450" t="s">
        <v>3242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>
        <v>162</v>
      </c>
      <c r="AI450">
        <v>170</v>
      </c>
      <c r="AJ450"/>
      <c r="AK450"/>
      <c r="AL450"/>
      <c r="AM450"/>
      <c r="AN450"/>
      <c r="AO450" t="s">
        <v>3243</v>
      </c>
      <c r="AP450"/>
      <c r="AQ450"/>
      <c r="AR450"/>
      <c r="AS450"/>
      <c r="AT450" t="s">
        <v>190</v>
      </c>
      <c r="AU450">
        <v>2019</v>
      </c>
      <c r="AV450">
        <v>2</v>
      </c>
      <c r="AW450">
        <v>3</v>
      </c>
      <c r="AX450"/>
      <c r="AY450"/>
      <c r="AZ450"/>
      <c r="BA450"/>
      <c r="BB450">
        <v>173</v>
      </c>
      <c r="BC450">
        <v>184</v>
      </c>
      <c r="BD450"/>
      <c r="BE450" t="s">
        <v>3244</v>
      </c>
      <c r="BF450" t="str">
        <f>HYPERLINK("http://dx.doi.org/10.1038/s41893-019-0225-2","http://dx.doi.org/10.1038/s41893-019-0225-2")</f>
        <v>http://dx.doi.org/10.1038/s41893-019-0225-2</v>
      </c>
      <c r="BG450"/>
      <c r="BH450"/>
      <c r="BI450"/>
      <c r="BJ450" t="s">
        <v>460</v>
      </c>
      <c r="BK450"/>
      <c r="BL450"/>
      <c r="BM450"/>
      <c r="BN450"/>
      <c r="BO450"/>
      <c r="BP450"/>
      <c r="BQ450"/>
      <c r="BR450"/>
      <c r="BS450"/>
      <c r="BT450" t="str">
        <f>HYPERLINK("https%3A%2F%2Fwww.webofscience.com%2Fwos%2Fwoscc%2Ffull-record%2F","View Full Record in Web of Science")</f>
        <v>View Full Record in Web of Science</v>
      </c>
    </row>
    <row r="451" spans="1:72" customHeight="1" ht="12.75">
      <c r="A451" t="s">
        <v>72</v>
      </c>
      <c r="B451" t="s">
        <v>3245</v>
      </c>
      <c r="C451"/>
      <c r="D451"/>
      <c r="E451"/>
      <c r="F451" t="s">
        <v>3246</v>
      </c>
      <c r="G451"/>
      <c r="H451"/>
      <c r="I451" t="s">
        <v>3247</v>
      </c>
      <c r="J451" t="s">
        <v>510</v>
      </c>
      <c r="K451"/>
      <c r="L451"/>
      <c r="M451"/>
      <c r="N451" t="s">
        <v>112</v>
      </c>
      <c r="O451"/>
      <c r="P451"/>
      <c r="Q451"/>
      <c r="R451"/>
      <c r="S451"/>
      <c r="T451" t="s">
        <v>3248</v>
      </c>
      <c r="U451" t="s">
        <v>3249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>
        <v>25</v>
      </c>
      <c r="AI451">
        <v>31</v>
      </c>
      <c r="AJ451"/>
      <c r="AK451"/>
      <c r="AL451"/>
      <c r="AM451"/>
      <c r="AN451"/>
      <c r="AO451" t="s">
        <v>511</v>
      </c>
      <c r="AP451" t="s">
        <v>512</v>
      </c>
      <c r="AQ451"/>
      <c r="AR451"/>
      <c r="AS451"/>
      <c r="AT451" t="s">
        <v>513</v>
      </c>
      <c r="AU451">
        <v>2014</v>
      </c>
      <c r="AV451">
        <v>272</v>
      </c>
      <c r="AW451"/>
      <c r="AX451"/>
      <c r="AY451"/>
      <c r="AZ451"/>
      <c r="BA451"/>
      <c r="BB451">
        <v>188</v>
      </c>
      <c r="BC451">
        <v>197</v>
      </c>
      <c r="BD451"/>
      <c r="BE451" t="s">
        <v>3250</v>
      </c>
      <c r="BF451" t="str">
        <f>HYPERLINK("http://dx.doi.org/10.1016/j.ecolmodel.2013.10.003","http://dx.doi.org/10.1016/j.ecolmodel.2013.10.003")</f>
        <v>http://dx.doi.org/10.1016/j.ecolmodel.2013.10.003</v>
      </c>
      <c r="BG451"/>
      <c r="BH451"/>
      <c r="BI451"/>
      <c r="BJ451" t="s">
        <v>181</v>
      </c>
      <c r="BK451"/>
      <c r="BL451"/>
      <c r="BM451"/>
      <c r="BN451"/>
      <c r="BO451"/>
      <c r="BP451"/>
      <c r="BQ451"/>
      <c r="BR451"/>
      <c r="BS451"/>
      <c r="BT451" t="str">
        <f>HYPERLINK("https%3A%2F%2Fwww.webofscience.com%2Fwos%2Fwoscc%2Ffull-record%2F","View Full Record in Web of Science")</f>
        <v>View Full Record in Web of Science</v>
      </c>
    </row>
    <row r="452" spans="1:72" customHeight="1" ht="12.75">
      <c r="A452" t="s">
        <v>72</v>
      </c>
      <c r="B452" t="s">
        <v>3251</v>
      </c>
      <c r="C452"/>
      <c r="D452"/>
      <c r="E452"/>
      <c r="F452" t="s">
        <v>3252</v>
      </c>
      <c r="G452"/>
      <c r="H452"/>
      <c r="I452" t="s">
        <v>3253</v>
      </c>
      <c r="J452" t="s">
        <v>1748</v>
      </c>
      <c r="K452"/>
      <c r="L452"/>
      <c r="M452"/>
      <c r="N452" t="s">
        <v>112</v>
      </c>
      <c r="O452"/>
      <c r="P452"/>
      <c r="Q452"/>
      <c r="R452"/>
      <c r="S452"/>
      <c r="T452" t="s">
        <v>3254</v>
      </c>
      <c r="U452" t="s">
        <v>3255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>
        <v>3</v>
      </c>
      <c r="AI452">
        <v>3</v>
      </c>
      <c r="AJ452"/>
      <c r="AK452"/>
      <c r="AL452"/>
      <c r="AM452"/>
      <c r="AN452"/>
      <c r="AO452" t="s">
        <v>1751</v>
      </c>
      <c r="AP452" t="s">
        <v>1752</v>
      </c>
      <c r="AQ452"/>
      <c r="AR452"/>
      <c r="AS452"/>
      <c r="AT452" t="s">
        <v>92</v>
      </c>
      <c r="AU452">
        <v>2017</v>
      </c>
      <c r="AV452">
        <v>41</v>
      </c>
      <c r="AW452">
        <v>6</v>
      </c>
      <c r="AX452"/>
      <c r="AY452"/>
      <c r="AZ452"/>
      <c r="BA452"/>
      <c r="BB452">
        <v>926</v>
      </c>
      <c r="BC452">
        <v>945</v>
      </c>
      <c r="BD452"/>
      <c r="BE452" t="s">
        <v>3256</v>
      </c>
      <c r="BF452" t="str">
        <f>HYPERLINK("http://dx.doi.org/10.1111/1468-2427.12549","http://dx.doi.org/10.1111/1468-2427.12549")</f>
        <v>http://dx.doi.org/10.1111/1468-2427.12549</v>
      </c>
      <c r="BG452"/>
      <c r="BH452"/>
      <c r="BI452"/>
      <c r="BJ452" t="s">
        <v>1754</v>
      </c>
      <c r="BK452"/>
      <c r="BL452"/>
      <c r="BM452"/>
      <c r="BN452"/>
      <c r="BO452"/>
      <c r="BP452"/>
      <c r="BQ452"/>
      <c r="BR452"/>
      <c r="BS452"/>
      <c r="BT452" t="str">
        <f>HYPERLINK("https%3A%2F%2Fwww.webofscience.com%2Fwos%2Fwoscc%2Ffull-record%2F","View Full Record in Web of Science")</f>
        <v>View Full Record in Web of Science</v>
      </c>
    </row>
    <row r="453" spans="1:72" customHeight="1" ht="12.75">
      <c r="A453" t="s">
        <v>72</v>
      </c>
      <c r="B453" t="s">
        <v>3257</v>
      </c>
      <c r="C453"/>
      <c r="D453"/>
      <c r="E453"/>
      <c r="F453" t="s">
        <v>3258</v>
      </c>
      <c r="G453"/>
      <c r="H453"/>
      <c r="I453" t="s">
        <v>3259</v>
      </c>
      <c r="J453" t="s">
        <v>3260</v>
      </c>
      <c r="K453"/>
      <c r="L453"/>
      <c r="M453"/>
      <c r="N453" t="s">
        <v>112</v>
      </c>
      <c r="O453"/>
      <c r="P453"/>
      <c r="Q453"/>
      <c r="R453"/>
      <c r="S453"/>
      <c r="T453" t="s">
        <v>3261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>
        <v>1</v>
      </c>
      <c r="AI453">
        <v>1</v>
      </c>
      <c r="AJ453"/>
      <c r="AK453"/>
      <c r="AL453"/>
      <c r="AM453"/>
      <c r="AN453"/>
      <c r="AO453" t="s">
        <v>3262</v>
      </c>
      <c r="AP453" t="s">
        <v>3263</v>
      </c>
      <c r="AQ453"/>
      <c r="AR453"/>
      <c r="AS453"/>
      <c r="AT453" t="s">
        <v>128</v>
      </c>
      <c r="AU453">
        <v>2016</v>
      </c>
      <c r="AV453">
        <v>24</v>
      </c>
      <c r="AW453">
        <v>4</v>
      </c>
      <c r="AX453"/>
      <c r="AY453"/>
      <c r="AZ453"/>
      <c r="BA453"/>
      <c r="BB453">
        <v>421</v>
      </c>
      <c r="BC453">
        <v>450</v>
      </c>
      <c r="BD453"/>
      <c r="BE453" t="s">
        <v>3264</v>
      </c>
      <c r="BF453" t="str">
        <f>HYPERLINK("http://dx.doi.org/10.1007/s00048-017-0159-6","http://dx.doi.org/10.1007/s00048-017-0159-6")</f>
        <v>http://dx.doi.org/10.1007/s00048-017-0159-6</v>
      </c>
      <c r="BG453"/>
      <c r="BH453"/>
      <c r="BI453"/>
      <c r="BJ453" t="s">
        <v>3265</v>
      </c>
      <c r="BK453"/>
      <c r="BL453"/>
      <c r="BM453"/>
      <c r="BN453"/>
      <c r="BO453"/>
      <c r="BP453"/>
      <c r="BQ453"/>
      <c r="BR453"/>
      <c r="BS453"/>
      <c r="BT453" t="str">
        <f>HYPERLINK("https%3A%2F%2Fwww.webofscience.com%2Fwos%2Fwoscc%2Ffull-record%2F","View Full Record in Web of Science")</f>
        <v>View Full Record in Web of Science</v>
      </c>
    </row>
    <row r="454" spans="1:72" customHeight="1" ht="12.75">
      <c r="A454" t="s">
        <v>72</v>
      </c>
      <c r="B454" t="s">
        <v>2181</v>
      </c>
      <c r="C454"/>
      <c r="D454"/>
      <c r="E454"/>
      <c r="F454" t="s">
        <v>2182</v>
      </c>
      <c r="G454"/>
      <c r="H454"/>
      <c r="I454" t="s">
        <v>3266</v>
      </c>
      <c r="J454" t="s">
        <v>3267</v>
      </c>
      <c r="K454"/>
      <c r="L454"/>
      <c r="M454"/>
      <c r="N454" t="s">
        <v>77</v>
      </c>
      <c r="O454"/>
      <c r="P454"/>
      <c r="Q454"/>
      <c r="R454"/>
      <c r="S454"/>
      <c r="T454" t="s">
        <v>3268</v>
      </c>
      <c r="U454" t="s">
        <v>3269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>
        <v>26</v>
      </c>
      <c r="AI454">
        <v>27</v>
      </c>
      <c r="AJ454"/>
      <c r="AK454"/>
      <c r="AL454"/>
      <c r="AM454"/>
      <c r="AN454"/>
      <c r="AO454" t="s">
        <v>3270</v>
      </c>
      <c r="AP454"/>
      <c r="AQ454"/>
      <c r="AR454"/>
      <c r="AS454"/>
      <c r="AT454" t="s">
        <v>128</v>
      </c>
      <c r="AU454">
        <v>2017</v>
      </c>
      <c r="AV454">
        <v>20</v>
      </c>
      <c r="AW454"/>
      <c r="AX454"/>
      <c r="AY454"/>
      <c r="AZ454"/>
      <c r="BA454"/>
      <c r="BB454">
        <v>74</v>
      </c>
      <c r="BC454">
        <v>82</v>
      </c>
      <c r="BD454"/>
      <c r="BE454" t="s">
        <v>3271</v>
      </c>
      <c r="BF454" t="str">
        <f>HYPERLINK("http://dx.doi.org/10.1016/j.ancene.2017.08.001","http://dx.doi.org/10.1016/j.ancene.2017.08.001")</f>
        <v>http://dx.doi.org/10.1016/j.ancene.2017.08.001</v>
      </c>
      <c r="BG454"/>
      <c r="BH454"/>
      <c r="BI454"/>
      <c r="BJ454" t="s">
        <v>3272</v>
      </c>
      <c r="BK454"/>
      <c r="BL454"/>
      <c r="BM454"/>
      <c r="BN454"/>
      <c r="BO454"/>
      <c r="BP454"/>
      <c r="BQ454"/>
      <c r="BR454"/>
      <c r="BS454"/>
      <c r="BT454" t="str">
        <f>HYPERLINK("https%3A%2F%2Fwww.webofscience.com%2Fwos%2Fwoscc%2Ffull-record%2F","View Full Record in Web of Science")</f>
        <v>View Full Record in Web of Science</v>
      </c>
    </row>
    <row r="455" spans="1:72" customHeight="1" ht="12.75">
      <c r="A455" t="s">
        <v>72</v>
      </c>
      <c r="B455" t="s">
        <v>3273</v>
      </c>
      <c r="C455"/>
      <c r="D455"/>
      <c r="E455"/>
      <c r="F455" t="s">
        <v>3274</v>
      </c>
      <c r="G455"/>
      <c r="H455"/>
      <c r="I455" t="s">
        <v>3275</v>
      </c>
      <c r="J455" t="s">
        <v>1452</v>
      </c>
      <c r="K455"/>
      <c r="L455"/>
      <c r="M455"/>
      <c r="N455" t="s">
        <v>325</v>
      </c>
      <c r="O455"/>
      <c r="P455"/>
      <c r="Q455"/>
      <c r="R455"/>
      <c r="S455"/>
      <c r="T455" t="s">
        <v>3276</v>
      </c>
      <c r="U455" t="s">
        <v>3277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>
        <v>28</v>
      </c>
      <c r="AI455">
        <v>28</v>
      </c>
      <c r="AJ455"/>
      <c r="AK455"/>
      <c r="AL455"/>
      <c r="AM455"/>
      <c r="AN455"/>
      <c r="AO455" t="s">
        <v>1455</v>
      </c>
      <c r="AP455" t="s">
        <v>1456</v>
      </c>
      <c r="AQ455"/>
      <c r="AR455"/>
      <c r="AS455"/>
      <c r="AT455" t="s">
        <v>3278</v>
      </c>
      <c r="AU455">
        <v>2020</v>
      </c>
      <c r="AV455">
        <v>63</v>
      </c>
      <c r="AW455">
        <v>11</v>
      </c>
      <c r="AX455"/>
      <c r="AY455"/>
      <c r="AZ455"/>
      <c r="BA455"/>
      <c r="BB455">
        <v>1903</v>
      </c>
      <c r="BC455">
        <v>1926</v>
      </c>
      <c r="BD455"/>
      <c r="BE455" t="s">
        <v>3279</v>
      </c>
      <c r="BF455" t="str">
        <f>HYPERLINK("http://dx.doi.org/10.1080/09640568.2019.1690435","http://dx.doi.org/10.1080/09640568.2019.1690435")</f>
        <v>http://dx.doi.org/10.1080/09640568.2019.1690435</v>
      </c>
      <c r="BG455"/>
      <c r="BH455" t="s">
        <v>3280</v>
      </c>
      <c r="BI455"/>
      <c r="BJ455" t="s">
        <v>1459</v>
      </c>
      <c r="BK455"/>
      <c r="BL455"/>
      <c r="BM455"/>
      <c r="BN455"/>
      <c r="BO455"/>
      <c r="BP455"/>
      <c r="BQ455"/>
      <c r="BR455"/>
      <c r="BS455"/>
      <c r="BT455" t="str">
        <f>HYPERLINK("https%3A%2F%2Fwww.webofscience.com%2Fwos%2Fwoscc%2Ffull-record%2F","View Full Record in Web of Science")</f>
        <v>View Full Record in Web of Science</v>
      </c>
    </row>
    <row r="456" spans="1:72" customHeight="1" ht="12.75">
      <c r="A456" t="s">
        <v>72</v>
      </c>
      <c r="B456" t="s">
        <v>3281</v>
      </c>
      <c r="C456"/>
      <c r="D456"/>
      <c r="E456"/>
      <c r="F456" t="s">
        <v>3282</v>
      </c>
      <c r="G456"/>
      <c r="H456"/>
      <c r="I456" t="s">
        <v>3283</v>
      </c>
      <c r="J456" t="s">
        <v>587</v>
      </c>
      <c r="K456"/>
      <c r="L456"/>
      <c r="M456"/>
      <c r="N456" t="s">
        <v>112</v>
      </c>
      <c r="O456"/>
      <c r="P456"/>
      <c r="Q456"/>
      <c r="R456"/>
      <c r="S456"/>
      <c r="T456" t="s">
        <v>3284</v>
      </c>
      <c r="U456" t="s">
        <v>3285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>
        <v>15</v>
      </c>
      <c r="AI456">
        <v>17</v>
      </c>
      <c r="AJ456"/>
      <c r="AK456"/>
      <c r="AL456"/>
      <c r="AM456"/>
      <c r="AN456"/>
      <c r="AO456" t="s">
        <v>590</v>
      </c>
      <c r="AP456" t="s">
        <v>591</v>
      </c>
      <c r="AQ456"/>
      <c r="AR456"/>
      <c r="AS456"/>
      <c r="AT456" t="s">
        <v>490</v>
      </c>
      <c r="AU456">
        <v>2018</v>
      </c>
      <c r="AV456">
        <v>170</v>
      </c>
      <c r="AW456"/>
      <c r="AX456"/>
      <c r="AY456"/>
      <c r="AZ456"/>
      <c r="BA456"/>
      <c r="BB456">
        <v>34</v>
      </c>
      <c r="BC456">
        <v>41</v>
      </c>
      <c r="BD456"/>
      <c r="BE456" t="s">
        <v>3286</v>
      </c>
      <c r="BF456" t="str">
        <f>HYPERLINK("http://dx.doi.org/10.1016/j.jclepro.2017.08.244","http://dx.doi.org/10.1016/j.jclepro.2017.08.244")</f>
        <v>http://dx.doi.org/10.1016/j.jclepro.2017.08.244</v>
      </c>
      <c r="BG456"/>
      <c r="BH456"/>
      <c r="BI456"/>
      <c r="BJ456" t="s">
        <v>139</v>
      </c>
      <c r="BK456"/>
      <c r="BL456"/>
      <c r="BM456"/>
      <c r="BN456"/>
      <c r="BO456"/>
      <c r="BP456"/>
      <c r="BQ456"/>
      <c r="BR456"/>
      <c r="BS456"/>
      <c r="BT456" t="str">
        <f>HYPERLINK("https%3A%2F%2Fwww.webofscience.com%2Fwos%2Fwoscc%2Ffull-record%2F","View Full Record in Web of Science")</f>
        <v>View Full Record in Web of Science</v>
      </c>
    </row>
    <row r="457" spans="1:72" customHeight="1" ht="12.75">
      <c r="A457" t="s">
        <v>72</v>
      </c>
      <c r="B457" t="s">
        <v>3287</v>
      </c>
      <c r="C457"/>
      <c r="D457"/>
      <c r="E457"/>
      <c r="F457" t="s">
        <v>3288</v>
      </c>
      <c r="G457"/>
      <c r="H457"/>
      <c r="I457" t="s">
        <v>3289</v>
      </c>
      <c r="J457" t="s">
        <v>1748</v>
      </c>
      <c r="K457"/>
      <c r="L457"/>
      <c r="M457"/>
      <c r="N457" t="s">
        <v>112</v>
      </c>
      <c r="O457"/>
      <c r="P457"/>
      <c r="Q457"/>
      <c r="R457"/>
      <c r="S457"/>
      <c r="T457" t="s">
        <v>3290</v>
      </c>
      <c r="U457" t="s">
        <v>3291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>
        <v>51</v>
      </c>
      <c r="AI457">
        <v>53</v>
      </c>
      <c r="AJ457"/>
      <c r="AK457"/>
      <c r="AL457"/>
      <c r="AM457"/>
      <c r="AN457"/>
      <c r="AO457" t="s">
        <v>1751</v>
      </c>
      <c r="AP457" t="s">
        <v>1752</v>
      </c>
      <c r="AQ457"/>
      <c r="AR457"/>
      <c r="AS457"/>
      <c r="AT457" t="s">
        <v>404</v>
      </c>
      <c r="AU457">
        <v>2019</v>
      </c>
      <c r="AV457">
        <v>43</v>
      </c>
      <c r="AW457">
        <v>1</v>
      </c>
      <c r="AX457"/>
      <c r="AY457"/>
      <c r="AZ457"/>
      <c r="BA457"/>
      <c r="BB457">
        <v>63</v>
      </c>
      <c r="BC457">
        <v>75</v>
      </c>
      <c r="BD457"/>
      <c r="BE457" t="s">
        <v>3292</v>
      </c>
      <c r="BF457" t="str">
        <f>HYPERLINK("http://dx.doi.org/10.1111/1468-2427.12710","http://dx.doi.org/10.1111/1468-2427.12710")</f>
        <v>http://dx.doi.org/10.1111/1468-2427.12710</v>
      </c>
      <c r="BG457"/>
      <c r="BH457"/>
      <c r="BI457"/>
      <c r="BJ457" t="s">
        <v>1754</v>
      </c>
      <c r="BK457"/>
      <c r="BL457"/>
      <c r="BM457"/>
      <c r="BN457"/>
      <c r="BO457"/>
      <c r="BP457"/>
      <c r="BQ457"/>
      <c r="BR457"/>
      <c r="BS457"/>
      <c r="BT457" t="str">
        <f>HYPERLINK("https%3A%2F%2Fwww.webofscience.com%2Fwos%2Fwoscc%2Ffull-record%2F","View Full Record in Web of Science")</f>
        <v>View Full Record in Web of Science</v>
      </c>
    </row>
    <row r="458" spans="1:72" customHeight="1" ht="12.75">
      <c r="A458" t="s">
        <v>72</v>
      </c>
      <c r="B458" t="s">
        <v>3293</v>
      </c>
      <c r="C458"/>
      <c r="D458"/>
      <c r="E458"/>
      <c r="F458" t="s">
        <v>3294</v>
      </c>
      <c r="G458"/>
      <c r="H458"/>
      <c r="I458" t="s">
        <v>3295</v>
      </c>
      <c r="J458" t="s">
        <v>3296</v>
      </c>
      <c r="K458"/>
      <c r="L458"/>
      <c r="M458"/>
      <c r="N458" t="s">
        <v>112</v>
      </c>
      <c r="O458"/>
      <c r="P458"/>
      <c r="Q458"/>
      <c r="R458"/>
      <c r="S458"/>
      <c r="T458" t="s">
        <v>3297</v>
      </c>
      <c r="U458" t="s">
        <v>3298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>
        <v>236</v>
      </c>
      <c r="AI458">
        <v>251</v>
      </c>
      <c r="AJ458"/>
      <c r="AK458"/>
      <c r="AL458"/>
      <c r="AM458"/>
      <c r="AN458"/>
      <c r="AO458" t="s">
        <v>3299</v>
      </c>
      <c r="AP458" t="s">
        <v>3300</v>
      </c>
      <c r="AQ458"/>
      <c r="AR458"/>
      <c r="AS458"/>
      <c r="AT458" t="s">
        <v>145</v>
      </c>
      <c r="AU458">
        <v>2015</v>
      </c>
      <c r="AV458">
        <v>27</v>
      </c>
      <c r="AW458">
        <v>1</v>
      </c>
      <c r="AX458"/>
      <c r="AY458"/>
      <c r="AZ458"/>
      <c r="BA458"/>
      <c r="BB458">
        <v>181</v>
      </c>
      <c r="BC458">
        <v>198</v>
      </c>
      <c r="BD458"/>
      <c r="BE458" t="s">
        <v>3301</v>
      </c>
      <c r="BF458" t="str">
        <f>HYPERLINK("http://dx.doi.org/10.1177/0956247814550780","http://dx.doi.org/10.1177/0956247814550780")</f>
        <v>http://dx.doi.org/10.1177/0956247814550780</v>
      </c>
      <c r="BG458"/>
      <c r="BH458"/>
      <c r="BI458"/>
      <c r="BJ458" t="s">
        <v>2005</v>
      </c>
      <c r="BK458"/>
      <c r="BL458"/>
      <c r="BM458"/>
      <c r="BN458"/>
      <c r="BO458"/>
      <c r="BP458"/>
      <c r="BQ458"/>
      <c r="BR458"/>
      <c r="BS458"/>
      <c r="BT458" t="str">
        <f>HYPERLINK("https%3A%2F%2Fwww.webofscience.com%2Fwos%2Fwoscc%2Ffull-record%2F","View Full Record in Web of Science")</f>
        <v>View Full Record in Web of Science</v>
      </c>
    </row>
    <row r="459" spans="1:72" customHeight="1" ht="12.75">
      <c r="A459" t="s">
        <v>72</v>
      </c>
      <c r="B459" t="s">
        <v>3302</v>
      </c>
      <c r="C459"/>
      <c r="D459"/>
      <c r="E459"/>
      <c r="F459" t="s">
        <v>3303</v>
      </c>
      <c r="G459"/>
      <c r="H459"/>
      <c r="I459" t="s">
        <v>3304</v>
      </c>
      <c r="J459" t="s">
        <v>587</v>
      </c>
      <c r="K459"/>
      <c r="L459"/>
      <c r="M459"/>
      <c r="N459" t="s">
        <v>112</v>
      </c>
      <c r="O459"/>
      <c r="P459"/>
      <c r="Q459"/>
      <c r="R459"/>
      <c r="S459"/>
      <c r="T459" t="s">
        <v>3305</v>
      </c>
      <c r="U459" t="s">
        <v>3306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>
        <v>9</v>
      </c>
      <c r="AI459">
        <v>11</v>
      </c>
      <c r="AJ459"/>
      <c r="AK459"/>
      <c r="AL459"/>
      <c r="AM459"/>
      <c r="AN459"/>
      <c r="AO459" t="s">
        <v>590</v>
      </c>
      <c r="AP459" t="s">
        <v>591</v>
      </c>
      <c r="AQ459"/>
      <c r="AR459"/>
      <c r="AS459"/>
      <c r="AT459" t="s">
        <v>3307</v>
      </c>
      <c r="AU459">
        <v>2020</v>
      </c>
      <c r="AV459">
        <v>258</v>
      </c>
      <c r="AW459"/>
      <c r="AX459"/>
      <c r="AY459"/>
      <c r="AZ459"/>
      <c r="BA459"/>
      <c r="BB459"/>
      <c r="BC459"/>
      <c r="BD459">
        <v>120789</v>
      </c>
      <c r="BE459" t="s">
        <v>3308</v>
      </c>
      <c r="BF459" t="str">
        <f>HYPERLINK("http://dx.doi.org/10.1016/j.jclepro.2020.120789","http://dx.doi.org/10.1016/j.jclepro.2020.120789")</f>
        <v>http://dx.doi.org/10.1016/j.jclepro.2020.120789</v>
      </c>
      <c r="BG459"/>
      <c r="BH459"/>
      <c r="BI459"/>
      <c r="BJ459" t="s">
        <v>139</v>
      </c>
      <c r="BK459"/>
      <c r="BL459"/>
      <c r="BM459"/>
      <c r="BN459"/>
      <c r="BO459"/>
      <c r="BP459"/>
      <c r="BQ459"/>
      <c r="BR459"/>
      <c r="BS459"/>
      <c r="BT459" t="str">
        <f>HYPERLINK("https%3A%2F%2Fwww.webofscience.com%2Fwos%2Fwoscc%2Ffull-record%2F","View Full Record in Web of Science")</f>
        <v>View Full Record in Web of Science</v>
      </c>
    </row>
    <row r="460" spans="1:72" customHeight="1" ht="12.75">
      <c r="A460" t="s">
        <v>72</v>
      </c>
      <c r="B460" t="s">
        <v>3309</v>
      </c>
      <c r="C460"/>
      <c r="D460"/>
      <c r="E460"/>
      <c r="F460" t="s">
        <v>3310</v>
      </c>
      <c r="G460"/>
      <c r="H460"/>
      <c r="I460" t="s">
        <v>3311</v>
      </c>
      <c r="J460" t="s">
        <v>457</v>
      </c>
      <c r="K460"/>
      <c r="L460"/>
      <c r="M460"/>
      <c r="N460" t="s">
        <v>112</v>
      </c>
      <c r="O460"/>
      <c r="P460"/>
      <c r="Q460"/>
      <c r="R460"/>
      <c r="S460"/>
      <c r="T460" t="s">
        <v>3312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>
        <v>0.0</v>
      </c>
      <c r="AI460">
        <v>0.0</v>
      </c>
      <c r="AJ460"/>
      <c r="AK460"/>
      <c r="AL460"/>
      <c r="AM460"/>
      <c r="AN460"/>
      <c r="AO460"/>
      <c r="AP460" t="s">
        <v>458</v>
      </c>
      <c r="AQ460"/>
      <c r="AR460"/>
      <c r="AS460"/>
      <c r="AT460" t="s">
        <v>145</v>
      </c>
      <c r="AU460">
        <v>2022</v>
      </c>
      <c r="AV460">
        <v>14</v>
      </c>
      <c r="AW460">
        <v>7</v>
      </c>
      <c r="AX460"/>
      <c r="AY460"/>
      <c r="AZ460"/>
      <c r="BA460"/>
      <c r="BB460"/>
      <c r="BC460"/>
      <c r="BD460">
        <v>4230</v>
      </c>
      <c r="BE460" t="s">
        <v>3313</v>
      </c>
      <c r="BF460" t="str">
        <f>HYPERLINK("http://dx.doi.org/10.3390/su14074230","http://dx.doi.org/10.3390/su14074230")</f>
        <v>http://dx.doi.org/10.3390/su14074230</v>
      </c>
      <c r="BG460"/>
      <c r="BH460"/>
      <c r="BI460"/>
      <c r="BJ460" t="s">
        <v>460</v>
      </c>
      <c r="BK460"/>
      <c r="BL460"/>
      <c r="BM460"/>
      <c r="BN460"/>
      <c r="BO460"/>
      <c r="BP460"/>
      <c r="BQ460"/>
      <c r="BR460"/>
      <c r="BS460"/>
      <c r="BT460" t="str">
        <f>HYPERLINK("https%3A%2F%2Fwww.webofscience.com%2Fwos%2Fwoscc%2Ffull-record%2F","View Full Record in Web of Science")</f>
        <v>View Full Record in Web of Science</v>
      </c>
    </row>
    <row r="461" spans="1:72" customHeight="1" ht="12.75">
      <c r="A461" t="s">
        <v>72</v>
      </c>
      <c r="B461" t="s">
        <v>3314</v>
      </c>
      <c r="C461"/>
      <c r="D461"/>
      <c r="E461"/>
      <c r="F461" t="s">
        <v>3315</v>
      </c>
      <c r="G461"/>
      <c r="H461"/>
      <c r="I461" t="s">
        <v>3316</v>
      </c>
      <c r="J461" t="s">
        <v>457</v>
      </c>
      <c r="K461"/>
      <c r="L461"/>
      <c r="M461"/>
      <c r="N461" t="s">
        <v>112</v>
      </c>
      <c r="O461"/>
      <c r="P461"/>
      <c r="Q461"/>
      <c r="R461"/>
      <c r="S461"/>
      <c r="T461" t="s">
        <v>3317</v>
      </c>
      <c r="U461" t="s">
        <v>3318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>
        <v>13</v>
      </c>
      <c r="AI461">
        <v>13</v>
      </c>
      <c r="AJ461"/>
      <c r="AK461"/>
      <c r="AL461"/>
      <c r="AM461"/>
      <c r="AN461"/>
      <c r="AO461"/>
      <c r="AP461" t="s">
        <v>458</v>
      </c>
      <c r="AQ461"/>
      <c r="AR461"/>
      <c r="AS461"/>
      <c r="AT461" t="s">
        <v>2501</v>
      </c>
      <c r="AU461">
        <v>2019</v>
      </c>
      <c r="AV461">
        <v>11</v>
      </c>
      <c r="AW461">
        <v>5</v>
      </c>
      <c r="AX461"/>
      <c r="AY461"/>
      <c r="AZ461"/>
      <c r="BA461"/>
      <c r="BB461"/>
      <c r="BC461"/>
      <c r="BD461">
        <v>1434</v>
      </c>
      <c r="BE461" t="s">
        <v>3319</v>
      </c>
      <c r="BF461" t="str">
        <f>HYPERLINK("http://dx.doi.org/10.3390/su11051434","http://dx.doi.org/10.3390/su11051434")</f>
        <v>http://dx.doi.org/10.3390/su11051434</v>
      </c>
      <c r="BG461"/>
      <c r="BH461"/>
      <c r="BI461"/>
      <c r="BJ461" t="s">
        <v>460</v>
      </c>
      <c r="BK461"/>
      <c r="BL461"/>
      <c r="BM461"/>
      <c r="BN461"/>
      <c r="BO461"/>
      <c r="BP461"/>
      <c r="BQ461"/>
      <c r="BR461"/>
      <c r="BS461"/>
      <c r="BT461" t="str">
        <f>HYPERLINK("https%3A%2F%2Fwww.webofscience.com%2Fwos%2Fwoscc%2Ffull-record%2F","View Full Record in Web of Science")</f>
        <v>View Full Record in Web of Science</v>
      </c>
    </row>
    <row r="462" spans="1:72" customHeight="1" ht="12.75">
      <c r="A462" t="s">
        <v>72</v>
      </c>
      <c r="B462" t="s">
        <v>3320</v>
      </c>
      <c r="C462"/>
      <c r="D462"/>
      <c r="E462"/>
      <c r="F462" t="s">
        <v>3321</v>
      </c>
      <c r="G462"/>
      <c r="H462"/>
      <c r="I462" t="s">
        <v>3322</v>
      </c>
      <c r="J462" t="s">
        <v>697</v>
      </c>
      <c r="K462"/>
      <c r="L462"/>
      <c r="M462"/>
      <c r="N462" t="s">
        <v>112</v>
      </c>
      <c r="O462"/>
      <c r="P462"/>
      <c r="Q462"/>
      <c r="R462"/>
      <c r="S462"/>
      <c r="T462" t="s">
        <v>3323</v>
      </c>
      <c r="U462" t="s">
        <v>3324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>
        <v>76</v>
      </c>
      <c r="AI462">
        <v>80</v>
      </c>
      <c r="AJ462"/>
      <c r="AK462"/>
      <c r="AL462"/>
      <c r="AM462"/>
      <c r="AN462"/>
      <c r="AO462" t="s">
        <v>699</v>
      </c>
      <c r="AP462" t="s">
        <v>700</v>
      </c>
      <c r="AQ462"/>
      <c r="AR462"/>
      <c r="AS462"/>
      <c r="AT462" t="s">
        <v>154</v>
      </c>
      <c r="AU462">
        <v>2020</v>
      </c>
      <c r="AV462">
        <v>59</v>
      </c>
      <c r="AW462"/>
      <c r="AX462"/>
      <c r="AY462"/>
      <c r="AZ462"/>
      <c r="BA462"/>
      <c r="BB462"/>
      <c r="BC462"/>
      <c r="BD462">
        <v>102143</v>
      </c>
      <c r="BE462" t="s">
        <v>3325</v>
      </c>
      <c r="BF462" t="str">
        <f>HYPERLINK("http://dx.doi.org/10.1016/j.scs.2020.102143","http://dx.doi.org/10.1016/j.scs.2020.102143")</f>
        <v>http://dx.doi.org/10.1016/j.scs.2020.102143</v>
      </c>
      <c r="BG462"/>
      <c r="BH462"/>
      <c r="BI462"/>
      <c r="BJ462" t="s">
        <v>702</v>
      </c>
      <c r="BK462"/>
      <c r="BL462"/>
      <c r="BM462"/>
      <c r="BN462"/>
      <c r="BO462"/>
      <c r="BP462"/>
      <c r="BQ462"/>
      <c r="BR462"/>
      <c r="BS462"/>
      <c r="BT462" t="str">
        <f>HYPERLINK("https%3A%2F%2Fwww.webofscience.com%2Fwos%2Fwoscc%2Ffull-record%2F","View Full Record in Web of Science")</f>
        <v>View Full Record in Web of Science</v>
      </c>
    </row>
    <row r="463" spans="1:72" customHeight="1" ht="12.75">
      <c r="A463" t="s">
        <v>72</v>
      </c>
      <c r="B463" t="s">
        <v>3326</v>
      </c>
      <c r="C463"/>
      <c r="D463"/>
      <c r="E463"/>
      <c r="F463" t="s">
        <v>3327</v>
      </c>
      <c r="G463"/>
      <c r="H463"/>
      <c r="I463" t="s">
        <v>3328</v>
      </c>
      <c r="J463" t="s">
        <v>457</v>
      </c>
      <c r="K463"/>
      <c r="L463"/>
      <c r="M463"/>
      <c r="N463" t="s">
        <v>112</v>
      </c>
      <c r="O463"/>
      <c r="P463"/>
      <c r="Q463"/>
      <c r="R463"/>
      <c r="S463"/>
      <c r="T463" t="s">
        <v>3329</v>
      </c>
      <c r="U463" t="s">
        <v>3330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>
        <v>2</v>
      </c>
      <c r="AI463">
        <v>2</v>
      </c>
      <c r="AJ463"/>
      <c r="AK463"/>
      <c r="AL463"/>
      <c r="AM463"/>
      <c r="AN463"/>
      <c r="AO463" t="s">
        <v>458</v>
      </c>
      <c r="AP463"/>
      <c r="AQ463"/>
      <c r="AR463"/>
      <c r="AS463"/>
      <c r="AT463" t="s">
        <v>3331</v>
      </c>
      <c r="AU463">
        <v>2019</v>
      </c>
      <c r="AV463">
        <v>11</v>
      </c>
      <c r="AW463">
        <v>13</v>
      </c>
      <c r="AX463"/>
      <c r="AY463"/>
      <c r="AZ463"/>
      <c r="BA463"/>
      <c r="BB463"/>
      <c r="BC463"/>
      <c r="BD463">
        <v>3540</v>
      </c>
      <c r="BE463" t="s">
        <v>3332</v>
      </c>
      <c r="BF463" t="str">
        <f>HYPERLINK("http://dx.doi.org/10.3390/su11133540","http://dx.doi.org/10.3390/su11133540")</f>
        <v>http://dx.doi.org/10.3390/su11133540</v>
      </c>
      <c r="BG463"/>
      <c r="BH463"/>
      <c r="BI463"/>
      <c r="BJ463" t="s">
        <v>460</v>
      </c>
      <c r="BK463"/>
      <c r="BL463"/>
      <c r="BM463"/>
      <c r="BN463"/>
      <c r="BO463"/>
      <c r="BP463"/>
      <c r="BQ463"/>
      <c r="BR463"/>
      <c r="BS463"/>
      <c r="BT463" t="str">
        <f>HYPERLINK("https%3A%2F%2Fwww.webofscience.com%2Fwos%2Fwoscc%2Ffull-record%2F","View Full Record in Web of Science")</f>
        <v>View Full Record in Web of Science</v>
      </c>
    </row>
    <row r="464" spans="1:72" customHeight="1" ht="12.75">
      <c r="A464" t="s">
        <v>72</v>
      </c>
      <c r="B464" t="s">
        <v>1983</v>
      </c>
      <c r="C464"/>
      <c r="D464"/>
      <c r="E464"/>
      <c r="F464" t="s">
        <v>1984</v>
      </c>
      <c r="G464"/>
      <c r="H464"/>
      <c r="I464" t="s">
        <v>3333</v>
      </c>
      <c r="J464" t="s">
        <v>3334</v>
      </c>
      <c r="K464"/>
      <c r="L464"/>
      <c r="M464"/>
      <c r="N464" t="s">
        <v>112</v>
      </c>
      <c r="O464"/>
      <c r="P464"/>
      <c r="Q464"/>
      <c r="R464"/>
      <c r="S464"/>
      <c r="T464" t="s">
        <v>3335</v>
      </c>
      <c r="U464" t="s">
        <v>3336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>
        <v>8</v>
      </c>
      <c r="AI464">
        <v>8</v>
      </c>
      <c r="AJ464"/>
      <c r="AK464"/>
      <c r="AL464"/>
      <c r="AM464"/>
      <c r="AN464"/>
      <c r="AO464"/>
      <c r="AP464" t="s">
        <v>3337</v>
      </c>
      <c r="AQ464"/>
      <c r="AR464"/>
      <c r="AS464"/>
      <c r="AT464" t="s">
        <v>404</v>
      </c>
      <c r="AU464">
        <v>2021</v>
      </c>
      <c r="AV464">
        <v>10</v>
      </c>
      <c r="AW464">
        <v>1</v>
      </c>
      <c r="AX464"/>
      <c r="AY464"/>
      <c r="AZ464"/>
      <c r="BA464"/>
      <c r="BB464"/>
      <c r="BC464"/>
      <c r="BD464">
        <v>2</v>
      </c>
      <c r="BE464" t="s">
        <v>3338</v>
      </c>
      <c r="BF464" t="str">
        <f>HYPERLINK("http://dx.doi.org/10.3390/land10010002","http://dx.doi.org/10.3390/land10010002")</f>
        <v>http://dx.doi.org/10.3390/land10010002</v>
      </c>
      <c r="BG464"/>
      <c r="BH464"/>
      <c r="BI464"/>
      <c r="BJ464" t="s">
        <v>359</v>
      </c>
      <c r="BK464"/>
      <c r="BL464"/>
      <c r="BM464"/>
      <c r="BN464"/>
      <c r="BO464"/>
      <c r="BP464"/>
      <c r="BQ464"/>
      <c r="BR464"/>
      <c r="BS464"/>
      <c r="BT464" t="str">
        <f>HYPERLINK("https%3A%2F%2Fwww.webofscience.com%2Fwos%2Fwoscc%2Ffull-record%2F","View Full Record in Web of Science")</f>
        <v>View Full Record in Web of Science</v>
      </c>
    </row>
    <row r="465" spans="1:72" customHeight="1" ht="12.75">
      <c r="A465" t="s">
        <v>72</v>
      </c>
      <c r="B465" t="s">
        <v>3339</v>
      </c>
      <c r="C465"/>
      <c r="D465"/>
      <c r="E465"/>
      <c r="F465" t="s">
        <v>3340</v>
      </c>
      <c r="G465"/>
      <c r="H465"/>
      <c r="I465" t="s">
        <v>3341</v>
      </c>
      <c r="J465" t="s">
        <v>87</v>
      </c>
      <c r="K465"/>
      <c r="L465"/>
      <c r="M465"/>
      <c r="N465" t="s">
        <v>325</v>
      </c>
      <c r="O465"/>
      <c r="P465"/>
      <c r="Q465"/>
      <c r="R465"/>
      <c r="S465"/>
      <c r="T465" t="s">
        <v>3342</v>
      </c>
      <c r="U465" t="s">
        <v>3343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>
        <v>0.0</v>
      </c>
      <c r="AI465">
        <v>0.0</v>
      </c>
      <c r="AJ465"/>
      <c r="AK465"/>
      <c r="AL465"/>
      <c r="AM465"/>
      <c r="AN465"/>
      <c r="AO465" t="s">
        <v>90</v>
      </c>
      <c r="AP465" t="s">
        <v>91</v>
      </c>
      <c r="AQ465"/>
      <c r="AR465"/>
      <c r="AS465"/>
      <c r="AT465" t="s">
        <v>3344</v>
      </c>
      <c r="AU465">
        <v>2023</v>
      </c>
      <c r="AV465">
        <v>155</v>
      </c>
      <c r="AW465"/>
      <c r="AX465"/>
      <c r="AY465"/>
      <c r="AZ465"/>
      <c r="BA465"/>
      <c r="BB465"/>
      <c r="BC465"/>
      <c r="BD465">
        <v>110947</v>
      </c>
      <c r="BE465" t="s">
        <v>3345</v>
      </c>
      <c r="BF465" t="str">
        <f>HYPERLINK("http://dx.doi.org/10.1016/j.ecolind.2023.110947","http://dx.doi.org/10.1016/j.ecolind.2023.110947")</f>
        <v>http://dx.doi.org/10.1016/j.ecolind.2023.110947</v>
      </c>
      <c r="BG465"/>
      <c r="BH465" t="s">
        <v>3346</v>
      </c>
      <c r="BI465"/>
      <c r="BJ465" t="s">
        <v>94</v>
      </c>
      <c r="BK465"/>
      <c r="BL465"/>
      <c r="BM465"/>
      <c r="BN465"/>
      <c r="BO465"/>
      <c r="BP465"/>
      <c r="BQ465"/>
      <c r="BR465"/>
      <c r="BS465"/>
      <c r="BT465" t="str">
        <f>HYPERLINK("https%3A%2F%2Fwww.webofscience.com%2Fwos%2Fwoscc%2Ffull-record%2F","View Full Record in Web of Science")</f>
        <v>View Full Record in Web of Science</v>
      </c>
    </row>
    <row r="466" spans="1:72" customHeight="1" ht="12.75">
      <c r="A466" t="s">
        <v>72</v>
      </c>
      <c r="B466" t="s">
        <v>3347</v>
      </c>
      <c r="C466"/>
      <c r="D466"/>
      <c r="E466"/>
      <c r="F466" t="s">
        <v>3348</v>
      </c>
      <c r="G466"/>
      <c r="H466"/>
      <c r="I466" t="s">
        <v>3349</v>
      </c>
      <c r="J466" t="s">
        <v>650</v>
      </c>
      <c r="K466"/>
      <c r="L466"/>
      <c r="M466"/>
      <c r="N466" t="s">
        <v>112</v>
      </c>
      <c r="O466"/>
      <c r="P466"/>
      <c r="Q466"/>
      <c r="R466"/>
      <c r="S466"/>
      <c r="T466"/>
      <c r="U466" t="s">
        <v>3350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>
        <v>72</v>
      </c>
      <c r="AI466">
        <v>76</v>
      </c>
      <c r="AJ466"/>
      <c r="AK466"/>
      <c r="AL466"/>
      <c r="AM466"/>
      <c r="AN466"/>
      <c r="AO466" t="s">
        <v>652</v>
      </c>
      <c r="AP466" t="s">
        <v>1274</v>
      </c>
      <c r="AQ466"/>
      <c r="AR466"/>
      <c r="AS466"/>
      <c r="AT466" t="s">
        <v>198</v>
      </c>
      <c r="AU466">
        <v>2016</v>
      </c>
      <c r="AV466">
        <v>22</v>
      </c>
      <c r="AW466"/>
      <c r="AX466"/>
      <c r="AY466"/>
      <c r="AZ466"/>
      <c r="BA466"/>
      <c r="BB466">
        <v>18</v>
      </c>
      <c r="BC466">
        <v>25</v>
      </c>
      <c r="BD466"/>
      <c r="BE466" t="s">
        <v>3351</v>
      </c>
      <c r="BF466" t="str">
        <f>HYPERLINK("http://dx.doi.org/10.1016/j.cosust.2017.01.014","http://dx.doi.org/10.1016/j.cosust.2017.01.014")</f>
        <v>http://dx.doi.org/10.1016/j.cosust.2017.01.014</v>
      </c>
      <c r="BG466"/>
      <c r="BH466"/>
      <c r="BI466"/>
      <c r="BJ466" t="s">
        <v>654</v>
      </c>
      <c r="BK466"/>
      <c r="BL466"/>
      <c r="BM466"/>
      <c r="BN466"/>
      <c r="BO466"/>
      <c r="BP466"/>
      <c r="BQ466"/>
      <c r="BR466"/>
      <c r="BS466"/>
      <c r="BT466" t="str">
        <f>HYPERLINK("https%3A%2F%2Fwww.webofscience.com%2Fwos%2Fwoscc%2Ffull-record%2F","View Full Record in Web of Science")</f>
        <v>View Full Record in Web of Science</v>
      </c>
    </row>
    <row r="467" spans="1:72" customHeight="1" ht="12.75">
      <c r="A467" t="s">
        <v>72</v>
      </c>
      <c r="B467" t="s">
        <v>3352</v>
      </c>
      <c r="C467"/>
      <c r="D467"/>
      <c r="E467"/>
      <c r="F467" t="s">
        <v>3353</v>
      </c>
      <c r="G467"/>
      <c r="H467"/>
      <c r="I467" t="s">
        <v>3354</v>
      </c>
      <c r="J467" t="s">
        <v>3355</v>
      </c>
      <c r="K467"/>
      <c r="L467"/>
      <c r="M467"/>
      <c r="N467" t="s">
        <v>77</v>
      </c>
      <c r="O467"/>
      <c r="P467"/>
      <c r="Q467"/>
      <c r="R467"/>
      <c r="S467"/>
      <c r="T467"/>
      <c r="U467" t="s">
        <v>3356</v>
      </c>
      <c r="V467"/>
      <c r="W467"/>
      <c r="X467"/>
      <c r="Y467"/>
      <c r="Z467"/>
      <c r="AA467"/>
      <c r="AB467"/>
      <c r="AC467"/>
      <c r="AD467"/>
      <c r="AE467"/>
      <c r="AF467"/>
      <c r="AG467"/>
      <c r="AH467">
        <v>2</v>
      </c>
      <c r="AI467">
        <v>2</v>
      </c>
      <c r="AJ467"/>
      <c r="AK467"/>
      <c r="AL467"/>
      <c r="AM467"/>
      <c r="AN467"/>
      <c r="AO467" t="s">
        <v>3357</v>
      </c>
      <c r="AP467" t="s">
        <v>3358</v>
      </c>
      <c r="AQ467"/>
      <c r="AR467"/>
      <c r="AS467"/>
      <c r="AT467" t="s">
        <v>3359</v>
      </c>
      <c r="AU467">
        <v>2023</v>
      </c>
      <c r="AV467">
        <v>9</v>
      </c>
      <c r="AW467"/>
      <c r="AX467"/>
      <c r="AY467"/>
      <c r="AZ467"/>
      <c r="BA467"/>
      <c r="BB467"/>
      <c r="BC467"/>
      <c r="BD467">
        <v>2</v>
      </c>
      <c r="BE467" t="s">
        <v>3360</v>
      </c>
      <c r="BF467" t="str">
        <f>HYPERLINK("http://dx.doi.org/10.34133/ehs.0002","http://dx.doi.org/10.34133/ehs.0002")</f>
        <v>http://dx.doi.org/10.34133/ehs.0002</v>
      </c>
      <c r="BG467"/>
      <c r="BH467"/>
      <c r="BI467"/>
      <c r="BJ467" t="s">
        <v>3361</v>
      </c>
      <c r="BK467"/>
      <c r="BL467"/>
      <c r="BM467"/>
      <c r="BN467"/>
      <c r="BO467"/>
      <c r="BP467"/>
      <c r="BQ467"/>
      <c r="BR467"/>
      <c r="BS467"/>
      <c r="BT467" t="str">
        <f>HYPERLINK("https%3A%2F%2Fwww.webofscience.com%2Fwos%2Fwoscc%2Ffull-record%2F","View Full Record in Web of Science")</f>
        <v>View Full Record in Web of Science</v>
      </c>
    </row>
    <row r="468" spans="1:72" customHeight="1" ht="12.75">
      <c r="A468" t="s">
        <v>72</v>
      </c>
      <c r="B468" t="s">
        <v>3362</v>
      </c>
      <c r="C468"/>
      <c r="D468"/>
      <c r="E468"/>
      <c r="F468" t="s">
        <v>3363</v>
      </c>
      <c r="G468"/>
      <c r="H468"/>
      <c r="I468" t="s">
        <v>3364</v>
      </c>
      <c r="J468" t="s">
        <v>3365</v>
      </c>
      <c r="K468"/>
      <c r="L468"/>
      <c r="M468"/>
      <c r="N468" t="s">
        <v>325</v>
      </c>
      <c r="O468"/>
      <c r="P468"/>
      <c r="Q468"/>
      <c r="R468"/>
      <c r="S468"/>
      <c r="T468" t="s">
        <v>3366</v>
      </c>
      <c r="U468" t="s">
        <v>3367</v>
      </c>
      <c r="V468"/>
      <c r="W468"/>
      <c r="X468"/>
      <c r="Y468"/>
      <c r="Z468"/>
      <c r="AA468"/>
      <c r="AB468"/>
      <c r="AC468"/>
      <c r="AD468"/>
      <c r="AE468"/>
      <c r="AF468"/>
      <c r="AG468"/>
      <c r="AH468">
        <v>0.0</v>
      </c>
      <c r="AI468">
        <v>0.0</v>
      </c>
      <c r="AJ468"/>
      <c r="AK468"/>
      <c r="AL468"/>
      <c r="AM468"/>
      <c r="AN468"/>
      <c r="AO468" t="s">
        <v>3368</v>
      </c>
      <c r="AP468"/>
      <c r="AQ468"/>
      <c r="AR468"/>
      <c r="AS468"/>
      <c r="AT468" t="s">
        <v>3369</v>
      </c>
      <c r="AU468">
        <v>2024</v>
      </c>
      <c r="AV468"/>
      <c r="AW468"/>
      <c r="AX468"/>
      <c r="AY468"/>
      <c r="AZ468"/>
      <c r="BA468"/>
      <c r="BB468"/>
      <c r="BC468"/>
      <c r="BD468"/>
      <c r="BE468" t="s">
        <v>3370</v>
      </c>
      <c r="BF468" t="str">
        <f>HYPERLINK("http://dx.doi.org/10.1080/23251042.2024.2307671","http://dx.doi.org/10.1080/23251042.2024.2307671")</f>
        <v>http://dx.doi.org/10.1080/23251042.2024.2307671</v>
      </c>
      <c r="BG468"/>
      <c r="BH468" t="s">
        <v>3371</v>
      </c>
      <c r="BI468"/>
      <c r="BJ468" t="s">
        <v>359</v>
      </c>
      <c r="BK468"/>
      <c r="BL468"/>
      <c r="BM468"/>
      <c r="BN468"/>
      <c r="BO468"/>
      <c r="BP468"/>
      <c r="BQ468"/>
      <c r="BR468"/>
      <c r="BS468"/>
      <c r="BT468" t="str">
        <f>HYPERLINK("https%3A%2F%2Fwww.webofscience.com%2Fwos%2Fwoscc%2Ffull-record%2F","View Full Record in Web of Science")</f>
        <v>View Full Record in Web of Science</v>
      </c>
    </row>
    <row r="469" spans="1:72" customHeight="1" ht="12.75">
      <c r="A469" t="s">
        <v>72</v>
      </c>
      <c r="B469" t="s">
        <v>3372</v>
      </c>
      <c r="C469"/>
      <c r="D469"/>
      <c r="E469"/>
      <c r="F469" t="s">
        <v>3373</v>
      </c>
      <c r="G469"/>
      <c r="H469"/>
      <c r="I469" t="s">
        <v>3374</v>
      </c>
      <c r="J469" t="s">
        <v>3375</v>
      </c>
      <c r="K469"/>
      <c r="L469"/>
      <c r="M469"/>
      <c r="N469" t="s">
        <v>112</v>
      </c>
      <c r="O469"/>
      <c r="P469"/>
      <c r="Q469"/>
      <c r="R469"/>
      <c r="S469"/>
      <c r="T469" t="s">
        <v>3376</v>
      </c>
      <c r="U469" t="s">
        <v>3377</v>
      </c>
      <c r="V469"/>
      <c r="W469"/>
      <c r="X469"/>
      <c r="Y469"/>
      <c r="Z469"/>
      <c r="AA469"/>
      <c r="AB469"/>
      <c r="AC469"/>
      <c r="AD469"/>
      <c r="AE469"/>
      <c r="AF469"/>
      <c r="AG469"/>
      <c r="AH469">
        <v>35</v>
      </c>
      <c r="AI469">
        <v>38</v>
      </c>
      <c r="AJ469"/>
      <c r="AK469"/>
      <c r="AL469"/>
      <c r="AM469"/>
      <c r="AN469"/>
      <c r="AO469" t="s">
        <v>3378</v>
      </c>
      <c r="AP469" t="s">
        <v>3379</v>
      </c>
      <c r="AQ469"/>
      <c r="AR469"/>
      <c r="AS469"/>
      <c r="AT469" t="s">
        <v>154</v>
      </c>
      <c r="AU469">
        <v>2016</v>
      </c>
      <c r="AV469">
        <v>56</v>
      </c>
      <c r="AW469"/>
      <c r="AX469"/>
      <c r="AY469"/>
      <c r="AZ469"/>
      <c r="BA469"/>
      <c r="BB469">
        <v>212</v>
      </c>
      <c r="BC469">
        <v>221</v>
      </c>
      <c r="BD469"/>
      <c r="BE469" t="s">
        <v>3380</v>
      </c>
      <c r="BF469" t="str">
        <f>HYPERLINK("http://dx.doi.org/10.1016/j.habitatint.2016.06.002","http://dx.doi.org/10.1016/j.habitatint.2016.06.002")</f>
        <v>http://dx.doi.org/10.1016/j.habitatint.2016.06.002</v>
      </c>
      <c r="BG469"/>
      <c r="BH469"/>
      <c r="BI469"/>
      <c r="BJ469" t="s">
        <v>3381</v>
      </c>
      <c r="BK469"/>
      <c r="BL469"/>
      <c r="BM469"/>
      <c r="BN469"/>
      <c r="BO469"/>
      <c r="BP469"/>
      <c r="BQ469"/>
      <c r="BR469"/>
      <c r="BS469"/>
      <c r="BT469" t="str">
        <f>HYPERLINK("https%3A%2F%2Fwww.webofscience.com%2Fwos%2Fwoscc%2Ffull-record%2F","View Full Record in Web of Science")</f>
        <v>View Full Record in Web of Science</v>
      </c>
    </row>
    <row r="470" spans="1:72" customHeight="1" ht="12.75">
      <c r="A470" t="s">
        <v>72</v>
      </c>
      <c r="B470" t="s">
        <v>3382</v>
      </c>
      <c r="C470"/>
      <c r="D470"/>
      <c r="E470"/>
      <c r="F470" t="s">
        <v>3383</v>
      </c>
      <c r="G470"/>
      <c r="H470"/>
      <c r="I470" t="s">
        <v>3384</v>
      </c>
      <c r="J470" t="s">
        <v>510</v>
      </c>
      <c r="K470"/>
      <c r="L470"/>
      <c r="M470"/>
      <c r="N470" t="s">
        <v>112</v>
      </c>
      <c r="O470"/>
      <c r="P470"/>
      <c r="Q470"/>
      <c r="R470"/>
      <c r="S470"/>
      <c r="T470" t="s">
        <v>3385</v>
      </c>
      <c r="U470" t="s">
        <v>3386</v>
      </c>
      <c r="V470"/>
      <c r="W470"/>
      <c r="X470"/>
      <c r="Y470"/>
      <c r="Z470"/>
      <c r="AA470"/>
      <c r="AB470"/>
      <c r="AC470"/>
      <c r="AD470"/>
      <c r="AE470"/>
      <c r="AF470"/>
      <c r="AG470"/>
      <c r="AH470">
        <v>41</v>
      </c>
      <c r="AI470">
        <v>48</v>
      </c>
      <c r="AJ470"/>
      <c r="AK470"/>
      <c r="AL470"/>
      <c r="AM470"/>
      <c r="AN470"/>
      <c r="AO470" t="s">
        <v>511</v>
      </c>
      <c r="AP470" t="s">
        <v>512</v>
      </c>
      <c r="AQ470"/>
      <c r="AR470"/>
      <c r="AS470"/>
      <c r="AT470" t="s">
        <v>513</v>
      </c>
      <c r="AU470">
        <v>2014</v>
      </c>
      <c r="AV470">
        <v>272</v>
      </c>
      <c r="AW470"/>
      <c r="AX470"/>
      <c r="AY470"/>
      <c r="AZ470"/>
      <c r="BA470"/>
      <c r="BB470">
        <v>40</v>
      </c>
      <c r="BC470">
        <v>48</v>
      </c>
      <c r="BD470"/>
      <c r="BE470" t="s">
        <v>3387</v>
      </c>
      <c r="BF470" t="str">
        <f>HYPERLINK("http://dx.doi.org/10.1016/j.ecolmodel.2013.09.014","http://dx.doi.org/10.1016/j.ecolmodel.2013.09.014")</f>
        <v>http://dx.doi.org/10.1016/j.ecolmodel.2013.09.014</v>
      </c>
      <c r="BG470"/>
      <c r="BH470"/>
      <c r="BI470"/>
      <c r="BJ470" t="s">
        <v>181</v>
      </c>
      <c r="BK470"/>
      <c r="BL470"/>
      <c r="BM470"/>
      <c r="BN470"/>
      <c r="BO470"/>
      <c r="BP470"/>
      <c r="BQ470"/>
      <c r="BR470"/>
      <c r="BS470"/>
      <c r="BT470" t="str">
        <f>HYPERLINK("https%3A%2F%2Fwww.webofscience.com%2Fwos%2Fwoscc%2Ffull-record%2F","View Full Record in Web of Science")</f>
        <v>View Full Record in Web of Science</v>
      </c>
    </row>
    <row r="471" spans="1:72" customHeight="1" ht="12.75">
      <c r="A471" t="s">
        <v>72</v>
      </c>
      <c r="B471" t="s">
        <v>3388</v>
      </c>
      <c r="C471"/>
      <c r="D471"/>
      <c r="E471"/>
      <c r="F471" t="s">
        <v>3389</v>
      </c>
      <c r="G471"/>
      <c r="H471"/>
      <c r="I471" t="s">
        <v>3390</v>
      </c>
      <c r="J471" t="s">
        <v>87</v>
      </c>
      <c r="K471"/>
      <c r="L471"/>
      <c r="M471"/>
      <c r="N471" t="s">
        <v>112</v>
      </c>
      <c r="O471"/>
      <c r="P471"/>
      <c r="Q471"/>
      <c r="R471"/>
      <c r="S471"/>
      <c r="T471" t="s">
        <v>3391</v>
      </c>
      <c r="U471" t="s">
        <v>3392</v>
      </c>
      <c r="V471"/>
      <c r="W471"/>
      <c r="X471"/>
      <c r="Y471"/>
      <c r="Z471"/>
      <c r="AA471"/>
      <c r="AB471"/>
      <c r="AC471"/>
      <c r="AD471"/>
      <c r="AE471"/>
      <c r="AF471"/>
      <c r="AG471"/>
      <c r="AH471">
        <v>30</v>
      </c>
      <c r="AI471">
        <v>30</v>
      </c>
      <c r="AJ471"/>
      <c r="AK471"/>
      <c r="AL471"/>
      <c r="AM471"/>
      <c r="AN471"/>
      <c r="AO471" t="s">
        <v>90</v>
      </c>
      <c r="AP471" t="s">
        <v>91</v>
      </c>
      <c r="AQ471"/>
      <c r="AR471"/>
      <c r="AS471"/>
      <c r="AT471" t="s">
        <v>92</v>
      </c>
      <c r="AU471">
        <v>2019</v>
      </c>
      <c r="AV471">
        <v>106</v>
      </c>
      <c r="AW471"/>
      <c r="AX471"/>
      <c r="AY471"/>
      <c r="AZ471"/>
      <c r="BA471"/>
      <c r="BB471"/>
      <c r="BC471"/>
      <c r="BD471">
        <v>105487</v>
      </c>
      <c r="BE471" t="s">
        <v>3393</v>
      </c>
      <c r="BF471" t="str">
        <f>HYPERLINK("http://dx.doi.org/10.1016/j.ecolind.2019.105487","http://dx.doi.org/10.1016/j.ecolind.2019.105487")</f>
        <v>http://dx.doi.org/10.1016/j.ecolind.2019.105487</v>
      </c>
      <c r="BG471"/>
      <c r="BH471"/>
      <c r="BI471"/>
      <c r="BJ471" t="s">
        <v>94</v>
      </c>
      <c r="BK471"/>
      <c r="BL471"/>
      <c r="BM471"/>
      <c r="BN471"/>
      <c r="BO471"/>
      <c r="BP471"/>
      <c r="BQ471"/>
      <c r="BR471"/>
      <c r="BS471"/>
      <c r="BT471" t="str">
        <f>HYPERLINK("https%3A%2F%2Fwww.webofscience.com%2Fwos%2Fwoscc%2Ffull-record%2F","View Full Record in Web of Science")</f>
        <v>View Full Record in Web of Science</v>
      </c>
    </row>
    <row r="472" spans="1:72" customHeight="1" ht="12.75">
      <c r="A472" t="s">
        <v>72</v>
      </c>
      <c r="B472" t="s">
        <v>3394</v>
      </c>
      <c r="C472"/>
      <c r="D472"/>
      <c r="E472"/>
      <c r="F472" t="s">
        <v>3395</v>
      </c>
      <c r="G472"/>
      <c r="H472"/>
      <c r="I472" t="s">
        <v>3396</v>
      </c>
      <c r="J472" t="s">
        <v>111</v>
      </c>
      <c r="K472"/>
      <c r="L472"/>
      <c r="M472"/>
      <c r="N472" t="s">
        <v>325</v>
      </c>
      <c r="O472"/>
      <c r="P472"/>
      <c r="Q472"/>
      <c r="R472"/>
      <c r="S472"/>
      <c r="T472" t="s">
        <v>3397</v>
      </c>
      <c r="U472" t="s">
        <v>3398</v>
      </c>
      <c r="V472"/>
      <c r="W472"/>
      <c r="X472"/>
      <c r="Y472"/>
      <c r="Z472"/>
      <c r="AA472"/>
      <c r="AB472"/>
      <c r="AC472"/>
      <c r="AD472"/>
      <c r="AE472"/>
      <c r="AF472"/>
      <c r="AG472"/>
      <c r="AH472">
        <v>5</v>
      </c>
      <c r="AI472">
        <v>5</v>
      </c>
      <c r="AJ472"/>
      <c r="AK472"/>
      <c r="AL472"/>
      <c r="AM472"/>
      <c r="AN472"/>
      <c r="AO472" t="s">
        <v>115</v>
      </c>
      <c r="AP472" t="s">
        <v>116</v>
      </c>
      <c r="AQ472"/>
      <c r="AR472"/>
      <c r="AS472"/>
      <c r="AT472" t="s">
        <v>3399</v>
      </c>
      <c r="AU472">
        <v>2022</v>
      </c>
      <c r="AV472">
        <v>185</v>
      </c>
      <c r="AW472"/>
      <c r="AX472"/>
      <c r="AY472"/>
      <c r="AZ472"/>
      <c r="BA472"/>
      <c r="BB472"/>
      <c r="BC472"/>
      <c r="BD472">
        <v>106494</v>
      </c>
      <c r="BE472" t="s">
        <v>3400</v>
      </c>
      <c r="BF472" t="str">
        <f>HYPERLINK("http://dx.doi.org/10.1016/j.resconrec.2022.106494","http://dx.doi.org/10.1016/j.resconrec.2022.106494")</f>
        <v>http://dx.doi.org/10.1016/j.resconrec.2022.106494</v>
      </c>
      <c r="BG472"/>
      <c r="BH472" t="s">
        <v>3401</v>
      </c>
      <c r="BI472"/>
      <c r="BJ472" t="s">
        <v>119</v>
      </c>
      <c r="BK472"/>
      <c r="BL472"/>
      <c r="BM472"/>
      <c r="BN472"/>
      <c r="BO472"/>
      <c r="BP472"/>
      <c r="BQ472"/>
      <c r="BR472"/>
      <c r="BS472"/>
      <c r="BT472" t="str">
        <f>HYPERLINK("https%3A%2F%2Fwww.webofscience.com%2Fwos%2Fwoscc%2Ffull-record%2F","View Full Record in Web of Science")</f>
        <v>View Full Record in Web of Science</v>
      </c>
    </row>
    <row r="473" spans="1:72" customHeight="1" ht="12.75">
      <c r="A473" t="s">
        <v>72</v>
      </c>
      <c r="B473" t="s">
        <v>3402</v>
      </c>
      <c r="C473"/>
      <c r="D473"/>
      <c r="E473"/>
      <c r="F473" t="s">
        <v>3403</v>
      </c>
      <c r="G473"/>
      <c r="H473"/>
      <c r="I473" t="s">
        <v>3404</v>
      </c>
      <c r="J473" t="s">
        <v>431</v>
      </c>
      <c r="K473"/>
      <c r="L473"/>
      <c r="M473"/>
      <c r="N473" t="s">
        <v>112</v>
      </c>
      <c r="O473"/>
      <c r="P473"/>
      <c r="Q473"/>
      <c r="R473"/>
      <c r="S473"/>
      <c r="T473" t="s">
        <v>3405</v>
      </c>
      <c r="U473" t="s">
        <v>3406</v>
      </c>
      <c r="V473"/>
      <c r="W473"/>
      <c r="X473"/>
      <c r="Y473"/>
      <c r="Z473"/>
      <c r="AA473"/>
      <c r="AB473"/>
      <c r="AC473"/>
      <c r="AD473"/>
      <c r="AE473"/>
      <c r="AF473"/>
      <c r="AG473"/>
      <c r="AH473">
        <v>24</v>
      </c>
      <c r="AI473">
        <v>24</v>
      </c>
      <c r="AJ473"/>
      <c r="AK473"/>
      <c r="AL473"/>
      <c r="AM473"/>
      <c r="AN473"/>
      <c r="AO473" t="s">
        <v>434</v>
      </c>
      <c r="AP473" t="s">
        <v>435</v>
      </c>
      <c r="AQ473"/>
      <c r="AR473"/>
      <c r="AS473"/>
      <c r="AT473" t="s">
        <v>385</v>
      </c>
      <c r="AU473">
        <v>2020</v>
      </c>
      <c r="AV473">
        <v>83</v>
      </c>
      <c r="AW473"/>
      <c r="AX473"/>
      <c r="AY473"/>
      <c r="AZ473"/>
      <c r="BA473"/>
      <c r="BB473"/>
      <c r="BC473"/>
      <c r="BD473">
        <v>106406</v>
      </c>
      <c r="BE473" t="s">
        <v>3407</v>
      </c>
      <c r="BF473" t="str">
        <f>HYPERLINK("http://dx.doi.org/10.1016/j.eiar.2020.106406","http://dx.doi.org/10.1016/j.eiar.2020.106406")</f>
        <v>http://dx.doi.org/10.1016/j.eiar.2020.106406</v>
      </c>
      <c r="BG473"/>
      <c r="BH473"/>
      <c r="BI473"/>
      <c r="BJ473" t="s">
        <v>359</v>
      </c>
      <c r="BK473"/>
      <c r="BL473"/>
      <c r="BM473"/>
      <c r="BN473"/>
      <c r="BO473"/>
      <c r="BP473"/>
      <c r="BQ473"/>
      <c r="BR473"/>
      <c r="BS473"/>
      <c r="BT473" t="str">
        <f>HYPERLINK("https%3A%2F%2Fwww.webofscience.com%2Fwos%2Fwoscc%2Ffull-record%2F","View Full Record in Web of Science")</f>
        <v>View Full Record in Web of Science</v>
      </c>
    </row>
    <row r="474" spans="1:72" customHeight="1" ht="12.75">
      <c r="A474" t="s">
        <v>72</v>
      </c>
      <c r="B474" t="s">
        <v>3408</v>
      </c>
      <c r="C474"/>
      <c r="D474"/>
      <c r="E474"/>
      <c r="F474" t="s">
        <v>3408</v>
      </c>
      <c r="G474"/>
      <c r="H474"/>
      <c r="I474" t="s">
        <v>3409</v>
      </c>
      <c r="J474" t="s">
        <v>3410</v>
      </c>
      <c r="K474"/>
      <c r="L474"/>
      <c r="M474"/>
      <c r="N474" t="s">
        <v>112</v>
      </c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>
        <v>36</v>
      </c>
      <c r="AI474">
        <v>43</v>
      </c>
      <c r="AJ474"/>
      <c r="AK474"/>
      <c r="AL474"/>
      <c r="AM474"/>
      <c r="AN474"/>
      <c r="AO474" t="s">
        <v>3411</v>
      </c>
      <c r="AP474" t="s">
        <v>3412</v>
      </c>
      <c r="AQ474"/>
      <c r="AR474"/>
      <c r="AS474"/>
      <c r="AT474" t="s">
        <v>394</v>
      </c>
      <c r="AU474">
        <v>2006</v>
      </c>
      <c r="AV474">
        <v>38</v>
      </c>
      <c r="AW474">
        <v>2</v>
      </c>
      <c r="AX474"/>
      <c r="AY474"/>
      <c r="AZ474"/>
      <c r="BA474"/>
      <c r="BB474">
        <v>313</v>
      </c>
      <c r="BC474">
        <v>324</v>
      </c>
      <c r="BD474"/>
      <c r="BE474" t="s">
        <v>3413</v>
      </c>
      <c r="BF474" t="str">
        <f>HYPERLINK("http://dx.doi.org/10.1068/a37272","http://dx.doi.org/10.1068/a37272")</f>
        <v>http://dx.doi.org/10.1068/a37272</v>
      </c>
      <c r="BG474"/>
      <c r="BH474"/>
      <c r="BI474"/>
      <c r="BJ474" t="s">
        <v>2958</v>
      </c>
      <c r="BK474"/>
      <c r="BL474"/>
      <c r="BM474"/>
      <c r="BN474"/>
      <c r="BO474"/>
      <c r="BP474"/>
      <c r="BQ474"/>
      <c r="BR474"/>
      <c r="BS474"/>
      <c r="BT474" t="str">
        <f>HYPERLINK("https%3A%2F%2Fwww.webofscience.com%2Fwos%2Fwoscc%2Ffull-record%2F","View Full Record in Web of Science")</f>
        <v>View Full Record in Web of Science</v>
      </c>
    </row>
    <row r="475" spans="1:72" customHeight="1" ht="12.75">
      <c r="A475" t="s">
        <v>72</v>
      </c>
      <c r="B475" t="s">
        <v>3414</v>
      </c>
      <c r="C475"/>
      <c r="D475"/>
      <c r="E475"/>
      <c r="F475" t="s">
        <v>3415</v>
      </c>
      <c r="G475"/>
      <c r="H475"/>
      <c r="I475" t="s">
        <v>3416</v>
      </c>
      <c r="J475" t="s">
        <v>619</v>
      </c>
      <c r="K475"/>
      <c r="L475"/>
      <c r="M475"/>
      <c r="N475" t="s">
        <v>112</v>
      </c>
      <c r="O475"/>
      <c r="P475"/>
      <c r="Q475"/>
      <c r="R475"/>
      <c r="S475"/>
      <c r="T475" t="s">
        <v>3417</v>
      </c>
      <c r="U475" t="s">
        <v>3418</v>
      </c>
      <c r="V475"/>
      <c r="W475"/>
      <c r="X475"/>
      <c r="Y475"/>
      <c r="Z475"/>
      <c r="AA475"/>
      <c r="AB475"/>
      <c r="AC475"/>
      <c r="AD475"/>
      <c r="AE475"/>
      <c r="AF475"/>
      <c r="AG475"/>
      <c r="AH475">
        <v>26</v>
      </c>
      <c r="AI475">
        <v>26</v>
      </c>
      <c r="AJ475"/>
      <c r="AK475"/>
      <c r="AL475"/>
      <c r="AM475"/>
      <c r="AN475"/>
      <c r="AO475" t="s">
        <v>622</v>
      </c>
      <c r="AP475" t="s">
        <v>623</v>
      </c>
      <c r="AQ475"/>
      <c r="AR475"/>
      <c r="AS475"/>
      <c r="AT475" t="s">
        <v>362</v>
      </c>
      <c r="AU475">
        <v>2012</v>
      </c>
      <c r="AV475">
        <v>42</v>
      </c>
      <c r="AW475">
        <v>1</v>
      </c>
      <c r="AX475"/>
      <c r="AY475"/>
      <c r="AZ475"/>
      <c r="BA475"/>
      <c r="BB475">
        <v>387</v>
      </c>
      <c r="BC475">
        <v>392</v>
      </c>
      <c r="BD475"/>
      <c r="BE475" t="s">
        <v>3419</v>
      </c>
      <c r="BF475" t="str">
        <f>HYPERLINK("http://dx.doi.org/10.1016/j.energy.2012.03.038","http://dx.doi.org/10.1016/j.energy.2012.03.038")</f>
        <v>http://dx.doi.org/10.1016/j.energy.2012.03.038</v>
      </c>
      <c r="BG475"/>
      <c r="BH475"/>
      <c r="BI475"/>
      <c r="BJ475" t="s">
        <v>626</v>
      </c>
      <c r="BK475"/>
      <c r="BL475"/>
      <c r="BM475"/>
      <c r="BN475"/>
      <c r="BO475"/>
      <c r="BP475"/>
      <c r="BQ475"/>
      <c r="BR475"/>
      <c r="BS475"/>
      <c r="BT475" t="str">
        <f>HYPERLINK("https%3A%2F%2Fwww.webofscience.com%2Fwos%2Fwoscc%2Ffull-record%2F","View Full Record in Web of Science")</f>
        <v>View Full Record in Web of Science</v>
      </c>
    </row>
    <row r="476" spans="1:72" customHeight="1" ht="12.75">
      <c r="A476" t="s">
        <v>72</v>
      </c>
      <c r="B476" t="s">
        <v>3420</v>
      </c>
      <c r="C476"/>
      <c r="D476"/>
      <c r="E476"/>
      <c r="F476" t="s">
        <v>3421</v>
      </c>
      <c r="G476"/>
      <c r="H476"/>
      <c r="I476" t="s">
        <v>3422</v>
      </c>
      <c r="J476" t="s">
        <v>133</v>
      </c>
      <c r="K476"/>
      <c r="L476"/>
      <c r="M476"/>
      <c r="N476" t="s">
        <v>325</v>
      </c>
      <c r="O476"/>
      <c r="P476"/>
      <c r="Q476"/>
      <c r="R476"/>
      <c r="S476"/>
      <c r="T476" t="s">
        <v>3423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>
        <v>15</v>
      </c>
      <c r="AI476">
        <v>15</v>
      </c>
      <c r="AJ476"/>
      <c r="AK476"/>
      <c r="AL476"/>
      <c r="AM476"/>
      <c r="AN476"/>
      <c r="AO476" t="s">
        <v>136</v>
      </c>
      <c r="AP476" t="s">
        <v>137</v>
      </c>
      <c r="AQ476"/>
      <c r="AR476"/>
      <c r="AS476"/>
      <c r="AT476" t="s">
        <v>3424</v>
      </c>
      <c r="AU476">
        <v>2021</v>
      </c>
      <c r="AV476">
        <v>25</v>
      </c>
      <c r="AW476">
        <v>4</v>
      </c>
      <c r="AX476"/>
      <c r="AY476"/>
      <c r="AZ476"/>
      <c r="BA476"/>
      <c r="BB476">
        <v>948</v>
      </c>
      <c r="BC476">
        <v>960</v>
      </c>
      <c r="BD476"/>
      <c r="BE476" t="s">
        <v>3425</v>
      </c>
      <c r="BF476" t="str">
        <f>HYPERLINK("http://dx.doi.org/10.1111/jiec.13107","http://dx.doi.org/10.1111/jiec.13107")</f>
        <v>http://dx.doi.org/10.1111/jiec.13107</v>
      </c>
      <c r="BG476"/>
      <c r="BH476" t="s">
        <v>2111</v>
      </c>
      <c r="BI476"/>
      <c r="BJ476" t="s">
        <v>139</v>
      </c>
      <c r="BK476"/>
      <c r="BL476"/>
      <c r="BM476"/>
      <c r="BN476"/>
      <c r="BO476"/>
      <c r="BP476"/>
      <c r="BQ476"/>
      <c r="BR476"/>
      <c r="BS476"/>
      <c r="BT476" t="str">
        <f>HYPERLINK("https%3A%2F%2Fwww.webofscience.com%2Fwos%2Fwoscc%2Ffull-record%2F","View Full Record in Web of Science")</f>
        <v>View Full Record in Web of Science</v>
      </c>
    </row>
    <row r="477" spans="1:72" customHeight="1" ht="12.75">
      <c r="A477" t="s">
        <v>72</v>
      </c>
      <c r="B477" t="s">
        <v>3426</v>
      </c>
      <c r="C477"/>
      <c r="D477"/>
      <c r="E477"/>
      <c r="F477" t="s">
        <v>3427</v>
      </c>
      <c r="G477"/>
      <c r="H477"/>
      <c r="I477" t="s">
        <v>3428</v>
      </c>
      <c r="J477" t="s">
        <v>409</v>
      </c>
      <c r="K477"/>
      <c r="L477"/>
      <c r="M477"/>
      <c r="N477" t="s">
        <v>325</v>
      </c>
      <c r="O477"/>
      <c r="P477"/>
      <c r="Q477"/>
      <c r="R477"/>
      <c r="S477"/>
      <c r="T477" t="s">
        <v>3429</v>
      </c>
      <c r="U477" t="s">
        <v>3430</v>
      </c>
      <c r="V477"/>
      <c r="W477"/>
      <c r="X477"/>
      <c r="Y477"/>
      <c r="Z477"/>
      <c r="AA477"/>
      <c r="AB477"/>
      <c r="AC477"/>
      <c r="AD477"/>
      <c r="AE477"/>
      <c r="AF477"/>
      <c r="AG477"/>
      <c r="AH477">
        <v>11</v>
      </c>
      <c r="AI477">
        <v>12</v>
      </c>
      <c r="AJ477"/>
      <c r="AK477"/>
      <c r="AL477"/>
      <c r="AM477"/>
      <c r="AN477"/>
      <c r="AO477" t="s">
        <v>1080</v>
      </c>
      <c r="AP477" t="s">
        <v>1081</v>
      </c>
      <c r="AQ477"/>
      <c r="AR477"/>
      <c r="AS477"/>
      <c r="AT477" t="s">
        <v>1028</v>
      </c>
      <c r="AU477">
        <v>2021</v>
      </c>
      <c r="AV477">
        <v>109</v>
      </c>
      <c r="AW477"/>
      <c r="AX477"/>
      <c r="AY477"/>
      <c r="AZ477"/>
      <c r="BA477"/>
      <c r="BB477"/>
      <c r="BC477"/>
      <c r="BD477">
        <v>103029</v>
      </c>
      <c r="BE477" t="s">
        <v>3431</v>
      </c>
      <c r="BF477" t="str">
        <f>HYPERLINK("http://dx.doi.org/10.1016/j.cities.2020.103029","http://dx.doi.org/10.1016/j.cities.2020.103029")</f>
        <v>http://dx.doi.org/10.1016/j.cities.2020.103029</v>
      </c>
      <c r="BG477"/>
      <c r="BH477" t="s">
        <v>583</v>
      </c>
      <c r="BI477"/>
      <c r="BJ477" t="s">
        <v>243</v>
      </c>
      <c r="BK477"/>
      <c r="BL477"/>
      <c r="BM477"/>
      <c r="BN477"/>
      <c r="BO477"/>
      <c r="BP477"/>
      <c r="BQ477"/>
      <c r="BR477"/>
      <c r="BS477"/>
      <c r="BT477" t="str">
        <f>HYPERLINK("https%3A%2F%2Fwww.webofscience.com%2Fwos%2Fwoscc%2Ffull-record%2F","View Full Record in Web of Science")</f>
        <v>View Full Record in Web of Science</v>
      </c>
    </row>
    <row r="478" spans="1:72" customHeight="1" ht="12.75">
      <c r="A478" t="s">
        <v>72</v>
      </c>
      <c r="B478" t="s">
        <v>3432</v>
      </c>
      <c r="C478"/>
      <c r="D478"/>
      <c r="E478"/>
      <c r="F478" t="s">
        <v>3433</v>
      </c>
      <c r="G478"/>
      <c r="H478"/>
      <c r="I478" t="s">
        <v>3434</v>
      </c>
      <c r="J478" t="s">
        <v>2632</v>
      </c>
      <c r="K478"/>
      <c r="L478"/>
      <c r="M478"/>
      <c r="N478" t="s">
        <v>112</v>
      </c>
      <c r="O478"/>
      <c r="P478"/>
      <c r="Q478"/>
      <c r="R478"/>
      <c r="S478"/>
      <c r="T478" t="s">
        <v>3435</v>
      </c>
      <c r="U478" t="s">
        <v>3436</v>
      </c>
      <c r="V478"/>
      <c r="W478"/>
      <c r="X478"/>
      <c r="Y478"/>
      <c r="Z478"/>
      <c r="AA478"/>
      <c r="AB478"/>
      <c r="AC478"/>
      <c r="AD478"/>
      <c r="AE478"/>
      <c r="AF478"/>
      <c r="AG478"/>
      <c r="AH478">
        <v>20</v>
      </c>
      <c r="AI478">
        <v>21</v>
      </c>
      <c r="AJ478"/>
      <c r="AK478"/>
      <c r="AL478"/>
      <c r="AM478"/>
      <c r="AN478"/>
      <c r="AO478" t="s">
        <v>2635</v>
      </c>
      <c r="AP478" t="s">
        <v>2636</v>
      </c>
      <c r="AQ478"/>
      <c r="AR478"/>
      <c r="AS478"/>
      <c r="AT478" t="s">
        <v>404</v>
      </c>
      <c r="AU478">
        <v>2019</v>
      </c>
      <c r="AV478">
        <v>124</v>
      </c>
      <c r="AW478"/>
      <c r="AX478"/>
      <c r="AY478"/>
      <c r="AZ478"/>
      <c r="BA478"/>
      <c r="BB478">
        <v>13</v>
      </c>
      <c r="BC478">
        <v>22</v>
      </c>
      <c r="BD478"/>
      <c r="BE478" t="s">
        <v>3437</v>
      </c>
      <c r="BF478" t="str">
        <f>HYPERLINK("http://dx.doi.org/10.1016/j.enpol.2018.09.028","http://dx.doi.org/10.1016/j.enpol.2018.09.028")</f>
        <v>http://dx.doi.org/10.1016/j.enpol.2018.09.028</v>
      </c>
      <c r="BG478"/>
      <c r="BH478"/>
      <c r="BI478"/>
      <c r="BJ478" t="s">
        <v>2638</v>
      </c>
      <c r="BK478"/>
      <c r="BL478"/>
      <c r="BM478"/>
      <c r="BN478"/>
      <c r="BO478"/>
      <c r="BP478"/>
      <c r="BQ478"/>
      <c r="BR478"/>
      <c r="BS478"/>
      <c r="BT478" t="str">
        <f>HYPERLINK("https%3A%2F%2Fwww.webofscience.com%2Fwos%2Fwoscc%2Ffull-record%2F","View Full Record in Web of Science")</f>
        <v>View Full Record in Web of Science</v>
      </c>
    </row>
    <row r="479" spans="1:72" customHeight="1" ht="12.75">
      <c r="A479" t="s">
        <v>72</v>
      </c>
      <c r="B479" t="s">
        <v>3438</v>
      </c>
      <c r="C479"/>
      <c r="D479"/>
      <c r="E479"/>
      <c r="F479" t="s">
        <v>3439</v>
      </c>
      <c r="G479"/>
      <c r="H479"/>
      <c r="I479" t="s">
        <v>3440</v>
      </c>
      <c r="J479" t="s">
        <v>587</v>
      </c>
      <c r="K479"/>
      <c r="L479"/>
      <c r="M479"/>
      <c r="N479" t="s">
        <v>325</v>
      </c>
      <c r="O479"/>
      <c r="P479"/>
      <c r="Q479"/>
      <c r="R479"/>
      <c r="S479"/>
      <c r="T479" t="s">
        <v>3441</v>
      </c>
      <c r="U479" t="s">
        <v>3442</v>
      </c>
      <c r="V479"/>
      <c r="W479"/>
      <c r="X479"/>
      <c r="Y479"/>
      <c r="Z479"/>
      <c r="AA479"/>
      <c r="AB479"/>
      <c r="AC479"/>
      <c r="AD479"/>
      <c r="AE479"/>
      <c r="AF479"/>
      <c r="AG479"/>
      <c r="AH479">
        <v>4</v>
      </c>
      <c r="AI479">
        <v>5</v>
      </c>
      <c r="AJ479"/>
      <c r="AK479"/>
      <c r="AL479"/>
      <c r="AM479"/>
      <c r="AN479"/>
      <c r="AO479" t="s">
        <v>590</v>
      </c>
      <c r="AP479" t="s">
        <v>591</v>
      </c>
      <c r="AQ479"/>
      <c r="AR479"/>
      <c r="AS479"/>
      <c r="AT479" t="s">
        <v>3443</v>
      </c>
      <c r="AU479">
        <v>2022</v>
      </c>
      <c r="AV479">
        <v>363</v>
      </c>
      <c r="AW479"/>
      <c r="AX479"/>
      <c r="AY479"/>
      <c r="AZ479"/>
      <c r="BA479"/>
      <c r="BB479"/>
      <c r="BC479"/>
      <c r="BD479">
        <v>132616</v>
      </c>
      <c r="BE479" t="s">
        <v>3444</v>
      </c>
      <c r="BF479" t="str">
        <f>HYPERLINK("http://dx.doi.org/10.1016/j.jclepro.2022.132616","http://dx.doi.org/10.1016/j.jclepro.2022.132616")</f>
        <v>http://dx.doi.org/10.1016/j.jclepro.2022.132616</v>
      </c>
      <c r="BG479"/>
      <c r="BH479" t="s">
        <v>3445</v>
      </c>
      <c r="BI479"/>
      <c r="BJ479" t="s">
        <v>139</v>
      </c>
      <c r="BK479"/>
      <c r="BL479"/>
      <c r="BM479"/>
      <c r="BN479"/>
      <c r="BO479"/>
      <c r="BP479"/>
      <c r="BQ479"/>
      <c r="BR479"/>
      <c r="BS479"/>
      <c r="BT479" t="str">
        <f>HYPERLINK("https%3A%2F%2Fwww.webofscience.com%2Fwos%2Fwoscc%2Ffull-record%2F","View Full Record in Web of Science")</f>
        <v>View Full Record in Web of Science</v>
      </c>
    </row>
    <row r="480" spans="1:72" customHeight="1" ht="12.75">
      <c r="A480" t="s">
        <v>72</v>
      </c>
      <c r="B480" t="s">
        <v>3446</v>
      </c>
      <c r="C480"/>
      <c r="D480"/>
      <c r="E480"/>
      <c r="F480" t="s">
        <v>3447</v>
      </c>
      <c r="G480"/>
      <c r="H480"/>
      <c r="I480" t="s">
        <v>3448</v>
      </c>
      <c r="J480" t="s">
        <v>457</v>
      </c>
      <c r="K480"/>
      <c r="L480"/>
      <c r="M480"/>
      <c r="N480" t="s">
        <v>112</v>
      </c>
      <c r="O480"/>
      <c r="P480"/>
      <c r="Q480"/>
      <c r="R480"/>
      <c r="S480"/>
      <c r="T480" t="s">
        <v>3449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>
        <v>2</v>
      </c>
      <c r="AI480">
        <v>2</v>
      </c>
      <c r="AJ480"/>
      <c r="AK480"/>
      <c r="AL480"/>
      <c r="AM480"/>
      <c r="AN480"/>
      <c r="AO480"/>
      <c r="AP480" t="s">
        <v>458</v>
      </c>
      <c r="AQ480"/>
      <c r="AR480"/>
      <c r="AS480"/>
      <c r="AT480" t="s">
        <v>362</v>
      </c>
      <c r="AU480">
        <v>2020</v>
      </c>
      <c r="AV480">
        <v>12</v>
      </c>
      <c r="AW480">
        <v>11</v>
      </c>
      <c r="AX480"/>
      <c r="AY480"/>
      <c r="AZ480"/>
      <c r="BA480"/>
      <c r="BB480"/>
      <c r="BC480"/>
      <c r="BD480">
        <v>4549</v>
      </c>
      <c r="BE480" t="s">
        <v>3450</v>
      </c>
      <c r="BF480" t="str">
        <f>HYPERLINK("http://dx.doi.org/10.3390/su12114549","http://dx.doi.org/10.3390/su12114549")</f>
        <v>http://dx.doi.org/10.3390/su12114549</v>
      </c>
      <c r="BG480"/>
      <c r="BH480"/>
      <c r="BI480"/>
      <c r="BJ480" t="s">
        <v>460</v>
      </c>
      <c r="BK480"/>
      <c r="BL480"/>
      <c r="BM480"/>
      <c r="BN480"/>
      <c r="BO480"/>
      <c r="BP480"/>
      <c r="BQ480"/>
      <c r="BR480"/>
      <c r="BS480"/>
      <c r="BT480" t="str">
        <f>HYPERLINK("https%3A%2F%2Fwww.webofscience.com%2Fwos%2Fwoscc%2Ffull-record%2F","View Full Record in Web of Science")</f>
        <v>View Full Record in Web of Science</v>
      </c>
    </row>
    <row r="481" spans="1:72" customHeight="1" ht="12.75">
      <c r="A481" t="s">
        <v>72</v>
      </c>
      <c r="B481" t="s">
        <v>3451</v>
      </c>
      <c r="C481"/>
      <c r="D481"/>
      <c r="E481"/>
      <c r="F481" t="s">
        <v>3452</v>
      </c>
      <c r="G481"/>
      <c r="H481"/>
      <c r="I481" t="s">
        <v>3453</v>
      </c>
      <c r="J481" t="s">
        <v>834</v>
      </c>
      <c r="K481"/>
      <c r="L481"/>
      <c r="M481"/>
      <c r="N481" t="s">
        <v>325</v>
      </c>
      <c r="O481"/>
      <c r="P481"/>
      <c r="Q481"/>
      <c r="R481"/>
      <c r="S481"/>
      <c r="T481" t="s">
        <v>3454</v>
      </c>
      <c r="U481" t="s">
        <v>3455</v>
      </c>
      <c r="V481"/>
      <c r="W481"/>
      <c r="X481"/>
      <c r="Y481"/>
      <c r="Z481"/>
      <c r="AA481"/>
      <c r="AB481"/>
      <c r="AC481"/>
      <c r="AD481"/>
      <c r="AE481"/>
      <c r="AF481"/>
      <c r="AG481"/>
      <c r="AH481">
        <v>0.0</v>
      </c>
      <c r="AI481">
        <v>0.0</v>
      </c>
      <c r="AJ481"/>
      <c r="AK481"/>
      <c r="AL481"/>
      <c r="AM481"/>
      <c r="AN481"/>
      <c r="AO481" t="s">
        <v>837</v>
      </c>
      <c r="AP481" t="s">
        <v>838</v>
      </c>
      <c r="AQ481"/>
      <c r="AR481"/>
      <c r="AS481"/>
      <c r="AT481" t="s">
        <v>3456</v>
      </c>
      <c r="AU481">
        <v>2022</v>
      </c>
      <c r="AV481">
        <v>29</v>
      </c>
      <c r="AW481">
        <v>2</v>
      </c>
      <c r="AX481"/>
      <c r="AY481"/>
      <c r="AZ481"/>
      <c r="BA481"/>
      <c r="BB481">
        <v>164</v>
      </c>
      <c r="BC481">
        <v>175</v>
      </c>
      <c r="BD481"/>
      <c r="BE481" t="s">
        <v>3457</v>
      </c>
      <c r="BF481" t="str">
        <f>HYPERLINK("http://dx.doi.org/10.1080/13504509.2021.1936270","http://dx.doi.org/10.1080/13504509.2021.1936270")</f>
        <v>http://dx.doi.org/10.1080/13504509.2021.1936270</v>
      </c>
      <c r="BG481"/>
      <c r="BH481" t="s">
        <v>2686</v>
      </c>
      <c r="BI481"/>
      <c r="BJ481" t="s">
        <v>840</v>
      </c>
      <c r="BK481"/>
      <c r="BL481"/>
      <c r="BM481"/>
      <c r="BN481"/>
      <c r="BO481"/>
      <c r="BP481"/>
      <c r="BQ481"/>
      <c r="BR481"/>
      <c r="BS481"/>
      <c r="BT481" t="str">
        <f>HYPERLINK("https%3A%2F%2Fwww.webofscience.com%2Fwos%2Fwoscc%2Ffull-record%2F","View Full Record in Web of Science")</f>
        <v>View Full Record in Web of Science</v>
      </c>
    </row>
    <row r="482" spans="1:72" customHeight="1" ht="12.75">
      <c r="A482" t="s">
        <v>72</v>
      </c>
      <c r="B482" t="s">
        <v>3458</v>
      </c>
      <c r="C482"/>
      <c r="D482"/>
      <c r="E482"/>
      <c r="F482" t="s">
        <v>3459</v>
      </c>
      <c r="G482"/>
      <c r="H482"/>
      <c r="I482" t="s">
        <v>3460</v>
      </c>
      <c r="J482" t="s">
        <v>3461</v>
      </c>
      <c r="K482"/>
      <c r="L482"/>
      <c r="M482"/>
      <c r="N482" t="s">
        <v>112</v>
      </c>
      <c r="O482"/>
      <c r="P482"/>
      <c r="Q482"/>
      <c r="R482"/>
      <c r="S482"/>
      <c r="T482" t="s">
        <v>3462</v>
      </c>
      <c r="U482" t="s">
        <v>3463</v>
      </c>
      <c r="V482"/>
      <c r="W482"/>
      <c r="X482"/>
      <c r="Y482"/>
      <c r="Z482"/>
      <c r="AA482"/>
      <c r="AB482"/>
      <c r="AC482"/>
      <c r="AD482"/>
      <c r="AE482"/>
      <c r="AF482"/>
      <c r="AG482"/>
      <c r="AH482">
        <v>14</v>
      </c>
      <c r="AI482">
        <v>15</v>
      </c>
      <c r="AJ482"/>
      <c r="AK482"/>
      <c r="AL482"/>
      <c r="AM482"/>
      <c r="AN482"/>
      <c r="AO482" t="s">
        <v>3464</v>
      </c>
      <c r="AP482" t="s">
        <v>3465</v>
      </c>
      <c r="AQ482"/>
      <c r="AR482"/>
      <c r="AS482"/>
      <c r="AT482" t="s">
        <v>362</v>
      </c>
      <c r="AU482">
        <v>2017</v>
      </c>
      <c r="AV482">
        <v>42</v>
      </c>
      <c r="AW482">
        <v>2</v>
      </c>
      <c r="AX482"/>
      <c r="AY482"/>
      <c r="AZ482"/>
      <c r="BA482"/>
      <c r="BB482">
        <v>260</v>
      </c>
      <c r="BC482">
        <v>273</v>
      </c>
      <c r="BD482"/>
      <c r="BE482" t="s">
        <v>3466</v>
      </c>
      <c r="BF482" t="str">
        <f>HYPERLINK("http://dx.doi.org/10.1111/tran.12161","http://dx.doi.org/10.1111/tran.12161")</f>
        <v>http://dx.doi.org/10.1111/tran.12161</v>
      </c>
      <c r="BG482"/>
      <c r="BH482"/>
      <c r="BI482"/>
      <c r="BJ482" t="s">
        <v>83</v>
      </c>
      <c r="BK482"/>
      <c r="BL482"/>
      <c r="BM482"/>
      <c r="BN482"/>
      <c r="BO482"/>
      <c r="BP482"/>
      <c r="BQ482"/>
      <c r="BR482"/>
      <c r="BS482"/>
      <c r="BT482" t="str">
        <f>HYPERLINK("https%3A%2F%2Fwww.webofscience.com%2Fwos%2Fwoscc%2Ffull-record%2F","View Full Record in Web of Science")</f>
        <v>View Full Record in Web of Science</v>
      </c>
    </row>
    <row r="483" spans="1:72" customHeight="1" ht="12.75">
      <c r="A483" t="s">
        <v>72</v>
      </c>
      <c r="B483" t="s">
        <v>3467</v>
      </c>
      <c r="C483"/>
      <c r="D483"/>
      <c r="E483"/>
      <c r="F483" t="s">
        <v>3468</v>
      </c>
      <c r="G483"/>
      <c r="H483"/>
      <c r="I483" t="s">
        <v>3469</v>
      </c>
      <c r="J483" t="s">
        <v>133</v>
      </c>
      <c r="K483"/>
      <c r="L483"/>
      <c r="M483"/>
      <c r="N483" t="s">
        <v>112</v>
      </c>
      <c r="O483"/>
      <c r="P483"/>
      <c r="Q483"/>
      <c r="R483"/>
      <c r="S483"/>
      <c r="T483" t="s">
        <v>3470</v>
      </c>
      <c r="U483" t="s">
        <v>3471</v>
      </c>
      <c r="V483"/>
      <c r="W483"/>
      <c r="X483"/>
      <c r="Y483"/>
      <c r="Z483"/>
      <c r="AA483"/>
      <c r="AB483"/>
      <c r="AC483"/>
      <c r="AD483"/>
      <c r="AE483"/>
      <c r="AF483"/>
      <c r="AG483"/>
      <c r="AH483">
        <v>48</v>
      </c>
      <c r="AI483">
        <v>53</v>
      </c>
      <c r="AJ483"/>
      <c r="AK483"/>
      <c r="AL483"/>
      <c r="AM483"/>
      <c r="AN483"/>
      <c r="AO483" t="s">
        <v>136</v>
      </c>
      <c r="AP483" t="s">
        <v>137</v>
      </c>
      <c r="AQ483"/>
      <c r="AR483"/>
      <c r="AS483"/>
      <c r="AT483" t="s">
        <v>362</v>
      </c>
      <c r="AU483">
        <v>2013</v>
      </c>
      <c r="AV483">
        <v>17</v>
      </c>
      <c r="AW483">
        <v>3</v>
      </c>
      <c r="AX483"/>
      <c r="AY483"/>
      <c r="AZ483"/>
      <c r="BA483"/>
      <c r="BB483">
        <v>352</v>
      </c>
      <c r="BC483">
        <v>362</v>
      </c>
      <c r="BD483"/>
      <c r="BE483" t="s">
        <v>3472</v>
      </c>
      <c r="BF483" t="str">
        <f>HYPERLINK("http://dx.doi.org/10.1111/j.1530-9290.2012.00531.x","http://dx.doi.org/10.1111/j.1530-9290.2012.00531.x")</f>
        <v>http://dx.doi.org/10.1111/j.1530-9290.2012.00531.x</v>
      </c>
      <c r="BG483"/>
      <c r="BH483"/>
      <c r="BI483"/>
      <c r="BJ483" t="s">
        <v>139</v>
      </c>
      <c r="BK483"/>
      <c r="BL483"/>
      <c r="BM483"/>
      <c r="BN483"/>
      <c r="BO483"/>
      <c r="BP483"/>
      <c r="BQ483"/>
      <c r="BR483"/>
      <c r="BS483"/>
      <c r="BT483" t="str">
        <f>HYPERLINK("https%3A%2F%2Fwww.webofscience.com%2Fwos%2Fwoscc%2Ffull-record%2F","View Full Record in Web of Science")</f>
        <v>View Full Record in Web of Science</v>
      </c>
    </row>
    <row r="484" spans="1:72" customHeight="1" ht="12.75">
      <c r="A484" t="s">
        <v>72</v>
      </c>
      <c r="B484" t="s">
        <v>3473</v>
      </c>
      <c r="C484"/>
      <c r="D484"/>
      <c r="E484"/>
      <c r="F484" t="s">
        <v>3474</v>
      </c>
      <c r="G484"/>
      <c r="H484"/>
      <c r="I484" t="s">
        <v>3475</v>
      </c>
      <c r="J484" t="s">
        <v>1748</v>
      </c>
      <c r="K484"/>
      <c r="L484"/>
      <c r="M484"/>
      <c r="N484" t="s">
        <v>325</v>
      </c>
      <c r="O484"/>
      <c r="P484"/>
      <c r="Q484"/>
      <c r="R484"/>
      <c r="S484"/>
      <c r="T484" t="s">
        <v>3476</v>
      </c>
      <c r="U484" t="s">
        <v>3477</v>
      </c>
      <c r="V484"/>
      <c r="W484"/>
      <c r="X484"/>
      <c r="Y484"/>
      <c r="Z484"/>
      <c r="AA484"/>
      <c r="AB484"/>
      <c r="AC484"/>
      <c r="AD484"/>
      <c r="AE484"/>
      <c r="AF484"/>
      <c r="AG484"/>
      <c r="AH484">
        <v>5</v>
      </c>
      <c r="AI484">
        <v>5</v>
      </c>
      <c r="AJ484"/>
      <c r="AK484"/>
      <c r="AL484"/>
      <c r="AM484"/>
      <c r="AN484"/>
      <c r="AO484" t="s">
        <v>1751</v>
      </c>
      <c r="AP484" t="s">
        <v>1752</v>
      </c>
      <c r="AQ484"/>
      <c r="AR484"/>
      <c r="AS484"/>
      <c r="AT484" t="s">
        <v>888</v>
      </c>
      <c r="AU484">
        <v>2022</v>
      </c>
      <c r="AV484">
        <v>46</v>
      </c>
      <c r="AW484">
        <v>2</v>
      </c>
      <c r="AX484"/>
      <c r="AY484"/>
      <c r="AZ484"/>
      <c r="BA484"/>
      <c r="BB484">
        <v>182</v>
      </c>
      <c r="BC484">
        <v>201</v>
      </c>
      <c r="BD484"/>
      <c r="BE484" t="s">
        <v>3478</v>
      </c>
      <c r="BF484" t="str">
        <f>HYPERLINK("http://dx.doi.org/10.1111/1468-2427.13014","http://dx.doi.org/10.1111/1468-2427.13014")</f>
        <v>http://dx.doi.org/10.1111/1468-2427.13014</v>
      </c>
      <c r="BG484"/>
      <c r="BH484" t="s">
        <v>2686</v>
      </c>
      <c r="BI484"/>
      <c r="BJ484" t="s">
        <v>1754</v>
      </c>
      <c r="BK484"/>
      <c r="BL484"/>
      <c r="BM484"/>
      <c r="BN484"/>
      <c r="BO484"/>
      <c r="BP484"/>
      <c r="BQ484"/>
      <c r="BR484"/>
      <c r="BS484"/>
      <c r="BT484" t="str">
        <f>HYPERLINK("https%3A%2F%2Fwww.webofscience.com%2Fwos%2Fwoscc%2Ffull-record%2F","View Full Record in Web of Science")</f>
        <v>View Full Record in Web of Science</v>
      </c>
    </row>
    <row r="485" spans="1:72" customHeight="1" ht="12.75">
      <c r="A485" t="s">
        <v>72</v>
      </c>
      <c r="B485" t="s">
        <v>3479</v>
      </c>
      <c r="C485"/>
      <c r="D485"/>
      <c r="E485"/>
      <c r="F485" t="s">
        <v>3480</v>
      </c>
      <c r="G485"/>
      <c r="H485"/>
      <c r="I485" t="s">
        <v>3481</v>
      </c>
      <c r="J485" t="s">
        <v>2890</v>
      </c>
      <c r="K485"/>
      <c r="L485"/>
      <c r="M485"/>
      <c r="N485" t="s">
        <v>112</v>
      </c>
      <c r="O485"/>
      <c r="P485"/>
      <c r="Q485"/>
      <c r="R485"/>
      <c r="S485"/>
      <c r="T485" t="s">
        <v>3482</v>
      </c>
      <c r="U485" t="s">
        <v>3483</v>
      </c>
      <c r="V485"/>
      <c r="W485"/>
      <c r="X485"/>
      <c r="Y485"/>
      <c r="Z485"/>
      <c r="AA485"/>
      <c r="AB485"/>
      <c r="AC485"/>
      <c r="AD485"/>
      <c r="AE485"/>
      <c r="AF485"/>
      <c r="AG485"/>
      <c r="AH485">
        <v>8</v>
      </c>
      <c r="AI485">
        <v>8</v>
      </c>
      <c r="AJ485"/>
      <c r="AK485"/>
      <c r="AL485"/>
      <c r="AM485"/>
      <c r="AN485"/>
      <c r="AO485" t="s">
        <v>2892</v>
      </c>
      <c r="AP485" t="s">
        <v>2893</v>
      </c>
      <c r="AQ485"/>
      <c r="AR485"/>
      <c r="AS485"/>
      <c r="AT485" t="s">
        <v>362</v>
      </c>
      <c r="AU485">
        <v>2020</v>
      </c>
      <c r="AV485">
        <v>20</v>
      </c>
      <c r="AW485">
        <v>4</v>
      </c>
      <c r="AX485"/>
      <c r="AY485"/>
      <c r="AZ485"/>
      <c r="BA485"/>
      <c r="BB485">
        <v>1178</v>
      </c>
      <c r="BC485">
        <v>1188</v>
      </c>
      <c r="BD485"/>
      <c r="BE485" t="s">
        <v>3484</v>
      </c>
      <c r="BF485" t="str">
        <f>HYPERLINK("http://dx.doi.org/10.2166/ws.2020.028","http://dx.doi.org/10.2166/ws.2020.028")</f>
        <v>http://dx.doi.org/10.2166/ws.2020.028</v>
      </c>
      <c r="BG485"/>
      <c r="BH485"/>
      <c r="BI485"/>
      <c r="BJ485" t="s">
        <v>1184</v>
      </c>
      <c r="BK485"/>
      <c r="BL485"/>
      <c r="BM485"/>
      <c r="BN485"/>
      <c r="BO485"/>
      <c r="BP485"/>
      <c r="BQ485"/>
      <c r="BR485"/>
      <c r="BS485"/>
      <c r="BT485" t="str">
        <f>HYPERLINK("https%3A%2F%2Fwww.webofscience.com%2Fwos%2Fwoscc%2Ffull-record%2F","View Full Record in Web of Science")</f>
        <v>View Full Record in Web of Science</v>
      </c>
    </row>
    <row r="486" spans="1:72" customHeight="1" ht="12.75">
      <c r="A486" t="s">
        <v>72</v>
      </c>
      <c r="B486" t="s">
        <v>3485</v>
      </c>
      <c r="C486"/>
      <c r="D486"/>
      <c r="E486"/>
      <c r="F486" t="s">
        <v>3486</v>
      </c>
      <c r="G486"/>
      <c r="H486"/>
      <c r="I486" t="s">
        <v>3487</v>
      </c>
      <c r="J486" t="s">
        <v>587</v>
      </c>
      <c r="K486"/>
      <c r="L486"/>
      <c r="M486"/>
      <c r="N486" t="s">
        <v>112</v>
      </c>
      <c r="O486"/>
      <c r="P486"/>
      <c r="Q486"/>
      <c r="R486"/>
      <c r="S486"/>
      <c r="T486" t="s">
        <v>3488</v>
      </c>
      <c r="U486" t="s">
        <v>3489</v>
      </c>
      <c r="V486"/>
      <c r="W486"/>
      <c r="X486"/>
      <c r="Y486"/>
      <c r="Z486"/>
      <c r="AA486"/>
      <c r="AB486"/>
      <c r="AC486"/>
      <c r="AD486"/>
      <c r="AE486"/>
      <c r="AF486"/>
      <c r="AG486"/>
      <c r="AH486">
        <v>12</v>
      </c>
      <c r="AI486">
        <v>13</v>
      </c>
      <c r="AJ486"/>
      <c r="AK486"/>
      <c r="AL486"/>
      <c r="AM486"/>
      <c r="AN486"/>
      <c r="AO486" t="s">
        <v>590</v>
      </c>
      <c r="AP486" t="s">
        <v>591</v>
      </c>
      <c r="AQ486"/>
      <c r="AR486"/>
      <c r="AS486"/>
      <c r="AT486" t="s">
        <v>2501</v>
      </c>
      <c r="AU486">
        <v>2019</v>
      </c>
      <c r="AV486">
        <v>212</v>
      </c>
      <c r="AW486"/>
      <c r="AX486"/>
      <c r="AY486"/>
      <c r="AZ486"/>
      <c r="BA486"/>
      <c r="BB486">
        <v>1357</v>
      </c>
      <c r="BC486">
        <v>1367</v>
      </c>
      <c r="BD486"/>
      <c r="BE486" t="s">
        <v>3490</v>
      </c>
      <c r="BF486" t="str">
        <f>HYPERLINK("http://dx.doi.org/10.1016/j.jclepro.2018.11.205","http://dx.doi.org/10.1016/j.jclepro.2018.11.205")</f>
        <v>http://dx.doi.org/10.1016/j.jclepro.2018.11.205</v>
      </c>
      <c r="BG486"/>
      <c r="BH486"/>
      <c r="BI486"/>
      <c r="BJ486" t="s">
        <v>139</v>
      </c>
      <c r="BK486"/>
      <c r="BL486"/>
      <c r="BM486"/>
      <c r="BN486"/>
      <c r="BO486"/>
      <c r="BP486"/>
      <c r="BQ486"/>
      <c r="BR486"/>
      <c r="BS486"/>
      <c r="BT486" t="str">
        <f>HYPERLINK("https%3A%2F%2Fwww.webofscience.com%2Fwos%2Fwoscc%2Ffull-record%2F","View Full Record in Web of Science")</f>
        <v>View Full Record in Web of Science</v>
      </c>
    </row>
    <row r="487" spans="1:72" customHeight="1" ht="12.75">
      <c r="A487" t="s">
        <v>72</v>
      </c>
      <c r="B487" t="s">
        <v>3491</v>
      </c>
      <c r="C487"/>
      <c r="D487"/>
      <c r="E487"/>
      <c r="F487" t="s">
        <v>3492</v>
      </c>
      <c r="G487"/>
      <c r="H487"/>
      <c r="I487" t="s">
        <v>3493</v>
      </c>
      <c r="J487" t="s">
        <v>409</v>
      </c>
      <c r="K487"/>
      <c r="L487"/>
      <c r="M487"/>
      <c r="N487" t="s">
        <v>325</v>
      </c>
      <c r="O487"/>
      <c r="P487"/>
      <c r="Q487"/>
      <c r="R487"/>
      <c r="S487"/>
      <c r="T487" t="s">
        <v>3494</v>
      </c>
      <c r="U487" t="s">
        <v>3495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>
        <v>4</v>
      </c>
      <c r="AI487">
        <v>4</v>
      </c>
      <c r="AJ487"/>
      <c r="AK487"/>
      <c r="AL487"/>
      <c r="AM487"/>
      <c r="AN487"/>
      <c r="AO487" t="s">
        <v>1080</v>
      </c>
      <c r="AP487" t="s">
        <v>1081</v>
      </c>
      <c r="AQ487"/>
      <c r="AR487"/>
      <c r="AS487"/>
      <c r="AT487" t="s">
        <v>3496</v>
      </c>
      <c r="AU487">
        <v>2022</v>
      </c>
      <c r="AV487">
        <v>126</v>
      </c>
      <c r="AW487"/>
      <c r="AX487"/>
      <c r="AY487"/>
      <c r="AZ487"/>
      <c r="BA487"/>
      <c r="BB487"/>
      <c r="BC487"/>
      <c r="BD487">
        <v>103553</v>
      </c>
      <c r="BE487" t="s">
        <v>3497</v>
      </c>
      <c r="BF487" t="str">
        <f>HYPERLINK("http://dx.doi.org/10.1016/j.cities.2021.103553","http://dx.doi.org/10.1016/j.cities.2021.103553")</f>
        <v>http://dx.doi.org/10.1016/j.cities.2021.103553</v>
      </c>
      <c r="BG487"/>
      <c r="BH487" t="s">
        <v>3498</v>
      </c>
      <c r="BI487"/>
      <c r="BJ487" t="s">
        <v>243</v>
      </c>
      <c r="BK487"/>
      <c r="BL487"/>
      <c r="BM487"/>
      <c r="BN487"/>
      <c r="BO487"/>
      <c r="BP487"/>
      <c r="BQ487"/>
      <c r="BR487"/>
      <c r="BS487"/>
      <c r="BT487" t="str">
        <f>HYPERLINK("https%3A%2F%2Fwww.webofscience.com%2Fwos%2Fwoscc%2Ffull-record%2F","View Full Record in Web of Science")</f>
        <v>View Full Record in Web of Science</v>
      </c>
    </row>
    <row r="488" spans="1:72" customHeight="1" ht="12.75">
      <c r="A488" t="s">
        <v>72</v>
      </c>
      <c r="B488" t="s">
        <v>3499</v>
      </c>
      <c r="C488"/>
      <c r="D488"/>
      <c r="E488"/>
      <c r="F488" t="s">
        <v>3500</v>
      </c>
      <c r="G488"/>
      <c r="H488"/>
      <c r="I488" t="s">
        <v>3501</v>
      </c>
      <c r="J488" t="s">
        <v>111</v>
      </c>
      <c r="K488"/>
      <c r="L488"/>
      <c r="M488"/>
      <c r="N488" t="s">
        <v>77</v>
      </c>
      <c r="O488"/>
      <c r="P488"/>
      <c r="Q488"/>
      <c r="R488"/>
      <c r="S488"/>
      <c r="T488" t="s">
        <v>3502</v>
      </c>
      <c r="U488" t="s">
        <v>3503</v>
      </c>
      <c r="V488"/>
      <c r="W488"/>
      <c r="X488"/>
      <c r="Y488"/>
      <c r="Z488"/>
      <c r="AA488"/>
      <c r="AB488"/>
      <c r="AC488"/>
      <c r="AD488"/>
      <c r="AE488"/>
      <c r="AF488"/>
      <c r="AG488"/>
      <c r="AH488">
        <v>36</v>
      </c>
      <c r="AI488">
        <v>37</v>
      </c>
      <c r="AJ488"/>
      <c r="AK488"/>
      <c r="AL488"/>
      <c r="AM488"/>
      <c r="AN488"/>
      <c r="AO488" t="s">
        <v>115</v>
      </c>
      <c r="AP488" t="s">
        <v>116</v>
      </c>
      <c r="AQ488"/>
      <c r="AR488"/>
      <c r="AS488"/>
      <c r="AT488" t="s">
        <v>404</v>
      </c>
      <c r="AU488">
        <v>2018</v>
      </c>
      <c r="AV488">
        <v>128</v>
      </c>
      <c r="AW488"/>
      <c r="AX488"/>
      <c r="AY488"/>
      <c r="AZ488"/>
      <c r="BA488"/>
      <c r="BB488">
        <v>355</v>
      </c>
      <c r="BC488">
        <v>359</v>
      </c>
      <c r="BD488"/>
      <c r="BE488" t="s">
        <v>3504</v>
      </c>
      <c r="BF488" t="str">
        <f>HYPERLINK("http://dx.doi.org/10.1016/j.resconrec.2017.02.020","http://dx.doi.org/10.1016/j.resconrec.2017.02.020")</f>
        <v>http://dx.doi.org/10.1016/j.resconrec.2017.02.020</v>
      </c>
      <c r="BG488"/>
      <c r="BH488"/>
      <c r="BI488"/>
      <c r="BJ488" t="s">
        <v>119</v>
      </c>
      <c r="BK488"/>
      <c r="BL488"/>
      <c r="BM488"/>
      <c r="BN488"/>
      <c r="BO488"/>
      <c r="BP488"/>
      <c r="BQ488"/>
      <c r="BR488"/>
      <c r="BS488"/>
      <c r="BT488" t="str">
        <f>HYPERLINK("https%3A%2F%2Fwww.webofscience.com%2Fwos%2Fwoscc%2Ffull-record%2F","View Full Record in Web of Science")</f>
        <v>View Full Record in Web of Science</v>
      </c>
    </row>
    <row r="489" spans="1:72" customHeight="1" ht="12.75">
      <c r="A489" t="s">
        <v>72</v>
      </c>
      <c r="B489" t="s">
        <v>2671</v>
      </c>
      <c r="C489"/>
      <c r="D489"/>
      <c r="E489"/>
      <c r="F489" t="s">
        <v>2672</v>
      </c>
      <c r="G489"/>
      <c r="H489"/>
      <c r="I489" t="s">
        <v>3505</v>
      </c>
      <c r="J489" t="s">
        <v>3506</v>
      </c>
      <c r="K489"/>
      <c r="L489"/>
      <c r="M489"/>
      <c r="N489" t="s">
        <v>325</v>
      </c>
      <c r="O489"/>
      <c r="P489"/>
      <c r="Q489"/>
      <c r="R489"/>
      <c r="S489"/>
      <c r="T489" t="s">
        <v>3507</v>
      </c>
      <c r="U489" t="s">
        <v>3508</v>
      </c>
      <c r="V489"/>
      <c r="W489"/>
      <c r="X489"/>
      <c r="Y489"/>
      <c r="Z489"/>
      <c r="AA489"/>
      <c r="AB489"/>
      <c r="AC489"/>
      <c r="AD489"/>
      <c r="AE489"/>
      <c r="AF489"/>
      <c r="AG489"/>
      <c r="AH489">
        <v>1</v>
      </c>
      <c r="AI489">
        <v>1</v>
      </c>
      <c r="AJ489"/>
      <c r="AK489"/>
      <c r="AL489"/>
      <c r="AM489"/>
      <c r="AN489"/>
      <c r="AO489" t="s">
        <v>3509</v>
      </c>
      <c r="AP489" t="s">
        <v>3510</v>
      </c>
      <c r="AQ489"/>
      <c r="AR489"/>
      <c r="AS489"/>
      <c r="AT489" t="s">
        <v>3511</v>
      </c>
      <c r="AU489">
        <v>2021</v>
      </c>
      <c r="AV489">
        <v>53</v>
      </c>
      <c r="AW489">
        <v>1</v>
      </c>
      <c r="AX489"/>
      <c r="AY489"/>
      <c r="AZ489"/>
      <c r="BA489"/>
      <c r="BB489">
        <v>106</v>
      </c>
      <c r="BC489">
        <v>113</v>
      </c>
      <c r="BD489"/>
      <c r="BE489" t="s">
        <v>3512</v>
      </c>
      <c r="BF489" t="str">
        <f>HYPERLINK("http://dx.doi.org/10.1111/area.12663","http://dx.doi.org/10.1111/area.12663")</f>
        <v>http://dx.doi.org/10.1111/area.12663</v>
      </c>
      <c r="BG489"/>
      <c r="BH489" t="s">
        <v>3513</v>
      </c>
      <c r="BI489"/>
      <c r="BJ489" t="s">
        <v>83</v>
      </c>
      <c r="BK489"/>
      <c r="BL489"/>
      <c r="BM489"/>
      <c r="BN489"/>
      <c r="BO489"/>
      <c r="BP489"/>
      <c r="BQ489"/>
      <c r="BR489"/>
      <c r="BS489"/>
      <c r="BT489" t="str">
        <f>HYPERLINK("https%3A%2F%2Fwww.webofscience.com%2Fwos%2Fwoscc%2Ffull-record%2F","View Full Record in Web of Science")</f>
        <v>View Full Record in Web of Science</v>
      </c>
    </row>
    <row r="490" spans="1:72" customHeight="1" ht="12.75">
      <c r="A490" t="s">
        <v>72</v>
      </c>
      <c r="B490" t="s">
        <v>3514</v>
      </c>
      <c r="C490"/>
      <c r="D490"/>
      <c r="E490"/>
      <c r="F490" t="s">
        <v>3515</v>
      </c>
      <c r="G490"/>
      <c r="H490"/>
      <c r="I490" t="s">
        <v>3516</v>
      </c>
      <c r="J490" t="s">
        <v>1206</v>
      </c>
      <c r="K490"/>
      <c r="L490"/>
      <c r="M490"/>
      <c r="N490" t="s">
        <v>112</v>
      </c>
      <c r="O490"/>
      <c r="P490"/>
      <c r="Q490"/>
      <c r="R490"/>
      <c r="S490"/>
      <c r="T490" t="s">
        <v>3517</v>
      </c>
      <c r="U490" t="s">
        <v>1330</v>
      </c>
      <c r="V490"/>
      <c r="W490"/>
      <c r="X490"/>
      <c r="Y490"/>
      <c r="Z490"/>
      <c r="AA490"/>
      <c r="AB490"/>
      <c r="AC490"/>
      <c r="AD490"/>
      <c r="AE490"/>
      <c r="AF490"/>
      <c r="AG490"/>
      <c r="AH490">
        <v>20</v>
      </c>
      <c r="AI490">
        <v>21</v>
      </c>
      <c r="AJ490"/>
      <c r="AK490"/>
      <c r="AL490"/>
      <c r="AM490"/>
      <c r="AN490"/>
      <c r="AO490" t="s">
        <v>1209</v>
      </c>
      <c r="AP490"/>
      <c r="AQ490"/>
      <c r="AR490"/>
      <c r="AS490"/>
      <c r="AT490"/>
      <c r="AU490">
        <v>2013</v>
      </c>
      <c r="AV490">
        <v>4</v>
      </c>
      <c r="AW490">
        <v>3</v>
      </c>
      <c r="AX490"/>
      <c r="AY490"/>
      <c r="AZ490"/>
      <c r="BA490"/>
      <c r="BB490">
        <v>161</v>
      </c>
      <c r="BC490">
        <v>175</v>
      </c>
      <c r="BD490"/>
      <c r="BE490" t="s">
        <v>3518</v>
      </c>
      <c r="BF490" t="str">
        <f>HYPERLINK("http://dx.doi.org/10.2166/wcc.2013.063","http://dx.doi.org/10.2166/wcc.2013.063")</f>
        <v>http://dx.doi.org/10.2166/wcc.2013.063</v>
      </c>
      <c r="BG490"/>
      <c r="BH490"/>
      <c r="BI490"/>
      <c r="BJ490" t="s">
        <v>1211</v>
      </c>
      <c r="BK490"/>
      <c r="BL490"/>
      <c r="BM490"/>
      <c r="BN490"/>
      <c r="BO490"/>
      <c r="BP490"/>
      <c r="BQ490"/>
      <c r="BR490"/>
      <c r="BS490"/>
      <c r="BT490" t="str">
        <f>HYPERLINK("https%3A%2F%2Fwww.webofscience.com%2Fwos%2Fwoscc%2Ffull-record%2F","View Full Record in Web of Science")</f>
        <v>View Full Record in Web of Science</v>
      </c>
    </row>
    <row r="491" spans="1:72" customHeight="1" ht="12.75">
      <c r="A491" t="s">
        <v>72</v>
      </c>
      <c r="B491" t="s">
        <v>3519</v>
      </c>
      <c r="C491"/>
      <c r="D491"/>
      <c r="E491"/>
      <c r="F491" t="s">
        <v>3520</v>
      </c>
      <c r="G491"/>
      <c r="H491"/>
      <c r="I491" t="s">
        <v>3521</v>
      </c>
      <c r="J491" t="s">
        <v>2106</v>
      </c>
      <c r="K491"/>
      <c r="L491"/>
      <c r="M491"/>
      <c r="N491" t="s">
        <v>325</v>
      </c>
      <c r="O491"/>
      <c r="P491"/>
      <c r="Q491"/>
      <c r="R491"/>
      <c r="S491"/>
      <c r="T491" t="s">
        <v>3522</v>
      </c>
      <c r="U491" t="s">
        <v>3523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>
        <v>0.0</v>
      </c>
      <c r="AI491">
        <v>0.0</v>
      </c>
      <c r="AJ491"/>
      <c r="AK491"/>
      <c r="AL491"/>
      <c r="AM491"/>
      <c r="AN491"/>
      <c r="AO491" t="s">
        <v>2108</v>
      </c>
      <c r="AP491"/>
      <c r="AQ491"/>
      <c r="AR491"/>
      <c r="AS491"/>
      <c r="AT491" t="s">
        <v>1857</v>
      </c>
      <c r="AU491">
        <v>2023</v>
      </c>
      <c r="AV491">
        <v>20</v>
      </c>
      <c r="AW491"/>
      <c r="AX491"/>
      <c r="AY491"/>
      <c r="AZ491"/>
      <c r="BA491"/>
      <c r="BB491"/>
      <c r="BC491"/>
      <c r="BD491">
        <v>100121</v>
      </c>
      <c r="BE491" t="s">
        <v>3524</v>
      </c>
      <c r="BF491" t="str">
        <f>HYPERLINK("http://dx.doi.org/10.1016/j.cacint.2023.100121","http://dx.doi.org/10.1016/j.cacint.2023.100121")</f>
        <v>http://dx.doi.org/10.1016/j.cacint.2023.100121</v>
      </c>
      <c r="BG491"/>
      <c r="BH491" t="s">
        <v>3346</v>
      </c>
      <c r="BI491"/>
      <c r="BJ491" t="s">
        <v>2112</v>
      </c>
      <c r="BK491"/>
      <c r="BL491"/>
      <c r="BM491"/>
      <c r="BN491"/>
      <c r="BO491"/>
      <c r="BP491"/>
      <c r="BQ491"/>
      <c r="BR491"/>
      <c r="BS491"/>
      <c r="BT491" t="str">
        <f>HYPERLINK("https%3A%2F%2Fwww.webofscience.com%2Fwos%2Fwoscc%2Ffull-record%2F","View Full Record in Web of Science")</f>
        <v>View Full Record in Web of Science</v>
      </c>
    </row>
    <row r="492" spans="1:72" customHeight="1" ht="12.75">
      <c r="A492" t="s">
        <v>72</v>
      </c>
      <c r="B492" t="s">
        <v>3525</v>
      </c>
      <c r="C492"/>
      <c r="D492"/>
      <c r="E492"/>
      <c r="F492" t="s">
        <v>3526</v>
      </c>
      <c r="G492"/>
      <c r="H492"/>
      <c r="I492" t="s">
        <v>3527</v>
      </c>
      <c r="J492" t="s">
        <v>3528</v>
      </c>
      <c r="K492"/>
      <c r="L492"/>
      <c r="M492"/>
      <c r="N492" t="s">
        <v>112</v>
      </c>
      <c r="O492"/>
      <c r="P492"/>
      <c r="Q492"/>
      <c r="R492"/>
      <c r="S492"/>
      <c r="T492" t="s">
        <v>3529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>
        <v>0.0</v>
      </c>
      <c r="AI492">
        <v>0.0</v>
      </c>
      <c r="AJ492"/>
      <c r="AK492"/>
      <c r="AL492"/>
      <c r="AM492"/>
      <c r="AN492"/>
      <c r="AO492"/>
      <c r="AP492" t="s">
        <v>3530</v>
      </c>
      <c r="AQ492"/>
      <c r="AR492"/>
      <c r="AS492"/>
      <c r="AT492" t="s">
        <v>352</v>
      </c>
      <c r="AU492">
        <v>2021</v>
      </c>
      <c r="AV492">
        <v>10</v>
      </c>
      <c r="AW492">
        <v>3</v>
      </c>
      <c r="AX492"/>
      <c r="AY492"/>
      <c r="AZ492"/>
      <c r="BA492"/>
      <c r="BB492"/>
      <c r="BC492"/>
      <c r="BD492">
        <v>103</v>
      </c>
      <c r="BE492" t="s">
        <v>3531</v>
      </c>
      <c r="BF492" t="str">
        <f>HYPERLINK("http://dx.doi.org/10.3390/h10030103","http://dx.doi.org/10.3390/h10030103")</f>
        <v>http://dx.doi.org/10.3390/h10030103</v>
      </c>
      <c r="BG492"/>
      <c r="BH492"/>
      <c r="BI492"/>
      <c r="BJ492" t="s">
        <v>3072</v>
      </c>
      <c r="BK492"/>
      <c r="BL492"/>
      <c r="BM492"/>
      <c r="BN492"/>
      <c r="BO492"/>
      <c r="BP492"/>
      <c r="BQ492"/>
      <c r="BR492"/>
      <c r="BS492"/>
      <c r="BT492" t="str">
        <f>HYPERLINK("https%3A%2F%2Fwww.webofscience.com%2Fwos%2Fwoscc%2Ffull-record%2F","View Full Record in Web of Science")</f>
        <v>View Full Record in Web of Science</v>
      </c>
    </row>
    <row r="493" spans="1:72" customHeight="1" ht="12.75">
      <c r="A493" t="s">
        <v>72</v>
      </c>
      <c r="B493" t="s">
        <v>3532</v>
      </c>
      <c r="C493"/>
      <c r="D493"/>
      <c r="E493"/>
      <c r="F493" t="s">
        <v>3533</v>
      </c>
      <c r="G493"/>
      <c r="H493"/>
      <c r="I493" t="s">
        <v>3534</v>
      </c>
      <c r="J493" t="s">
        <v>1899</v>
      </c>
      <c r="K493"/>
      <c r="L493"/>
      <c r="M493"/>
      <c r="N493" t="s">
        <v>112</v>
      </c>
      <c r="O493"/>
      <c r="P493"/>
      <c r="Q493"/>
      <c r="R493"/>
      <c r="S493"/>
      <c r="T493" t="s">
        <v>3535</v>
      </c>
      <c r="U493" t="s">
        <v>3536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>
        <v>44</v>
      </c>
      <c r="AI493">
        <v>49</v>
      </c>
      <c r="AJ493"/>
      <c r="AK493"/>
      <c r="AL493"/>
      <c r="AM493"/>
      <c r="AN493"/>
      <c r="AO493" t="s">
        <v>1902</v>
      </c>
      <c r="AP493" t="s">
        <v>1903</v>
      </c>
      <c r="AQ493"/>
      <c r="AR493"/>
      <c r="AS493"/>
      <c r="AT493" t="s">
        <v>404</v>
      </c>
      <c r="AU493">
        <v>2011</v>
      </c>
      <c r="AV493">
        <v>43</v>
      </c>
      <c r="AW493">
        <v>1</v>
      </c>
      <c r="AX493"/>
      <c r="AY493"/>
      <c r="AZ493"/>
      <c r="BA493"/>
      <c r="BB493">
        <v>147</v>
      </c>
      <c r="BC493">
        <v>152</v>
      </c>
      <c r="BD493"/>
      <c r="BE493" t="s">
        <v>3537</v>
      </c>
      <c r="BF493" t="str">
        <f>HYPERLINK("http://dx.doi.org/10.1016/j.enbuild.2010.09.002","http://dx.doi.org/10.1016/j.enbuild.2010.09.002")</f>
        <v>http://dx.doi.org/10.1016/j.enbuild.2010.09.002</v>
      </c>
      <c r="BG493"/>
      <c r="BH493"/>
      <c r="BI493"/>
      <c r="BJ493" t="s">
        <v>1905</v>
      </c>
      <c r="BK493"/>
      <c r="BL493"/>
      <c r="BM493"/>
      <c r="BN493"/>
      <c r="BO493"/>
      <c r="BP493"/>
      <c r="BQ493"/>
      <c r="BR493"/>
      <c r="BS493"/>
      <c r="BT493" t="str">
        <f>HYPERLINK("https%3A%2F%2Fwww.webofscience.com%2Fwos%2Fwoscc%2Ffull-record%2F","View Full Record in Web of Science")</f>
        <v>View Full Record in Web of Science</v>
      </c>
    </row>
    <row r="494" spans="1:72" customHeight="1" ht="12.75">
      <c r="A494" t="s">
        <v>72</v>
      </c>
      <c r="B494" t="s">
        <v>3538</v>
      </c>
      <c r="C494"/>
      <c r="D494"/>
      <c r="E494"/>
      <c r="F494" t="s">
        <v>3539</v>
      </c>
      <c r="G494"/>
      <c r="H494"/>
      <c r="I494" t="s">
        <v>3540</v>
      </c>
      <c r="J494" t="s">
        <v>457</v>
      </c>
      <c r="K494"/>
      <c r="L494"/>
      <c r="M494"/>
      <c r="N494" t="s">
        <v>112</v>
      </c>
      <c r="O494"/>
      <c r="P494"/>
      <c r="Q494"/>
      <c r="R494"/>
      <c r="S494"/>
      <c r="T494" t="s">
        <v>3541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>
        <v>2</v>
      </c>
      <c r="AI494">
        <v>2</v>
      </c>
      <c r="AJ494"/>
      <c r="AK494"/>
      <c r="AL494"/>
      <c r="AM494"/>
      <c r="AN494"/>
      <c r="AO494"/>
      <c r="AP494" t="s">
        <v>458</v>
      </c>
      <c r="AQ494"/>
      <c r="AR494"/>
      <c r="AS494"/>
      <c r="AT494" t="s">
        <v>198</v>
      </c>
      <c r="AU494">
        <v>2021</v>
      </c>
      <c r="AV494">
        <v>13</v>
      </c>
      <c r="AW494">
        <v>20</v>
      </c>
      <c r="AX494"/>
      <c r="AY494"/>
      <c r="AZ494"/>
      <c r="BA494"/>
      <c r="BB494"/>
      <c r="BC494"/>
      <c r="BD494">
        <v>11307</v>
      </c>
      <c r="BE494" t="s">
        <v>3542</v>
      </c>
      <c r="BF494" t="str">
        <f>HYPERLINK("http://dx.doi.org/10.3390/su132011307","http://dx.doi.org/10.3390/su132011307")</f>
        <v>http://dx.doi.org/10.3390/su132011307</v>
      </c>
      <c r="BG494"/>
      <c r="BH494"/>
      <c r="BI494"/>
      <c r="BJ494" t="s">
        <v>460</v>
      </c>
      <c r="BK494"/>
      <c r="BL494"/>
      <c r="BM494"/>
      <c r="BN494"/>
      <c r="BO494"/>
      <c r="BP494"/>
      <c r="BQ494"/>
      <c r="BR494"/>
      <c r="BS494"/>
      <c r="BT494" t="str">
        <f>HYPERLINK("https%3A%2F%2Fwww.webofscience.com%2Fwos%2Fwoscc%2Ffull-record%2F","View Full Record in Web of Science")</f>
        <v>View Full Record in Web of Science</v>
      </c>
    </row>
    <row r="495" spans="1:72" customHeight="1" ht="12.75">
      <c r="A495" t="s">
        <v>72</v>
      </c>
      <c r="B495" t="s">
        <v>3543</v>
      </c>
      <c r="C495"/>
      <c r="D495"/>
      <c r="E495"/>
      <c r="F495" t="s">
        <v>3544</v>
      </c>
      <c r="G495"/>
      <c r="H495"/>
      <c r="I495" t="s">
        <v>3545</v>
      </c>
      <c r="J495" t="s">
        <v>1299</v>
      </c>
      <c r="K495"/>
      <c r="L495"/>
      <c r="M495"/>
      <c r="N495" t="s">
        <v>112</v>
      </c>
      <c r="O495"/>
      <c r="P495"/>
      <c r="Q495"/>
      <c r="R495"/>
      <c r="S495"/>
      <c r="T495"/>
      <c r="U495" t="s">
        <v>3546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>
        <v>29</v>
      </c>
      <c r="AI495">
        <v>32</v>
      </c>
      <c r="AJ495"/>
      <c r="AK495"/>
      <c r="AL495"/>
      <c r="AM495"/>
      <c r="AN495"/>
      <c r="AO495" t="s">
        <v>1301</v>
      </c>
      <c r="AP495" t="s">
        <v>1302</v>
      </c>
      <c r="AQ495"/>
      <c r="AR495"/>
      <c r="AS495"/>
      <c r="AT495" t="s">
        <v>3547</v>
      </c>
      <c r="AU495">
        <v>2019</v>
      </c>
      <c r="AV495">
        <v>53</v>
      </c>
      <c r="AW495">
        <v>3</v>
      </c>
      <c r="AX495"/>
      <c r="AY495"/>
      <c r="AZ495"/>
      <c r="BA495"/>
      <c r="BB495">
        <v>1394</v>
      </c>
      <c r="BC495">
        <v>1403</v>
      </c>
      <c r="BD495"/>
      <c r="BE495" t="s">
        <v>3548</v>
      </c>
      <c r="BF495" t="str">
        <f>HYPERLINK("http://dx.doi.org/10.1021/acs.est.8b04063","http://dx.doi.org/10.1021/acs.est.8b04063")</f>
        <v>http://dx.doi.org/10.1021/acs.est.8b04063</v>
      </c>
      <c r="BG495"/>
      <c r="BH495"/>
      <c r="BI495"/>
      <c r="BJ495" t="s">
        <v>119</v>
      </c>
      <c r="BK495"/>
      <c r="BL495"/>
      <c r="BM495"/>
      <c r="BN495"/>
      <c r="BO495"/>
      <c r="BP495"/>
      <c r="BQ495"/>
      <c r="BR495"/>
      <c r="BS495"/>
      <c r="BT495" t="str">
        <f>HYPERLINK("https%3A%2F%2Fwww.webofscience.com%2Fwos%2Fwoscc%2Ffull-record%2F","View Full Record in Web of Science")</f>
        <v>View Full Record in Web of Science</v>
      </c>
    </row>
    <row r="496" spans="1:72" customHeight="1" ht="12.75">
      <c r="A496" t="s">
        <v>72</v>
      </c>
      <c r="B496" t="s">
        <v>3549</v>
      </c>
      <c r="C496"/>
      <c r="D496"/>
      <c r="E496"/>
      <c r="F496" t="s">
        <v>3550</v>
      </c>
      <c r="G496"/>
      <c r="H496"/>
      <c r="I496" t="s">
        <v>3551</v>
      </c>
      <c r="J496" t="s">
        <v>3552</v>
      </c>
      <c r="K496"/>
      <c r="L496"/>
      <c r="M496"/>
      <c r="N496" t="s">
        <v>112</v>
      </c>
      <c r="O496"/>
      <c r="P496"/>
      <c r="Q496"/>
      <c r="R496"/>
      <c r="S496"/>
      <c r="T496" t="s">
        <v>3553</v>
      </c>
      <c r="U496" t="s">
        <v>3554</v>
      </c>
      <c r="V496"/>
      <c r="W496"/>
      <c r="X496"/>
      <c r="Y496"/>
      <c r="Z496"/>
      <c r="AA496"/>
      <c r="AB496"/>
      <c r="AC496"/>
      <c r="AD496"/>
      <c r="AE496"/>
      <c r="AF496"/>
      <c r="AG496"/>
      <c r="AH496">
        <v>50</v>
      </c>
      <c r="AI496">
        <v>55</v>
      </c>
      <c r="AJ496"/>
      <c r="AK496"/>
      <c r="AL496"/>
      <c r="AM496"/>
      <c r="AN496"/>
      <c r="AO496" t="s">
        <v>3555</v>
      </c>
      <c r="AP496" t="s">
        <v>3556</v>
      </c>
      <c r="AQ496"/>
      <c r="AR496"/>
      <c r="AS496"/>
      <c r="AT496" t="s">
        <v>3557</v>
      </c>
      <c r="AU496">
        <v>2018</v>
      </c>
      <c r="AV496">
        <v>359</v>
      </c>
      <c r="AW496"/>
      <c r="AX496"/>
      <c r="AY496"/>
      <c r="AZ496"/>
      <c r="BA496"/>
      <c r="BB496">
        <v>437</v>
      </c>
      <c r="BC496">
        <v>444</v>
      </c>
      <c r="BD496"/>
      <c r="BE496" t="s">
        <v>3558</v>
      </c>
      <c r="BF496" t="str">
        <f>HYPERLINK("http://dx.doi.org/10.1016/j.jhazmat.2018.07.073","http://dx.doi.org/10.1016/j.jhazmat.2018.07.073")</f>
        <v>http://dx.doi.org/10.1016/j.jhazmat.2018.07.073</v>
      </c>
      <c r="BG496"/>
      <c r="BH496"/>
      <c r="BI496"/>
      <c r="BJ496" t="s">
        <v>119</v>
      </c>
      <c r="BK496"/>
      <c r="BL496"/>
      <c r="BM496"/>
      <c r="BN496"/>
      <c r="BO496"/>
      <c r="BP496"/>
      <c r="BQ496"/>
      <c r="BR496"/>
      <c r="BS496"/>
      <c r="BT496" t="str">
        <f>HYPERLINK("https%3A%2F%2Fwww.webofscience.com%2Fwos%2Fwoscc%2Ffull-record%2F","View Full Record in Web of Science")</f>
        <v>View Full Record in Web of Science</v>
      </c>
    </row>
    <row r="497" spans="1:72" customHeight="1" ht="12.75">
      <c r="A497" t="s">
        <v>72</v>
      </c>
      <c r="B497" t="s">
        <v>3559</v>
      </c>
      <c r="C497"/>
      <c r="D497"/>
      <c r="E497"/>
      <c r="F497" t="s">
        <v>3560</v>
      </c>
      <c r="G497"/>
      <c r="H497"/>
      <c r="I497" t="s">
        <v>3561</v>
      </c>
      <c r="J497" t="s">
        <v>1884</v>
      </c>
      <c r="K497"/>
      <c r="L497"/>
      <c r="M497"/>
      <c r="N497" t="s">
        <v>112</v>
      </c>
      <c r="O497"/>
      <c r="P497"/>
      <c r="Q497"/>
      <c r="R497"/>
      <c r="S497"/>
      <c r="T497" t="s">
        <v>3562</v>
      </c>
      <c r="U497" t="s">
        <v>3563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>
        <v>8</v>
      </c>
      <c r="AI497">
        <v>9</v>
      </c>
      <c r="AJ497"/>
      <c r="AK497"/>
      <c r="AL497"/>
      <c r="AM497"/>
      <c r="AN497"/>
      <c r="AO497" t="s">
        <v>1887</v>
      </c>
      <c r="AP497"/>
      <c r="AQ497"/>
      <c r="AR497"/>
      <c r="AS497"/>
      <c r="AT497" t="s">
        <v>362</v>
      </c>
      <c r="AU497">
        <v>2012</v>
      </c>
      <c r="AV497">
        <v>12</v>
      </c>
      <c r="AW497">
        <v>2</v>
      </c>
      <c r="AX497"/>
      <c r="AY497"/>
      <c r="AZ497" t="s">
        <v>222</v>
      </c>
      <c r="BA497"/>
      <c r="BB497">
        <v>337</v>
      </c>
      <c r="BC497">
        <v>345</v>
      </c>
      <c r="BD497"/>
      <c r="BE497" t="s">
        <v>3564</v>
      </c>
      <c r="BF497" t="str">
        <f>HYPERLINK("http://dx.doi.org/10.1007/s10113-011-0260-7","http://dx.doi.org/10.1007/s10113-011-0260-7")</f>
        <v>http://dx.doi.org/10.1007/s10113-011-0260-7</v>
      </c>
      <c r="BG497"/>
      <c r="BH497"/>
      <c r="BI497"/>
      <c r="BJ497" t="s">
        <v>799</v>
      </c>
      <c r="BK497"/>
      <c r="BL497"/>
      <c r="BM497"/>
      <c r="BN497"/>
      <c r="BO497"/>
      <c r="BP497"/>
      <c r="BQ497"/>
      <c r="BR497"/>
      <c r="BS497"/>
      <c r="BT497" t="str">
        <f>HYPERLINK("https%3A%2F%2Fwww.webofscience.com%2Fwos%2Fwoscc%2Ffull-record%2F","View Full Record in Web of Science")</f>
        <v>View Full Record in Web of Science</v>
      </c>
    </row>
    <row r="498" spans="1:72" customHeight="1" ht="12.75">
      <c r="A498" t="s">
        <v>72</v>
      </c>
      <c r="B498" t="s">
        <v>3565</v>
      </c>
      <c r="C498"/>
      <c r="D498"/>
      <c r="E498"/>
      <c r="F498" t="s">
        <v>3566</v>
      </c>
      <c r="G498"/>
      <c r="H498"/>
      <c r="I498" t="s">
        <v>3567</v>
      </c>
      <c r="J498" t="s">
        <v>3568</v>
      </c>
      <c r="K498"/>
      <c r="L498"/>
      <c r="M498"/>
      <c r="N498" t="s">
        <v>112</v>
      </c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>
        <v>2</v>
      </c>
      <c r="AI498">
        <v>2</v>
      </c>
      <c r="AJ498"/>
      <c r="AK498"/>
      <c r="AL498"/>
      <c r="AM498"/>
      <c r="AN498"/>
      <c r="AO498" t="s">
        <v>3569</v>
      </c>
      <c r="AP498"/>
      <c r="AQ498"/>
      <c r="AR498"/>
      <c r="AS498"/>
      <c r="AT498"/>
      <c r="AU498">
        <v>2012</v>
      </c>
      <c r="AV498">
        <v>48</v>
      </c>
      <c r="AW498">
        <v>3</v>
      </c>
      <c r="AX498"/>
      <c r="AY498"/>
      <c r="AZ498"/>
      <c r="BA498"/>
      <c r="BB498">
        <v>64</v>
      </c>
      <c r="BC498">
        <v>67</v>
      </c>
      <c r="BD498"/>
      <c r="BE498" t="s">
        <v>3570</v>
      </c>
      <c r="BF498" t="str">
        <f>HYPERLINK("http://dx.doi.org/10.1080/02513625.2012.759354","http://dx.doi.org/10.1080/02513625.2012.759354")</f>
        <v>http://dx.doi.org/10.1080/02513625.2012.759354</v>
      </c>
      <c r="BG498"/>
      <c r="BH498"/>
      <c r="BI498"/>
      <c r="BJ498" t="s">
        <v>3571</v>
      </c>
      <c r="BK498"/>
      <c r="BL498"/>
      <c r="BM498"/>
      <c r="BN498"/>
      <c r="BO498"/>
      <c r="BP498"/>
      <c r="BQ498"/>
      <c r="BR498"/>
      <c r="BS498"/>
      <c r="BT498" t="str">
        <f>HYPERLINK("https%3A%2F%2Fwww.webofscience.com%2Fwos%2Fwoscc%2Ffull-record%2F","View Full Record in Web of Science")</f>
        <v>View Full Record in Web of Science</v>
      </c>
    </row>
    <row r="499" spans="1:72" customHeight="1" ht="12.75">
      <c r="A499" t="s">
        <v>72</v>
      </c>
      <c r="B499" t="s">
        <v>3572</v>
      </c>
      <c r="C499"/>
      <c r="D499"/>
      <c r="E499"/>
      <c r="F499" t="s">
        <v>3573</v>
      </c>
      <c r="G499"/>
      <c r="H499"/>
      <c r="I499" t="s">
        <v>3574</v>
      </c>
      <c r="J499" t="s">
        <v>572</v>
      </c>
      <c r="K499"/>
      <c r="L499"/>
      <c r="M499"/>
      <c r="N499" t="s">
        <v>325</v>
      </c>
      <c r="O499"/>
      <c r="P499"/>
      <c r="Q499"/>
      <c r="R499"/>
      <c r="S499"/>
      <c r="T499" t="s">
        <v>3575</v>
      </c>
      <c r="U499" t="s">
        <v>3576</v>
      </c>
      <c r="V499"/>
      <c r="W499"/>
      <c r="X499"/>
      <c r="Y499"/>
      <c r="Z499"/>
      <c r="AA499"/>
      <c r="AB499"/>
      <c r="AC499"/>
      <c r="AD499"/>
      <c r="AE499"/>
      <c r="AF499"/>
      <c r="AG499"/>
      <c r="AH499">
        <v>1</v>
      </c>
      <c r="AI499">
        <v>1</v>
      </c>
      <c r="AJ499"/>
      <c r="AK499"/>
      <c r="AL499"/>
      <c r="AM499"/>
      <c r="AN499"/>
      <c r="AO499" t="s">
        <v>573</v>
      </c>
      <c r="AP499" t="s">
        <v>574</v>
      </c>
      <c r="AQ499"/>
      <c r="AR499"/>
      <c r="AS499"/>
      <c r="AT499" t="s">
        <v>925</v>
      </c>
      <c r="AU499">
        <v>2023</v>
      </c>
      <c r="AV499">
        <v>41</v>
      </c>
      <c r="AW499">
        <v>5</v>
      </c>
      <c r="AX499"/>
      <c r="AY499"/>
      <c r="AZ499"/>
      <c r="BA499"/>
      <c r="BB499">
        <v>987</v>
      </c>
      <c r="BC499">
        <v>996</v>
      </c>
      <c r="BD499"/>
      <c r="BE499" t="s">
        <v>3577</v>
      </c>
      <c r="BF499" t="str">
        <f>HYPERLINK("http://dx.doi.org/10.1177/0734242X221136467","http://dx.doi.org/10.1177/0734242X221136467")</f>
        <v>http://dx.doi.org/10.1177/0734242X221136467</v>
      </c>
      <c r="BG499"/>
      <c r="BH499" t="s">
        <v>1738</v>
      </c>
      <c r="BI499"/>
      <c r="BJ499" t="s">
        <v>119</v>
      </c>
      <c r="BK499"/>
      <c r="BL499"/>
      <c r="BM499"/>
      <c r="BN499"/>
      <c r="BO499"/>
      <c r="BP499"/>
      <c r="BQ499"/>
      <c r="BR499"/>
      <c r="BS499"/>
      <c r="BT499" t="str">
        <f>HYPERLINK("https%3A%2F%2Fwww.webofscience.com%2Fwos%2Fwoscc%2Ffull-record%2F","View Full Record in Web of Science")</f>
        <v>View Full Record in Web of Science</v>
      </c>
    </row>
    <row r="500" spans="1:72" customHeight="1" ht="12.75">
      <c r="A500" t="s">
        <v>72</v>
      </c>
      <c r="B500" t="s">
        <v>3578</v>
      </c>
      <c r="C500"/>
      <c r="D500"/>
      <c r="E500"/>
      <c r="F500" t="s">
        <v>3579</v>
      </c>
      <c r="G500"/>
      <c r="H500"/>
      <c r="I500" t="s">
        <v>3580</v>
      </c>
      <c r="J500" t="s">
        <v>457</v>
      </c>
      <c r="K500"/>
      <c r="L500"/>
      <c r="M500"/>
      <c r="N500" t="s">
        <v>112</v>
      </c>
      <c r="O500"/>
      <c r="P500"/>
      <c r="Q500"/>
      <c r="R500"/>
      <c r="S500"/>
      <c r="T500" t="s">
        <v>3581</v>
      </c>
      <c r="U500" t="s">
        <v>3582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>
        <v>8</v>
      </c>
      <c r="AI500">
        <v>10</v>
      </c>
      <c r="AJ500"/>
      <c r="AK500"/>
      <c r="AL500"/>
      <c r="AM500"/>
      <c r="AN500"/>
      <c r="AO500"/>
      <c r="AP500" t="s">
        <v>458</v>
      </c>
      <c r="AQ500"/>
      <c r="AR500"/>
      <c r="AS500"/>
      <c r="AT500" t="s">
        <v>154</v>
      </c>
      <c r="AU500">
        <v>2021</v>
      </c>
      <c r="AV500">
        <v>13</v>
      </c>
      <c r="AW500">
        <v>15</v>
      </c>
      <c r="AX500"/>
      <c r="AY500"/>
      <c r="AZ500"/>
      <c r="BA500"/>
      <c r="BB500"/>
      <c r="BC500"/>
      <c r="BD500">
        <v>8390</v>
      </c>
      <c r="BE500" t="s">
        <v>3583</v>
      </c>
      <c r="BF500" t="str">
        <f>HYPERLINK("http://dx.doi.org/10.3390/su13158390","http://dx.doi.org/10.3390/su13158390")</f>
        <v>http://dx.doi.org/10.3390/su13158390</v>
      </c>
      <c r="BG500"/>
      <c r="BH500"/>
      <c r="BI500"/>
      <c r="BJ500" t="s">
        <v>460</v>
      </c>
      <c r="BK500"/>
      <c r="BL500"/>
      <c r="BM500"/>
      <c r="BN500"/>
      <c r="BO500"/>
      <c r="BP500"/>
      <c r="BQ500"/>
      <c r="BR500"/>
      <c r="BS500"/>
      <c r="BT500" t="str">
        <f>HYPERLINK("https%3A%2F%2Fwww.webofscience.com%2Fwos%2Fwoscc%2Ffull-record%2F","View Full Record in Web of Science")</f>
        <v>View Full Record in Web of Science</v>
      </c>
    </row>
    <row r="501" spans="1:72" customHeight="1" ht="12.75">
      <c r="A501" t="s">
        <v>72</v>
      </c>
      <c r="B501" t="s">
        <v>3584</v>
      </c>
      <c r="C501"/>
      <c r="D501"/>
      <c r="E501"/>
      <c r="F501" t="s">
        <v>3585</v>
      </c>
      <c r="G501"/>
      <c r="H501"/>
      <c r="I501" t="s">
        <v>3586</v>
      </c>
      <c r="J501" t="s">
        <v>697</v>
      </c>
      <c r="K501"/>
      <c r="L501"/>
      <c r="M501"/>
      <c r="N501" t="s">
        <v>112</v>
      </c>
      <c r="O501"/>
      <c r="P501"/>
      <c r="Q501"/>
      <c r="R501"/>
      <c r="S501"/>
      <c r="T501" t="s">
        <v>3587</v>
      </c>
      <c r="U501" t="s">
        <v>3588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>
        <v>10</v>
      </c>
      <c r="AI501">
        <v>12</v>
      </c>
      <c r="AJ501"/>
      <c r="AK501"/>
      <c r="AL501"/>
      <c r="AM501"/>
      <c r="AN501"/>
      <c r="AO501" t="s">
        <v>699</v>
      </c>
      <c r="AP501" t="s">
        <v>700</v>
      </c>
      <c r="AQ501"/>
      <c r="AR501"/>
      <c r="AS501"/>
      <c r="AT501" t="s">
        <v>404</v>
      </c>
      <c r="AU501">
        <v>2021</v>
      </c>
      <c r="AV501">
        <v>64</v>
      </c>
      <c r="AW501"/>
      <c r="AX501"/>
      <c r="AY501"/>
      <c r="AZ501"/>
      <c r="BA501"/>
      <c r="BB501"/>
      <c r="BC501"/>
      <c r="BD501">
        <v>102546</v>
      </c>
      <c r="BE501" t="s">
        <v>3589</v>
      </c>
      <c r="BF501" t="str">
        <f>HYPERLINK("http://dx.doi.org/10.1016/j.scs.2020.102546","http://dx.doi.org/10.1016/j.scs.2020.102546")</f>
        <v>http://dx.doi.org/10.1016/j.scs.2020.102546</v>
      </c>
      <c r="BG501"/>
      <c r="BH501"/>
      <c r="BI501"/>
      <c r="BJ501" t="s">
        <v>702</v>
      </c>
      <c r="BK501"/>
      <c r="BL501"/>
      <c r="BM501"/>
      <c r="BN501"/>
      <c r="BO501"/>
      <c r="BP501"/>
      <c r="BQ501"/>
      <c r="BR501"/>
      <c r="BS501"/>
      <c r="BT501" t="str">
        <f>HYPERLINK("https%3A%2F%2Fwww.webofscience.com%2Fwos%2Fwoscc%2Ffull-record%2F","View Full Record in Web of Science")</f>
        <v>View Full Record in Web of Science</v>
      </c>
    </row>
    <row r="502" spans="1:72" customHeight="1" ht="12.75">
      <c r="A502" t="s">
        <v>72</v>
      </c>
      <c r="B502" t="s">
        <v>3590</v>
      </c>
      <c r="C502"/>
      <c r="D502"/>
      <c r="E502"/>
      <c r="F502" t="s">
        <v>3591</v>
      </c>
      <c r="G502"/>
      <c r="H502"/>
      <c r="I502" t="s">
        <v>3592</v>
      </c>
      <c r="J502" t="s">
        <v>431</v>
      </c>
      <c r="K502"/>
      <c r="L502"/>
      <c r="M502"/>
      <c r="N502" t="s">
        <v>112</v>
      </c>
      <c r="O502"/>
      <c r="P502"/>
      <c r="Q502"/>
      <c r="R502"/>
      <c r="S502"/>
      <c r="T502" t="s">
        <v>3593</v>
      </c>
      <c r="U502" t="s">
        <v>3594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>
        <v>25</v>
      </c>
      <c r="AI502">
        <v>25</v>
      </c>
      <c r="AJ502"/>
      <c r="AK502"/>
      <c r="AL502"/>
      <c r="AM502"/>
      <c r="AN502"/>
      <c r="AO502" t="s">
        <v>434</v>
      </c>
      <c r="AP502" t="s">
        <v>435</v>
      </c>
      <c r="AQ502"/>
      <c r="AR502"/>
      <c r="AS502"/>
      <c r="AT502" t="s">
        <v>92</v>
      </c>
      <c r="AU502">
        <v>2020</v>
      </c>
      <c r="AV502">
        <v>85</v>
      </c>
      <c r="AW502"/>
      <c r="AX502"/>
      <c r="AY502"/>
      <c r="AZ502"/>
      <c r="BA502"/>
      <c r="BB502"/>
      <c r="BC502"/>
      <c r="BD502">
        <v>106469</v>
      </c>
      <c r="BE502" t="s">
        <v>3595</v>
      </c>
      <c r="BF502" t="str">
        <f>HYPERLINK("http://dx.doi.org/10.1016/j.eiar.2020.106469","http://dx.doi.org/10.1016/j.eiar.2020.106469")</f>
        <v>http://dx.doi.org/10.1016/j.eiar.2020.106469</v>
      </c>
      <c r="BG502"/>
      <c r="BH502"/>
      <c r="BI502"/>
      <c r="BJ502" t="s">
        <v>359</v>
      </c>
      <c r="BK502"/>
      <c r="BL502"/>
      <c r="BM502"/>
      <c r="BN502"/>
      <c r="BO502"/>
      <c r="BP502"/>
      <c r="BQ502"/>
      <c r="BR502"/>
      <c r="BS502"/>
      <c r="BT502" t="str">
        <f>HYPERLINK("https%3A%2F%2Fwww.webofscience.com%2Fwos%2Fwoscc%2Ffull-record%2F","View Full Record in Web of Science")</f>
        <v>View Full Record in Web of Science</v>
      </c>
    </row>
    <row r="503" spans="1:72" customHeight="1" ht="12.75">
      <c r="A503" t="s">
        <v>72</v>
      </c>
      <c r="B503" t="s">
        <v>3596</v>
      </c>
      <c r="C503"/>
      <c r="D503"/>
      <c r="E503"/>
      <c r="F503" t="s">
        <v>3597</v>
      </c>
      <c r="G503"/>
      <c r="H503"/>
      <c r="I503" t="s">
        <v>3598</v>
      </c>
      <c r="J503" t="s">
        <v>457</v>
      </c>
      <c r="K503"/>
      <c r="L503"/>
      <c r="M503"/>
      <c r="N503" t="s">
        <v>112</v>
      </c>
      <c r="O503"/>
      <c r="P503"/>
      <c r="Q503"/>
      <c r="R503"/>
      <c r="S503"/>
      <c r="T503" t="s">
        <v>3599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>
        <v>0.0</v>
      </c>
      <c r="AI503">
        <v>0.0</v>
      </c>
      <c r="AJ503"/>
      <c r="AK503"/>
      <c r="AL503"/>
      <c r="AM503"/>
      <c r="AN503"/>
      <c r="AO503"/>
      <c r="AP503" t="s">
        <v>458</v>
      </c>
      <c r="AQ503"/>
      <c r="AR503"/>
      <c r="AS503"/>
      <c r="AT503" t="s">
        <v>2079</v>
      </c>
      <c r="AU503">
        <v>2023</v>
      </c>
      <c r="AV503">
        <v>15</v>
      </c>
      <c r="AW503">
        <v>10</v>
      </c>
      <c r="AX503"/>
      <c r="AY503"/>
      <c r="AZ503"/>
      <c r="BA503"/>
      <c r="BB503"/>
      <c r="BC503"/>
      <c r="BD503">
        <v>7956</v>
      </c>
      <c r="BE503" t="s">
        <v>3600</v>
      </c>
      <c r="BF503" t="str">
        <f>HYPERLINK("http://dx.doi.org/10.3390/su15107956","http://dx.doi.org/10.3390/su15107956")</f>
        <v>http://dx.doi.org/10.3390/su15107956</v>
      </c>
      <c r="BG503"/>
      <c r="BH503"/>
      <c r="BI503"/>
      <c r="BJ503" t="s">
        <v>460</v>
      </c>
      <c r="BK503"/>
      <c r="BL503"/>
      <c r="BM503"/>
      <c r="BN503"/>
      <c r="BO503"/>
      <c r="BP503"/>
      <c r="BQ503"/>
      <c r="BR503"/>
      <c r="BS503"/>
      <c r="BT503" t="str">
        <f>HYPERLINK("https%3A%2F%2Fwww.webofscience.com%2Fwos%2Fwoscc%2Ffull-record%2F","View Full Record in Web of Science")</f>
        <v>View Full Record in Web of Science</v>
      </c>
    </row>
    <row r="504" spans="1:72" customHeight="1" ht="12.75">
      <c r="A504" t="s">
        <v>72</v>
      </c>
      <c r="B504" t="s">
        <v>3601</v>
      </c>
      <c r="C504"/>
      <c r="D504"/>
      <c r="E504"/>
      <c r="F504" t="s">
        <v>3602</v>
      </c>
      <c r="G504"/>
      <c r="H504"/>
      <c r="I504" t="s">
        <v>3603</v>
      </c>
      <c r="J504" t="s">
        <v>697</v>
      </c>
      <c r="K504"/>
      <c r="L504"/>
      <c r="M504"/>
      <c r="N504" t="s">
        <v>325</v>
      </c>
      <c r="O504"/>
      <c r="P504"/>
      <c r="Q504"/>
      <c r="R504"/>
      <c r="S504"/>
      <c r="T504" t="s">
        <v>3604</v>
      </c>
      <c r="U504" t="s">
        <v>3605</v>
      </c>
      <c r="V504"/>
      <c r="W504"/>
      <c r="X504"/>
      <c r="Y504"/>
      <c r="Z504"/>
      <c r="AA504"/>
      <c r="AB504"/>
      <c r="AC504"/>
      <c r="AD504"/>
      <c r="AE504"/>
      <c r="AF504"/>
      <c r="AG504"/>
      <c r="AH504">
        <v>25</v>
      </c>
      <c r="AI504">
        <v>25</v>
      </c>
      <c r="AJ504"/>
      <c r="AK504"/>
      <c r="AL504"/>
      <c r="AM504"/>
      <c r="AN504"/>
      <c r="AO504" t="s">
        <v>699</v>
      </c>
      <c r="AP504" t="s">
        <v>700</v>
      </c>
      <c r="AQ504"/>
      <c r="AR504"/>
      <c r="AS504"/>
      <c r="AT504" t="s">
        <v>3606</v>
      </c>
      <c r="AU504">
        <v>2021</v>
      </c>
      <c r="AV504">
        <v>75</v>
      </c>
      <c r="AW504"/>
      <c r="AX504"/>
      <c r="AY504"/>
      <c r="AZ504"/>
      <c r="BA504"/>
      <c r="BB504"/>
      <c r="BC504"/>
      <c r="BD504">
        <v>103236</v>
      </c>
      <c r="BE504" t="s">
        <v>3607</v>
      </c>
      <c r="BF504" t="str">
        <f>HYPERLINK("http://dx.doi.org/10.1016/j.scs.2021.103236","http://dx.doi.org/10.1016/j.scs.2021.103236")</f>
        <v>http://dx.doi.org/10.1016/j.scs.2021.103236</v>
      </c>
      <c r="BG504"/>
      <c r="BH504" t="s">
        <v>1432</v>
      </c>
      <c r="BI504"/>
      <c r="BJ504" t="s">
        <v>702</v>
      </c>
      <c r="BK504"/>
      <c r="BL504"/>
      <c r="BM504"/>
      <c r="BN504"/>
      <c r="BO504"/>
      <c r="BP504"/>
      <c r="BQ504"/>
      <c r="BR504"/>
      <c r="BS504"/>
      <c r="BT504" t="str">
        <f>HYPERLINK("https%3A%2F%2Fwww.webofscience.com%2Fwos%2Fwoscc%2Ffull-record%2F","View Full Record in Web of Science")</f>
        <v>View Full Record in Web of Science</v>
      </c>
    </row>
    <row r="505" spans="1:72" customHeight="1" ht="12.75">
      <c r="A505" t="s">
        <v>72</v>
      </c>
      <c r="B505" t="s">
        <v>3608</v>
      </c>
      <c r="C505"/>
      <c r="D505"/>
      <c r="E505"/>
      <c r="F505" t="s">
        <v>3609</v>
      </c>
      <c r="G505"/>
      <c r="H505"/>
      <c r="I505" t="s">
        <v>3610</v>
      </c>
      <c r="J505" t="s">
        <v>457</v>
      </c>
      <c r="K505"/>
      <c r="L505"/>
      <c r="M505"/>
      <c r="N505" t="s">
        <v>112</v>
      </c>
      <c r="O505"/>
      <c r="P505"/>
      <c r="Q505"/>
      <c r="R505"/>
      <c r="S505"/>
      <c r="T505" t="s">
        <v>3611</v>
      </c>
      <c r="U505" t="s">
        <v>3612</v>
      </c>
      <c r="V505"/>
      <c r="W505"/>
      <c r="X505"/>
      <c r="Y505"/>
      <c r="Z505"/>
      <c r="AA505"/>
      <c r="AB505"/>
      <c r="AC505"/>
      <c r="AD505"/>
      <c r="AE505"/>
      <c r="AF505"/>
      <c r="AG505"/>
      <c r="AH505">
        <v>4</v>
      </c>
      <c r="AI505">
        <v>5</v>
      </c>
      <c r="AJ505"/>
      <c r="AK505"/>
      <c r="AL505"/>
      <c r="AM505"/>
      <c r="AN505"/>
      <c r="AO505"/>
      <c r="AP505" t="s">
        <v>458</v>
      </c>
      <c r="AQ505"/>
      <c r="AR505"/>
      <c r="AS505"/>
      <c r="AT505" t="s">
        <v>117</v>
      </c>
      <c r="AU505">
        <v>2016</v>
      </c>
      <c r="AV505">
        <v>8</v>
      </c>
      <c r="AW505">
        <v>5</v>
      </c>
      <c r="AX505"/>
      <c r="AY505"/>
      <c r="AZ505"/>
      <c r="BA505"/>
      <c r="BB505"/>
      <c r="BC505"/>
      <c r="BD505">
        <v>459</v>
      </c>
      <c r="BE505" t="s">
        <v>3613</v>
      </c>
      <c r="BF505" t="str">
        <f>HYPERLINK("http://dx.doi.org/10.3390/su8050459","http://dx.doi.org/10.3390/su8050459")</f>
        <v>http://dx.doi.org/10.3390/su8050459</v>
      </c>
      <c r="BG505"/>
      <c r="BH505"/>
      <c r="BI505"/>
      <c r="BJ505" t="s">
        <v>460</v>
      </c>
      <c r="BK505"/>
      <c r="BL505"/>
      <c r="BM505"/>
      <c r="BN505"/>
      <c r="BO505"/>
      <c r="BP505"/>
      <c r="BQ505"/>
      <c r="BR505"/>
      <c r="BS505"/>
      <c r="BT505" t="str">
        <f>HYPERLINK("https%3A%2F%2Fwww.webofscience.com%2Fwos%2Fwoscc%2Ffull-record%2F","View Full Record in Web of Science")</f>
        <v>View Full Record in Web of Science</v>
      </c>
    </row>
    <row r="506" spans="1:72" customHeight="1" ht="12.75">
      <c r="A506" t="s">
        <v>72</v>
      </c>
      <c r="B506" t="s">
        <v>3614</v>
      </c>
      <c r="C506"/>
      <c r="D506"/>
      <c r="E506"/>
      <c r="F506" t="s">
        <v>3615</v>
      </c>
      <c r="G506"/>
      <c r="H506"/>
      <c r="I506" t="s">
        <v>3616</v>
      </c>
      <c r="J506" t="s">
        <v>2632</v>
      </c>
      <c r="K506"/>
      <c r="L506"/>
      <c r="M506"/>
      <c r="N506" t="s">
        <v>112</v>
      </c>
      <c r="O506"/>
      <c r="P506"/>
      <c r="Q506"/>
      <c r="R506"/>
      <c r="S506"/>
      <c r="T506" t="s">
        <v>3617</v>
      </c>
      <c r="U506" t="s">
        <v>811</v>
      </c>
      <c r="V506"/>
      <c r="W506"/>
      <c r="X506"/>
      <c r="Y506"/>
      <c r="Z506"/>
      <c r="AA506"/>
      <c r="AB506"/>
      <c r="AC506"/>
      <c r="AD506"/>
      <c r="AE506"/>
      <c r="AF506"/>
      <c r="AG506"/>
      <c r="AH506">
        <v>106</v>
      </c>
      <c r="AI506">
        <v>110</v>
      </c>
      <c r="AJ506"/>
      <c r="AK506"/>
      <c r="AL506"/>
      <c r="AM506"/>
      <c r="AN506"/>
      <c r="AO506" t="s">
        <v>2635</v>
      </c>
      <c r="AP506" t="s">
        <v>2636</v>
      </c>
      <c r="AQ506"/>
      <c r="AR506"/>
      <c r="AS506"/>
      <c r="AT506" t="s">
        <v>190</v>
      </c>
      <c r="AU506">
        <v>2011</v>
      </c>
      <c r="AV506">
        <v>39</v>
      </c>
      <c r="AW506">
        <v>3</v>
      </c>
      <c r="AX506"/>
      <c r="AY506"/>
      <c r="AZ506"/>
      <c r="BA506"/>
      <c r="BB506">
        <v>1363</v>
      </c>
      <c r="BC506">
        <v>1368</v>
      </c>
      <c r="BD506"/>
      <c r="BE506" t="s">
        <v>3618</v>
      </c>
      <c r="BF506" t="str">
        <f>HYPERLINK("http://dx.doi.org/10.1016/j.enpol.2010.12.008","http://dx.doi.org/10.1016/j.enpol.2010.12.008")</f>
        <v>http://dx.doi.org/10.1016/j.enpol.2010.12.008</v>
      </c>
      <c r="BG506"/>
      <c r="BH506"/>
      <c r="BI506"/>
      <c r="BJ506" t="s">
        <v>2638</v>
      </c>
      <c r="BK506"/>
      <c r="BL506"/>
      <c r="BM506"/>
      <c r="BN506"/>
      <c r="BO506"/>
      <c r="BP506"/>
      <c r="BQ506"/>
      <c r="BR506"/>
      <c r="BS506"/>
      <c r="BT506" t="str">
        <f>HYPERLINK("https%3A%2F%2Fwww.webofscience.com%2Fwos%2Fwoscc%2Ffull-record%2F","View Full Record in Web of Science")</f>
        <v>View Full Record in Web of Science</v>
      </c>
    </row>
    <row r="507" spans="1:72" customHeight="1" ht="12.75">
      <c r="A507" t="s">
        <v>72</v>
      </c>
      <c r="B507" t="s">
        <v>3619</v>
      </c>
      <c r="C507"/>
      <c r="D507"/>
      <c r="E507"/>
      <c r="F507" t="s">
        <v>3620</v>
      </c>
      <c r="G507"/>
      <c r="H507"/>
      <c r="I507" t="s">
        <v>3621</v>
      </c>
      <c r="J507" t="s">
        <v>2712</v>
      </c>
      <c r="K507"/>
      <c r="L507"/>
      <c r="M507"/>
      <c r="N507" t="s">
        <v>77</v>
      </c>
      <c r="O507"/>
      <c r="P507"/>
      <c r="Q507"/>
      <c r="R507"/>
      <c r="S507"/>
      <c r="T507" t="s">
        <v>3622</v>
      </c>
      <c r="U507" t="s">
        <v>3623</v>
      </c>
      <c r="V507"/>
      <c r="W507"/>
      <c r="X507"/>
      <c r="Y507"/>
      <c r="Z507"/>
      <c r="AA507"/>
      <c r="AB507"/>
      <c r="AC507"/>
      <c r="AD507"/>
      <c r="AE507"/>
      <c r="AF507"/>
      <c r="AG507"/>
      <c r="AH507">
        <v>0.0</v>
      </c>
      <c r="AI507">
        <v>0.0</v>
      </c>
      <c r="AJ507"/>
      <c r="AK507"/>
      <c r="AL507"/>
      <c r="AM507"/>
      <c r="AN507"/>
      <c r="AO507"/>
      <c r="AP507" t="s">
        <v>2714</v>
      </c>
      <c r="AQ507"/>
      <c r="AR507"/>
      <c r="AS507"/>
      <c r="AT507" t="s">
        <v>190</v>
      </c>
      <c r="AU507">
        <v>2023</v>
      </c>
      <c r="AV507">
        <v>15</v>
      </c>
      <c r="AW507">
        <v>6</v>
      </c>
      <c r="AX507"/>
      <c r="AY507"/>
      <c r="AZ507"/>
      <c r="BA507"/>
      <c r="BB507"/>
      <c r="BC507"/>
      <c r="BD507">
        <v>1005</v>
      </c>
      <c r="BE507" t="s">
        <v>3624</v>
      </c>
      <c r="BF507" t="str">
        <f>HYPERLINK("http://dx.doi.org/10.3390/w15061005","http://dx.doi.org/10.3390/w15061005")</f>
        <v>http://dx.doi.org/10.3390/w15061005</v>
      </c>
      <c r="BG507"/>
      <c r="BH507"/>
      <c r="BI507"/>
      <c r="BJ507" t="s">
        <v>2716</v>
      </c>
      <c r="BK507"/>
      <c r="BL507"/>
      <c r="BM507"/>
      <c r="BN507"/>
      <c r="BO507"/>
      <c r="BP507"/>
      <c r="BQ507"/>
      <c r="BR507"/>
      <c r="BS507"/>
      <c r="BT507" t="str">
        <f>HYPERLINK("https%3A%2F%2Fwww.webofscience.com%2Fwos%2Fwoscc%2Ffull-record%2F","View Full Record in Web of Science")</f>
        <v>View Full Record in Web of Science</v>
      </c>
    </row>
    <row r="508" spans="1:72" customHeight="1" ht="12.75">
      <c r="A508" t="s">
        <v>72</v>
      </c>
      <c r="B508" t="s">
        <v>3625</v>
      </c>
      <c r="C508"/>
      <c r="D508"/>
      <c r="E508"/>
      <c r="F508" t="s">
        <v>3626</v>
      </c>
      <c r="G508"/>
      <c r="H508"/>
      <c r="I508" t="s">
        <v>3627</v>
      </c>
      <c r="J508" t="s">
        <v>587</v>
      </c>
      <c r="K508"/>
      <c r="L508"/>
      <c r="M508"/>
      <c r="N508" t="s">
        <v>325</v>
      </c>
      <c r="O508"/>
      <c r="P508"/>
      <c r="Q508"/>
      <c r="R508"/>
      <c r="S508"/>
      <c r="T508" t="s">
        <v>3628</v>
      </c>
      <c r="U508" t="s">
        <v>3629</v>
      </c>
      <c r="V508"/>
      <c r="W508"/>
      <c r="X508"/>
      <c r="Y508"/>
      <c r="Z508"/>
      <c r="AA508"/>
      <c r="AB508"/>
      <c r="AC508"/>
      <c r="AD508"/>
      <c r="AE508"/>
      <c r="AF508"/>
      <c r="AG508"/>
      <c r="AH508">
        <v>13</v>
      </c>
      <c r="AI508">
        <v>13</v>
      </c>
      <c r="AJ508"/>
      <c r="AK508"/>
      <c r="AL508"/>
      <c r="AM508"/>
      <c r="AN508"/>
      <c r="AO508" t="s">
        <v>590</v>
      </c>
      <c r="AP508" t="s">
        <v>591</v>
      </c>
      <c r="AQ508"/>
      <c r="AR508"/>
      <c r="AS508"/>
      <c r="AT508" t="s">
        <v>3630</v>
      </c>
      <c r="AU508">
        <v>2021</v>
      </c>
      <c r="AV508">
        <v>314</v>
      </c>
      <c r="AW508"/>
      <c r="AX508"/>
      <c r="AY508"/>
      <c r="AZ508"/>
      <c r="BA508"/>
      <c r="BB508"/>
      <c r="BC508"/>
      <c r="BD508">
        <v>128031</v>
      </c>
      <c r="BE508" t="s">
        <v>3631</v>
      </c>
      <c r="BF508" t="str">
        <f>HYPERLINK("http://dx.doi.org/10.1016/j.jclepro.2021.128031","http://dx.doi.org/10.1016/j.jclepro.2021.128031")</f>
        <v>http://dx.doi.org/10.1016/j.jclepro.2021.128031</v>
      </c>
      <c r="BG508"/>
      <c r="BH508" t="s">
        <v>1289</v>
      </c>
      <c r="BI508"/>
      <c r="BJ508" t="s">
        <v>139</v>
      </c>
      <c r="BK508"/>
      <c r="BL508"/>
      <c r="BM508"/>
      <c r="BN508"/>
      <c r="BO508"/>
      <c r="BP508"/>
      <c r="BQ508"/>
      <c r="BR508"/>
      <c r="BS508"/>
      <c r="BT508" t="str">
        <f>HYPERLINK("https%3A%2F%2Fwww.webofscience.com%2Fwos%2Fwoscc%2Ffull-record%2F","View Full Record in Web of Science")</f>
        <v>View Full Record in Web of Science</v>
      </c>
    </row>
    <row r="509" spans="1:72" customHeight="1" ht="12.75">
      <c r="A509" t="s">
        <v>72</v>
      </c>
      <c r="B509" t="s">
        <v>3632</v>
      </c>
      <c r="C509"/>
      <c r="D509"/>
      <c r="E509"/>
      <c r="F509" t="s">
        <v>3633</v>
      </c>
      <c r="G509"/>
      <c r="H509"/>
      <c r="I509" t="s">
        <v>3634</v>
      </c>
      <c r="J509" t="s">
        <v>697</v>
      </c>
      <c r="K509"/>
      <c r="L509"/>
      <c r="M509"/>
      <c r="N509" t="s">
        <v>112</v>
      </c>
      <c r="O509"/>
      <c r="P509"/>
      <c r="Q509"/>
      <c r="R509"/>
      <c r="S509"/>
      <c r="T509" t="s">
        <v>3635</v>
      </c>
      <c r="U509" t="s">
        <v>3636</v>
      </c>
      <c r="V509"/>
      <c r="W509"/>
      <c r="X509"/>
      <c r="Y509"/>
      <c r="Z509"/>
      <c r="AA509"/>
      <c r="AB509"/>
      <c r="AC509"/>
      <c r="AD509"/>
      <c r="AE509"/>
      <c r="AF509"/>
      <c r="AG509"/>
      <c r="AH509">
        <v>8</v>
      </c>
      <c r="AI509">
        <v>8</v>
      </c>
      <c r="AJ509"/>
      <c r="AK509"/>
      <c r="AL509"/>
      <c r="AM509"/>
      <c r="AN509"/>
      <c r="AO509" t="s">
        <v>699</v>
      </c>
      <c r="AP509" t="s">
        <v>700</v>
      </c>
      <c r="AQ509"/>
      <c r="AR509"/>
      <c r="AS509"/>
      <c r="AT509" t="s">
        <v>394</v>
      </c>
      <c r="AU509">
        <v>2019</v>
      </c>
      <c r="AV509">
        <v>45</v>
      </c>
      <c r="AW509"/>
      <c r="AX509"/>
      <c r="AY509"/>
      <c r="AZ509"/>
      <c r="BA509"/>
      <c r="BB509">
        <v>159</v>
      </c>
      <c r="BC509">
        <v>171</v>
      </c>
      <c r="BD509"/>
      <c r="BE509" t="s">
        <v>3637</v>
      </c>
      <c r="BF509" t="str">
        <f>HYPERLINK("http://dx.doi.org/10.1016/j.scs.2018.11.030","http://dx.doi.org/10.1016/j.scs.2018.11.030")</f>
        <v>http://dx.doi.org/10.1016/j.scs.2018.11.030</v>
      </c>
      <c r="BG509"/>
      <c r="BH509"/>
      <c r="BI509"/>
      <c r="BJ509" t="s">
        <v>702</v>
      </c>
      <c r="BK509"/>
      <c r="BL509"/>
      <c r="BM509"/>
      <c r="BN509"/>
      <c r="BO509"/>
      <c r="BP509"/>
      <c r="BQ509"/>
      <c r="BR509"/>
      <c r="BS509"/>
      <c r="BT509" t="str">
        <f>HYPERLINK("https%3A%2F%2Fwww.webofscience.com%2Fwos%2Fwoscc%2Ffull-record%2F","View Full Record in Web of Science")</f>
        <v>View Full Record in Web of Science</v>
      </c>
    </row>
    <row r="510" spans="1:72" customHeight="1" ht="12.75">
      <c r="A510" t="s">
        <v>72</v>
      </c>
      <c r="B510" t="s">
        <v>3638</v>
      </c>
      <c r="C510"/>
      <c r="D510"/>
      <c r="E510"/>
      <c r="F510" t="s">
        <v>3639</v>
      </c>
      <c r="G510"/>
      <c r="H510"/>
      <c r="I510" t="s">
        <v>3640</v>
      </c>
      <c r="J510" t="s">
        <v>2726</v>
      </c>
      <c r="K510"/>
      <c r="L510"/>
      <c r="M510"/>
      <c r="N510" t="s">
        <v>112</v>
      </c>
      <c r="O510"/>
      <c r="P510"/>
      <c r="Q510"/>
      <c r="R510"/>
      <c r="S510"/>
      <c r="T510" t="s">
        <v>3641</v>
      </c>
      <c r="U510" t="s">
        <v>3642</v>
      </c>
      <c r="V510"/>
      <c r="W510"/>
      <c r="X510"/>
      <c r="Y510"/>
      <c r="Z510"/>
      <c r="AA510"/>
      <c r="AB510"/>
      <c r="AC510"/>
      <c r="AD510"/>
      <c r="AE510"/>
      <c r="AF510"/>
      <c r="AG510"/>
      <c r="AH510">
        <v>175</v>
      </c>
      <c r="AI510">
        <v>220</v>
      </c>
      <c r="AJ510"/>
      <c r="AK510"/>
      <c r="AL510"/>
      <c r="AM510"/>
      <c r="AN510"/>
      <c r="AO510" t="s">
        <v>2729</v>
      </c>
      <c r="AP510" t="s">
        <v>2730</v>
      </c>
      <c r="AQ510"/>
      <c r="AR510"/>
      <c r="AS510"/>
      <c r="AT510" t="s">
        <v>154</v>
      </c>
      <c r="AU510">
        <v>2016</v>
      </c>
      <c r="AV510">
        <v>26</v>
      </c>
      <c r="AW510">
        <v>8</v>
      </c>
      <c r="AX510"/>
      <c r="AY510"/>
      <c r="AZ510"/>
      <c r="BA510"/>
      <c r="BB510">
        <v>1081</v>
      </c>
      <c r="BC510">
        <v>1116</v>
      </c>
      <c r="BD510"/>
      <c r="BE510" t="s">
        <v>3643</v>
      </c>
      <c r="BF510" t="str">
        <f>HYPERLINK("http://dx.doi.org/10.1007/s11442-016-1317-9","http://dx.doi.org/10.1007/s11442-016-1317-9")</f>
        <v>http://dx.doi.org/10.1007/s11442-016-1317-9</v>
      </c>
      <c r="BG510"/>
      <c r="BH510"/>
      <c r="BI510"/>
      <c r="BJ510" t="s">
        <v>2732</v>
      </c>
      <c r="BK510"/>
      <c r="BL510"/>
      <c r="BM510"/>
      <c r="BN510"/>
      <c r="BO510"/>
      <c r="BP510"/>
      <c r="BQ510"/>
      <c r="BR510"/>
      <c r="BS510"/>
      <c r="BT510" t="str">
        <f>HYPERLINK("https%3A%2F%2Fwww.webofscience.com%2Fwos%2Fwoscc%2Ffull-record%2F","View Full Record in Web of Science")</f>
        <v>View Full Record in Web of Science</v>
      </c>
    </row>
    <row r="511" spans="1:72" customHeight="1" ht="12.75">
      <c r="A511" t="s">
        <v>72</v>
      </c>
      <c r="B511" t="s">
        <v>3644</v>
      </c>
      <c r="C511"/>
      <c r="D511"/>
      <c r="E511"/>
      <c r="F511" t="s">
        <v>3645</v>
      </c>
      <c r="G511"/>
      <c r="H511"/>
      <c r="I511" t="s">
        <v>3646</v>
      </c>
      <c r="J511" t="s">
        <v>87</v>
      </c>
      <c r="K511"/>
      <c r="L511"/>
      <c r="M511"/>
      <c r="N511" t="s">
        <v>325</v>
      </c>
      <c r="O511"/>
      <c r="P511"/>
      <c r="Q511"/>
      <c r="R511"/>
      <c r="S511"/>
      <c r="T511" t="s">
        <v>3647</v>
      </c>
      <c r="U511" t="s">
        <v>3648</v>
      </c>
      <c r="V511"/>
      <c r="W511"/>
      <c r="X511"/>
      <c r="Y511"/>
      <c r="Z511"/>
      <c r="AA511"/>
      <c r="AB511"/>
      <c r="AC511"/>
      <c r="AD511"/>
      <c r="AE511"/>
      <c r="AF511"/>
      <c r="AG511"/>
      <c r="AH511">
        <v>1</v>
      </c>
      <c r="AI511">
        <v>1</v>
      </c>
      <c r="AJ511"/>
      <c r="AK511"/>
      <c r="AL511"/>
      <c r="AM511"/>
      <c r="AN511"/>
      <c r="AO511" t="s">
        <v>90</v>
      </c>
      <c r="AP511" t="s">
        <v>91</v>
      </c>
      <c r="AQ511"/>
      <c r="AR511"/>
      <c r="AS511"/>
      <c r="AT511" t="s">
        <v>3649</v>
      </c>
      <c r="AU511">
        <v>2023</v>
      </c>
      <c r="AV511">
        <v>152</v>
      </c>
      <c r="AW511"/>
      <c r="AX511"/>
      <c r="AY511"/>
      <c r="AZ511"/>
      <c r="BA511"/>
      <c r="BB511"/>
      <c r="BC511"/>
      <c r="BD511">
        <v>110337</v>
      </c>
      <c r="BE511" t="s">
        <v>3650</v>
      </c>
      <c r="BF511" t="str">
        <f>HYPERLINK("http://dx.doi.org/10.1016/j.ecolind.2023.110337","http://dx.doi.org/10.1016/j.ecolind.2023.110337")</f>
        <v>http://dx.doi.org/10.1016/j.ecolind.2023.110337</v>
      </c>
      <c r="BG511"/>
      <c r="BH511" t="s">
        <v>298</v>
      </c>
      <c r="BI511"/>
      <c r="BJ511" t="s">
        <v>94</v>
      </c>
      <c r="BK511"/>
      <c r="BL511"/>
      <c r="BM511"/>
      <c r="BN511"/>
      <c r="BO511"/>
      <c r="BP511"/>
      <c r="BQ511"/>
      <c r="BR511"/>
      <c r="BS511"/>
      <c r="BT511" t="str">
        <f>HYPERLINK("https%3A%2F%2Fwww.webofscience.com%2Fwos%2Fwoscc%2Ffull-record%2F","View Full Record in Web of Science")</f>
        <v>View Full Record in Web of Science</v>
      </c>
    </row>
    <row r="512" spans="1:72" customHeight="1" ht="12.75">
      <c r="A512" t="s">
        <v>72</v>
      </c>
      <c r="B512" t="s">
        <v>3651</v>
      </c>
      <c r="C512"/>
      <c r="D512"/>
      <c r="E512"/>
      <c r="F512" t="s">
        <v>3652</v>
      </c>
      <c r="G512"/>
      <c r="H512"/>
      <c r="I512" t="s">
        <v>3653</v>
      </c>
      <c r="J512" t="s">
        <v>133</v>
      </c>
      <c r="K512"/>
      <c r="L512"/>
      <c r="M512"/>
      <c r="N512" t="s">
        <v>112</v>
      </c>
      <c r="O512"/>
      <c r="P512"/>
      <c r="Q512"/>
      <c r="R512"/>
      <c r="S512"/>
      <c r="T512" t="s">
        <v>3654</v>
      </c>
      <c r="U512" t="s">
        <v>3655</v>
      </c>
      <c r="V512"/>
      <c r="W512"/>
      <c r="X512"/>
      <c r="Y512"/>
      <c r="Z512"/>
      <c r="AA512"/>
      <c r="AB512"/>
      <c r="AC512"/>
      <c r="AD512"/>
      <c r="AE512"/>
      <c r="AF512"/>
      <c r="AG512"/>
      <c r="AH512">
        <v>20</v>
      </c>
      <c r="AI512">
        <v>21</v>
      </c>
      <c r="AJ512"/>
      <c r="AK512"/>
      <c r="AL512"/>
      <c r="AM512"/>
      <c r="AN512"/>
      <c r="AO512" t="s">
        <v>136</v>
      </c>
      <c r="AP512"/>
      <c r="AQ512"/>
      <c r="AR512"/>
      <c r="AS512"/>
      <c r="AT512" t="s">
        <v>394</v>
      </c>
      <c r="AU512">
        <v>2009</v>
      </c>
      <c r="AV512">
        <v>13</v>
      </c>
      <c r="AW512">
        <v>1</v>
      </c>
      <c r="AX512"/>
      <c r="AY512"/>
      <c r="AZ512"/>
      <c r="BA512"/>
      <c r="BB512">
        <v>94</v>
      </c>
      <c r="BC512">
        <v>111</v>
      </c>
      <c r="BD512"/>
      <c r="BE512" t="s">
        <v>3656</v>
      </c>
      <c r="BF512" t="str">
        <f>HYPERLINK("http://dx.doi.org/10.1111/j.1530-9290.2008.00085.x","http://dx.doi.org/10.1111/j.1530-9290.2008.00085.x")</f>
        <v>http://dx.doi.org/10.1111/j.1530-9290.2008.00085.x</v>
      </c>
      <c r="BG512"/>
      <c r="BH512"/>
      <c r="BI512"/>
      <c r="BJ512" t="s">
        <v>139</v>
      </c>
      <c r="BK512"/>
      <c r="BL512"/>
      <c r="BM512"/>
      <c r="BN512"/>
      <c r="BO512"/>
      <c r="BP512"/>
      <c r="BQ512"/>
      <c r="BR512"/>
      <c r="BS512"/>
      <c r="BT512" t="str">
        <f>HYPERLINK("https%3A%2F%2Fwww.webofscience.com%2Fwos%2Fwoscc%2Ffull-record%2F","View Full Record in Web of Science")</f>
        <v>View Full Record in Web of Science</v>
      </c>
    </row>
    <row r="513" spans="1:72" customHeight="1" ht="12.75">
      <c r="A513" t="s">
        <v>72</v>
      </c>
      <c r="B513" t="s">
        <v>3657</v>
      </c>
      <c r="C513"/>
      <c r="D513"/>
      <c r="E513"/>
      <c r="F513" t="s">
        <v>3658</v>
      </c>
      <c r="G513"/>
      <c r="H513"/>
      <c r="I513" t="s">
        <v>3659</v>
      </c>
      <c r="J513" t="s">
        <v>1884</v>
      </c>
      <c r="K513"/>
      <c r="L513"/>
      <c r="M513"/>
      <c r="N513" t="s">
        <v>112</v>
      </c>
      <c r="O513"/>
      <c r="P513"/>
      <c r="Q513"/>
      <c r="R513"/>
      <c r="S513"/>
      <c r="T513" t="s">
        <v>3660</v>
      </c>
      <c r="U513" t="s">
        <v>3661</v>
      </c>
      <c r="V513"/>
      <c r="W513"/>
      <c r="X513"/>
      <c r="Y513"/>
      <c r="Z513"/>
      <c r="AA513"/>
      <c r="AB513"/>
      <c r="AC513"/>
      <c r="AD513"/>
      <c r="AE513"/>
      <c r="AF513"/>
      <c r="AG513"/>
      <c r="AH513">
        <v>0.0</v>
      </c>
      <c r="AI513">
        <v>0.0</v>
      </c>
      <c r="AJ513"/>
      <c r="AK513"/>
      <c r="AL513"/>
      <c r="AM513"/>
      <c r="AN513"/>
      <c r="AO513" t="s">
        <v>1887</v>
      </c>
      <c r="AP513" t="s">
        <v>1888</v>
      </c>
      <c r="AQ513"/>
      <c r="AR513"/>
      <c r="AS513"/>
      <c r="AT513" t="s">
        <v>362</v>
      </c>
      <c r="AU513">
        <v>2023</v>
      </c>
      <c r="AV513">
        <v>23</v>
      </c>
      <c r="AW513">
        <v>2</v>
      </c>
      <c r="AX513"/>
      <c r="AY513"/>
      <c r="AZ513"/>
      <c r="BA513"/>
      <c r="BB513"/>
      <c r="BC513"/>
      <c r="BD513">
        <v>71</v>
      </c>
      <c r="BE513" t="s">
        <v>3662</v>
      </c>
      <c r="BF513" t="str">
        <f>HYPERLINK("http://dx.doi.org/10.1007/s10113-023-02070-x","http://dx.doi.org/10.1007/s10113-023-02070-x")</f>
        <v>http://dx.doi.org/10.1007/s10113-023-02070-x</v>
      </c>
      <c r="BG513"/>
      <c r="BH513"/>
      <c r="BI513"/>
      <c r="BJ513" t="s">
        <v>799</v>
      </c>
      <c r="BK513"/>
      <c r="BL513"/>
      <c r="BM513"/>
      <c r="BN513"/>
      <c r="BO513"/>
      <c r="BP513"/>
      <c r="BQ513"/>
      <c r="BR513"/>
      <c r="BS513"/>
      <c r="BT513" t="str">
        <f>HYPERLINK("https%3A%2F%2Fwww.webofscience.com%2Fwos%2Fwoscc%2Ffull-record%2F","View Full Record in Web of Science")</f>
        <v>View Full Record in Web of Science</v>
      </c>
    </row>
    <row r="514" spans="1:72" customHeight="1" ht="12.75">
      <c r="A514" t="s">
        <v>72</v>
      </c>
      <c r="B514" t="s">
        <v>3663</v>
      </c>
      <c r="C514"/>
      <c r="D514"/>
      <c r="E514"/>
      <c r="F514" t="s">
        <v>3664</v>
      </c>
      <c r="G514"/>
      <c r="H514"/>
      <c r="I514" t="s">
        <v>3665</v>
      </c>
      <c r="J514" t="s">
        <v>409</v>
      </c>
      <c r="K514"/>
      <c r="L514"/>
      <c r="M514"/>
      <c r="N514" t="s">
        <v>325</v>
      </c>
      <c r="O514"/>
      <c r="P514"/>
      <c r="Q514"/>
      <c r="R514"/>
      <c r="S514"/>
      <c r="T514" t="s">
        <v>3666</v>
      </c>
      <c r="U514" t="s">
        <v>3667</v>
      </c>
      <c r="V514"/>
      <c r="W514"/>
      <c r="X514"/>
      <c r="Y514"/>
      <c r="Z514"/>
      <c r="AA514"/>
      <c r="AB514"/>
      <c r="AC514"/>
      <c r="AD514"/>
      <c r="AE514"/>
      <c r="AF514"/>
      <c r="AG514"/>
      <c r="AH514">
        <v>5</v>
      </c>
      <c r="AI514">
        <v>5</v>
      </c>
      <c r="AJ514"/>
      <c r="AK514"/>
      <c r="AL514"/>
      <c r="AM514"/>
      <c r="AN514"/>
      <c r="AO514" t="s">
        <v>1080</v>
      </c>
      <c r="AP514" t="s">
        <v>1081</v>
      </c>
      <c r="AQ514"/>
      <c r="AR514"/>
      <c r="AS514"/>
      <c r="AT514" t="s">
        <v>3668</v>
      </c>
      <c r="AU514">
        <v>2021</v>
      </c>
      <c r="AV514">
        <v>113</v>
      </c>
      <c r="AW514"/>
      <c r="AX514"/>
      <c r="AY514"/>
      <c r="AZ514"/>
      <c r="BA514"/>
      <c r="BB514"/>
      <c r="BC514"/>
      <c r="BD514">
        <v>103162</v>
      </c>
      <c r="BE514" t="s">
        <v>3669</v>
      </c>
      <c r="BF514" t="str">
        <f>HYPERLINK("http://dx.doi.org/10.1016/j.cities.2021.103162","http://dx.doi.org/10.1016/j.cities.2021.103162")</f>
        <v>http://dx.doi.org/10.1016/j.cities.2021.103162</v>
      </c>
      <c r="BG514"/>
      <c r="BH514" t="s">
        <v>2562</v>
      </c>
      <c r="BI514"/>
      <c r="BJ514" t="s">
        <v>243</v>
      </c>
      <c r="BK514"/>
      <c r="BL514"/>
      <c r="BM514"/>
      <c r="BN514"/>
      <c r="BO514"/>
      <c r="BP514"/>
      <c r="BQ514"/>
      <c r="BR514"/>
      <c r="BS514"/>
      <c r="BT514" t="str">
        <f>HYPERLINK("https%3A%2F%2Fwww.webofscience.com%2Fwos%2Fwoscc%2Ffull-record%2F","View Full Record in Web of Science")</f>
        <v>View Full Record in Web of Science</v>
      </c>
    </row>
    <row r="515" spans="1:72" customHeight="1" ht="12.75">
      <c r="A515" t="s">
        <v>72</v>
      </c>
      <c r="B515" t="s">
        <v>3670</v>
      </c>
      <c r="C515"/>
      <c r="D515"/>
      <c r="E515"/>
      <c r="F515" t="s">
        <v>3671</v>
      </c>
      <c r="G515"/>
      <c r="H515"/>
      <c r="I515" t="s">
        <v>3672</v>
      </c>
      <c r="J515" t="s">
        <v>697</v>
      </c>
      <c r="K515"/>
      <c r="L515"/>
      <c r="M515"/>
      <c r="N515" t="s">
        <v>112</v>
      </c>
      <c r="O515"/>
      <c r="P515"/>
      <c r="Q515"/>
      <c r="R515"/>
      <c r="S515"/>
      <c r="T515" t="s">
        <v>3673</v>
      </c>
      <c r="U515" t="s">
        <v>3674</v>
      </c>
      <c r="V515"/>
      <c r="W515"/>
      <c r="X515"/>
      <c r="Y515"/>
      <c r="Z515"/>
      <c r="AA515"/>
      <c r="AB515"/>
      <c r="AC515"/>
      <c r="AD515"/>
      <c r="AE515"/>
      <c r="AF515"/>
      <c r="AG515"/>
      <c r="AH515">
        <v>33</v>
      </c>
      <c r="AI515">
        <v>37</v>
      </c>
      <c r="AJ515"/>
      <c r="AK515"/>
      <c r="AL515"/>
      <c r="AM515"/>
      <c r="AN515"/>
      <c r="AO515" t="s">
        <v>699</v>
      </c>
      <c r="AP515" t="s">
        <v>700</v>
      </c>
      <c r="AQ515"/>
      <c r="AR515"/>
      <c r="AS515"/>
      <c r="AT515" t="s">
        <v>385</v>
      </c>
      <c r="AU515">
        <v>2018</v>
      </c>
      <c r="AV515">
        <v>40</v>
      </c>
      <c r="AW515"/>
      <c r="AX515"/>
      <c r="AY515"/>
      <c r="AZ515"/>
      <c r="BA515"/>
      <c r="BB515">
        <v>569</v>
      </c>
      <c r="BC515">
        <v>580</v>
      </c>
      <c r="BD515"/>
      <c r="BE515" t="s">
        <v>3675</v>
      </c>
      <c r="BF515" t="str">
        <f>HYPERLINK("http://dx.doi.org/10.1016/j.scs.2018.04.027","http://dx.doi.org/10.1016/j.scs.2018.04.027")</f>
        <v>http://dx.doi.org/10.1016/j.scs.2018.04.027</v>
      </c>
      <c r="BG515"/>
      <c r="BH515"/>
      <c r="BI515"/>
      <c r="BJ515" t="s">
        <v>702</v>
      </c>
      <c r="BK515"/>
      <c r="BL515"/>
      <c r="BM515"/>
      <c r="BN515"/>
      <c r="BO515"/>
      <c r="BP515"/>
      <c r="BQ515"/>
      <c r="BR515"/>
      <c r="BS515"/>
      <c r="BT515" t="str">
        <f>HYPERLINK("https%3A%2F%2Fwww.webofscience.com%2Fwos%2Fwoscc%2Ffull-record%2F","View Full Record in Web of Science")</f>
        <v>View Full Record in Web of Science</v>
      </c>
    </row>
    <row r="516" spans="1:72" customHeight="1" ht="12.75">
      <c r="A516" t="s">
        <v>72</v>
      </c>
      <c r="B516" t="s">
        <v>3676</v>
      </c>
      <c r="C516"/>
      <c r="D516"/>
      <c r="E516"/>
      <c r="F516" t="s">
        <v>3677</v>
      </c>
      <c r="G516"/>
      <c r="H516"/>
      <c r="I516" t="s">
        <v>3678</v>
      </c>
      <c r="J516" t="s">
        <v>2106</v>
      </c>
      <c r="K516"/>
      <c r="L516"/>
      <c r="M516"/>
      <c r="N516" t="s">
        <v>112</v>
      </c>
      <c r="O516"/>
      <c r="P516"/>
      <c r="Q516"/>
      <c r="R516"/>
      <c r="S516"/>
      <c r="T516" t="s">
        <v>3679</v>
      </c>
      <c r="U516" t="s">
        <v>3680</v>
      </c>
      <c r="V516"/>
      <c r="W516"/>
      <c r="X516"/>
      <c r="Y516"/>
      <c r="Z516"/>
      <c r="AA516"/>
      <c r="AB516"/>
      <c r="AC516"/>
      <c r="AD516"/>
      <c r="AE516"/>
      <c r="AF516"/>
      <c r="AG516"/>
      <c r="AH516">
        <v>11</v>
      </c>
      <c r="AI516">
        <v>12</v>
      </c>
      <c r="AJ516"/>
      <c r="AK516"/>
      <c r="AL516"/>
      <c r="AM516"/>
      <c r="AN516"/>
      <c r="AO516" t="s">
        <v>2108</v>
      </c>
      <c r="AP516"/>
      <c r="AQ516"/>
      <c r="AR516"/>
      <c r="AS516"/>
      <c r="AT516" t="s">
        <v>154</v>
      </c>
      <c r="AU516">
        <v>2020</v>
      </c>
      <c r="AV516">
        <v>7</v>
      </c>
      <c r="AW516"/>
      <c r="AX516"/>
      <c r="AY516"/>
      <c r="AZ516"/>
      <c r="BA516"/>
      <c r="BB516"/>
      <c r="BC516"/>
      <c r="BD516">
        <v>100044</v>
      </c>
      <c r="BE516" t="s">
        <v>3681</v>
      </c>
      <c r="BF516" t="str">
        <f>HYPERLINK("http://dx.doi.org/10.1016/j.cacint.2020.100044","http://dx.doi.org/10.1016/j.cacint.2020.100044")</f>
        <v>http://dx.doi.org/10.1016/j.cacint.2020.100044</v>
      </c>
      <c r="BG516"/>
      <c r="BH516"/>
      <c r="BI516"/>
      <c r="BJ516" t="s">
        <v>2112</v>
      </c>
      <c r="BK516"/>
      <c r="BL516"/>
      <c r="BM516"/>
      <c r="BN516"/>
      <c r="BO516"/>
      <c r="BP516"/>
      <c r="BQ516"/>
      <c r="BR516"/>
      <c r="BS516"/>
      <c r="BT516" t="str">
        <f>HYPERLINK("https%3A%2F%2Fwww.webofscience.com%2Fwos%2Fwoscc%2Ffull-record%2F","View Full Record in Web of Science")</f>
        <v>View Full Record in Web of Science</v>
      </c>
    </row>
    <row r="517" spans="1:72" customHeight="1" ht="12.75">
      <c r="A517" t="s">
        <v>72</v>
      </c>
      <c r="B517" t="s">
        <v>3682</v>
      </c>
      <c r="C517"/>
      <c r="D517"/>
      <c r="E517"/>
      <c r="F517" t="s">
        <v>3683</v>
      </c>
      <c r="G517"/>
      <c r="H517"/>
      <c r="I517" t="s">
        <v>3684</v>
      </c>
      <c r="J517" t="s">
        <v>587</v>
      </c>
      <c r="K517"/>
      <c r="L517"/>
      <c r="M517"/>
      <c r="N517" t="s">
        <v>325</v>
      </c>
      <c r="O517"/>
      <c r="P517"/>
      <c r="Q517"/>
      <c r="R517"/>
      <c r="S517"/>
      <c r="T517" t="s">
        <v>3685</v>
      </c>
      <c r="U517" t="s">
        <v>3686</v>
      </c>
      <c r="V517"/>
      <c r="W517"/>
      <c r="X517"/>
      <c r="Y517"/>
      <c r="Z517"/>
      <c r="AA517"/>
      <c r="AB517"/>
      <c r="AC517"/>
      <c r="AD517"/>
      <c r="AE517"/>
      <c r="AF517"/>
      <c r="AG517"/>
      <c r="AH517">
        <v>3</v>
      </c>
      <c r="AI517">
        <v>3</v>
      </c>
      <c r="AJ517"/>
      <c r="AK517"/>
      <c r="AL517"/>
      <c r="AM517"/>
      <c r="AN517"/>
      <c r="AO517" t="s">
        <v>590</v>
      </c>
      <c r="AP517" t="s">
        <v>591</v>
      </c>
      <c r="AQ517"/>
      <c r="AR517"/>
      <c r="AS517"/>
      <c r="AT517" t="s">
        <v>3687</v>
      </c>
      <c r="AU517">
        <v>2022</v>
      </c>
      <c r="AV517">
        <v>377</v>
      </c>
      <c r="AW517"/>
      <c r="AX517"/>
      <c r="AY517"/>
      <c r="AZ517"/>
      <c r="BA517"/>
      <c r="BB517"/>
      <c r="BC517"/>
      <c r="BD517">
        <v>134197</v>
      </c>
      <c r="BE517" t="s">
        <v>3688</v>
      </c>
      <c r="BF517" t="str">
        <f>HYPERLINK("http://dx.doi.org/10.1016/j.jclepro.2022.134197","http://dx.doi.org/10.1016/j.jclepro.2022.134197")</f>
        <v>http://dx.doi.org/10.1016/j.jclepro.2022.134197</v>
      </c>
      <c r="BG517"/>
      <c r="BH517" t="s">
        <v>2195</v>
      </c>
      <c r="BI517"/>
      <c r="BJ517" t="s">
        <v>139</v>
      </c>
      <c r="BK517"/>
      <c r="BL517"/>
      <c r="BM517"/>
      <c r="BN517"/>
      <c r="BO517"/>
      <c r="BP517"/>
      <c r="BQ517"/>
      <c r="BR517"/>
      <c r="BS517"/>
      <c r="BT517" t="str">
        <f>HYPERLINK("https%3A%2F%2Fwww.webofscience.com%2Fwos%2Fwoscc%2Ffull-record%2F","View Full Record in Web of Science")</f>
        <v>View Full Record in Web of Science</v>
      </c>
    </row>
    <row r="518" spans="1:72" customHeight="1" ht="12.75">
      <c r="A518" t="s">
        <v>72</v>
      </c>
      <c r="B518" t="s">
        <v>3689</v>
      </c>
      <c r="C518"/>
      <c r="D518"/>
      <c r="E518"/>
      <c r="F518" t="s">
        <v>3690</v>
      </c>
      <c r="G518"/>
      <c r="H518"/>
      <c r="I518" t="s">
        <v>3691</v>
      </c>
      <c r="J518" t="s">
        <v>457</v>
      </c>
      <c r="K518"/>
      <c r="L518"/>
      <c r="M518"/>
      <c r="N518" t="s">
        <v>112</v>
      </c>
      <c r="O518"/>
      <c r="P518"/>
      <c r="Q518"/>
      <c r="R518"/>
      <c r="S518"/>
      <c r="T518" t="s">
        <v>3692</v>
      </c>
      <c r="U518" t="s">
        <v>3693</v>
      </c>
      <c r="V518"/>
      <c r="W518"/>
      <c r="X518"/>
      <c r="Y518"/>
      <c r="Z518"/>
      <c r="AA518"/>
      <c r="AB518"/>
      <c r="AC518"/>
      <c r="AD518"/>
      <c r="AE518"/>
      <c r="AF518"/>
      <c r="AG518"/>
      <c r="AH518">
        <v>12</v>
      </c>
      <c r="AI518">
        <v>12</v>
      </c>
      <c r="AJ518"/>
      <c r="AK518"/>
      <c r="AL518"/>
      <c r="AM518"/>
      <c r="AN518"/>
      <c r="AO518"/>
      <c r="AP518" t="s">
        <v>458</v>
      </c>
      <c r="AQ518"/>
      <c r="AR518"/>
      <c r="AS518"/>
      <c r="AT518" t="s">
        <v>385</v>
      </c>
      <c r="AU518">
        <v>2021</v>
      </c>
      <c r="AV518">
        <v>13</v>
      </c>
      <c r="AW518">
        <v>14</v>
      </c>
      <c r="AX518"/>
      <c r="AY518"/>
      <c r="AZ518"/>
      <c r="BA518"/>
      <c r="BB518"/>
      <c r="BC518"/>
      <c r="BD518">
        <v>7742</v>
      </c>
      <c r="BE518" t="s">
        <v>3694</v>
      </c>
      <c r="BF518" t="str">
        <f>HYPERLINK("http://dx.doi.org/10.3390/su13147742","http://dx.doi.org/10.3390/su13147742")</f>
        <v>http://dx.doi.org/10.3390/su13147742</v>
      </c>
      <c r="BG518"/>
      <c r="BH518"/>
      <c r="BI518"/>
      <c r="BJ518" t="s">
        <v>460</v>
      </c>
      <c r="BK518"/>
      <c r="BL518"/>
      <c r="BM518"/>
      <c r="BN518"/>
      <c r="BO518"/>
      <c r="BP518"/>
      <c r="BQ518"/>
      <c r="BR518"/>
      <c r="BS518"/>
      <c r="BT518" t="str">
        <f>HYPERLINK("https%3A%2F%2Fwww.webofscience.com%2Fwos%2Fwoscc%2Ffull-record%2F","View Full Record in Web of Science")</f>
        <v>View Full Record in Web of Science</v>
      </c>
    </row>
    <row r="519" spans="1:72" customHeight="1" ht="12.75">
      <c r="A519" t="s">
        <v>72</v>
      </c>
      <c r="B519" t="s">
        <v>3695</v>
      </c>
      <c r="C519"/>
      <c r="D519"/>
      <c r="E519"/>
      <c r="F519" t="s">
        <v>3696</v>
      </c>
      <c r="G519"/>
      <c r="H519"/>
      <c r="I519" t="s">
        <v>3697</v>
      </c>
      <c r="J519" t="s">
        <v>254</v>
      </c>
      <c r="K519"/>
      <c r="L519"/>
      <c r="M519"/>
      <c r="N519" t="s">
        <v>112</v>
      </c>
      <c r="O519"/>
      <c r="P519"/>
      <c r="Q519"/>
      <c r="R519"/>
      <c r="S519"/>
      <c r="T519" t="s">
        <v>3698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>
        <v>1</v>
      </c>
      <c r="AI519">
        <v>1</v>
      </c>
      <c r="AJ519"/>
      <c r="AK519"/>
      <c r="AL519"/>
      <c r="AM519"/>
      <c r="AN519"/>
      <c r="AO519" t="s">
        <v>257</v>
      </c>
      <c r="AP519"/>
      <c r="AQ519"/>
      <c r="AR519"/>
      <c r="AS519"/>
      <c r="AT519"/>
      <c r="AU519">
        <v>2023</v>
      </c>
      <c r="AV519">
        <v>8</v>
      </c>
      <c r="AW519">
        <v>1</v>
      </c>
      <c r="AX519"/>
      <c r="AY519"/>
      <c r="AZ519"/>
      <c r="BA519"/>
      <c r="BB519">
        <v>361</v>
      </c>
      <c r="BC519">
        <v>371</v>
      </c>
      <c r="BD519"/>
      <c r="BE519" t="s">
        <v>3699</v>
      </c>
      <c r="BF519" t="str">
        <f>HYPERLINK("http://dx.doi.org/10.17645/up.v8i1.6178","http://dx.doi.org/10.17645/up.v8i1.6178")</f>
        <v>http://dx.doi.org/10.17645/up.v8i1.6178</v>
      </c>
      <c r="BG519"/>
      <c r="BH519"/>
      <c r="BI519"/>
      <c r="BJ519" t="s">
        <v>243</v>
      </c>
      <c r="BK519"/>
      <c r="BL519"/>
      <c r="BM519"/>
      <c r="BN519"/>
      <c r="BO519"/>
      <c r="BP519"/>
      <c r="BQ519"/>
      <c r="BR519"/>
      <c r="BS519"/>
      <c r="BT519" t="str">
        <f>HYPERLINK("https%3A%2F%2Fwww.webofscience.com%2Fwos%2Fwoscc%2Ffull-record%2F","View Full Record in Web of Science")</f>
        <v>View Full Record in Web of Science</v>
      </c>
    </row>
    <row r="520" spans="1:72" customHeight="1" ht="12.75">
      <c r="A520" t="s">
        <v>72</v>
      </c>
      <c r="B520" t="s">
        <v>3700</v>
      </c>
      <c r="C520"/>
      <c r="D520"/>
      <c r="E520"/>
      <c r="F520" t="s">
        <v>3701</v>
      </c>
      <c r="G520"/>
      <c r="H520"/>
      <c r="I520" t="s">
        <v>3702</v>
      </c>
      <c r="J520" t="s">
        <v>1884</v>
      </c>
      <c r="K520"/>
      <c r="L520"/>
      <c r="M520"/>
      <c r="N520" t="s">
        <v>112</v>
      </c>
      <c r="O520"/>
      <c r="P520"/>
      <c r="Q520"/>
      <c r="R520"/>
      <c r="S520"/>
      <c r="T520" t="s">
        <v>3703</v>
      </c>
      <c r="U520" t="s">
        <v>3704</v>
      </c>
      <c r="V520"/>
      <c r="W520"/>
      <c r="X520"/>
      <c r="Y520"/>
      <c r="Z520"/>
      <c r="AA520"/>
      <c r="AB520"/>
      <c r="AC520"/>
      <c r="AD520"/>
      <c r="AE520"/>
      <c r="AF520"/>
      <c r="AG520"/>
      <c r="AH520">
        <v>2</v>
      </c>
      <c r="AI520">
        <v>2</v>
      </c>
      <c r="AJ520"/>
      <c r="AK520"/>
      <c r="AL520"/>
      <c r="AM520"/>
      <c r="AN520"/>
      <c r="AO520" t="s">
        <v>1887</v>
      </c>
      <c r="AP520" t="s">
        <v>1888</v>
      </c>
      <c r="AQ520"/>
      <c r="AR520"/>
      <c r="AS520"/>
      <c r="AT520" t="s">
        <v>190</v>
      </c>
      <c r="AU520">
        <v>2022</v>
      </c>
      <c r="AV520">
        <v>22</v>
      </c>
      <c r="AW520">
        <v>1</v>
      </c>
      <c r="AX520"/>
      <c r="AY520"/>
      <c r="AZ520"/>
      <c r="BA520"/>
      <c r="BB520"/>
      <c r="BC520"/>
      <c r="BD520">
        <v>9</v>
      </c>
      <c r="BE520" t="s">
        <v>3705</v>
      </c>
      <c r="BF520" t="str">
        <f>HYPERLINK("http://dx.doi.org/10.1007/s10113-021-01845-4","http://dx.doi.org/10.1007/s10113-021-01845-4")</f>
        <v>http://dx.doi.org/10.1007/s10113-021-01845-4</v>
      </c>
      <c r="BG520"/>
      <c r="BH520"/>
      <c r="BI520"/>
      <c r="BJ520" t="s">
        <v>799</v>
      </c>
      <c r="BK520"/>
      <c r="BL520"/>
      <c r="BM520"/>
      <c r="BN520"/>
      <c r="BO520"/>
      <c r="BP520"/>
      <c r="BQ520"/>
      <c r="BR520"/>
      <c r="BS520"/>
      <c r="BT520" t="str">
        <f>HYPERLINK("https%3A%2F%2Fwww.webofscience.com%2Fwos%2Fwoscc%2Ffull-record%2F","View Full Record in Web of Science")</f>
        <v>View Full Record in Web of Science</v>
      </c>
    </row>
    <row r="521" spans="1:72" customHeight="1" ht="12.75">
      <c r="A521" t="s">
        <v>72</v>
      </c>
      <c r="B521" t="s">
        <v>3706</v>
      </c>
      <c r="C521"/>
      <c r="D521"/>
      <c r="E521"/>
      <c r="F521" t="s">
        <v>3707</v>
      </c>
      <c r="G521"/>
      <c r="H521"/>
      <c r="I521" t="s">
        <v>3708</v>
      </c>
      <c r="J521" t="s">
        <v>431</v>
      </c>
      <c r="K521"/>
      <c r="L521"/>
      <c r="M521"/>
      <c r="N521" t="s">
        <v>112</v>
      </c>
      <c r="O521"/>
      <c r="P521"/>
      <c r="Q521"/>
      <c r="R521"/>
      <c r="S521"/>
      <c r="T521" t="s">
        <v>3709</v>
      </c>
      <c r="U521" t="s">
        <v>3710</v>
      </c>
      <c r="V521"/>
      <c r="W521"/>
      <c r="X521"/>
      <c r="Y521"/>
      <c r="Z521"/>
      <c r="AA521"/>
      <c r="AB521"/>
      <c r="AC521"/>
      <c r="AD521"/>
      <c r="AE521"/>
      <c r="AF521"/>
      <c r="AG521"/>
      <c r="AH521">
        <v>49</v>
      </c>
      <c r="AI521">
        <v>52</v>
      </c>
      <c r="AJ521"/>
      <c r="AK521"/>
      <c r="AL521"/>
      <c r="AM521"/>
      <c r="AN521"/>
      <c r="AO521" t="s">
        <v>434</v>
      </c>
      <c r="AP521"/>
      <c r="AQ521"/>
      <c r="AR521"/>
      <c r="AS521"/>
      <c r="AT521" t="s">
        <v>3711</v>
      </c>
      <c r="AU521">
        <v>2008</v>
      </c>
      <c r="AV521">
        <v>28</v>
      </c>
      <c r="AW521" t="s">
        <v>3712</v>
      </c>
      <c r="AX521"/>
      <c r="AY521"/>
      <c r="AZ521"/>
      <c r="BA521"/>
      <c r="BB521">
        <v>144</v>
      </c>
      <c r="BC521">
        <v>165</v>
      </c>
      <c r="BD521"/>
      <c r="BE521" t="s">
        <v>3713</v>
      </c>
      <c r="BF521" t="str">
        <f>HYPERLINK("http://dx.doi.org/10.1016/j.eiar.2007.06.003","http://dx.doi.org/10.1016/j.eiar.2007.06.003")</f>
        <v>http://dx.doi.org/10.1016/j.eiar.2007.06.003</v>
      </c>
      <c r="BG521"/>
      <c r="BH521"/>
      <c r="BI521"/>
      <c r="BJ521" t="s">
        <v>359</v>
      </c>
      <c r="BK521"/>
      <c r="BL521"/>
      <c r="BM521"/>
      <c r="BN521"/>
      <c r="BO521"/>
      <c r="BP521"/>
      <c r="BQ521"/>
      <c r="BR521"/>
      <c r="BS521"/>
      <c r="BT521" t="str">
        <f>HYPERLINK("https%3A%2F%2Fwww.webofscience.com%2Fwos%2Fwoscc%2Ffull-record%2F","View Full Record in Web of Science")</f>
        <v>View Full Record in Web of Science</v>
      </c>
    </row>
    <row r="522" spans="1:72" customHeight="1" ht="12.75">
      <c r="A522" t="s">
        <v>72</v>
      </c>
      <c r="B522" t="s">
        <v>3714</v>
      </c>
      <c r="C522"/>
      <c r="D522"/>
      <c r="E522"/>
      <c r="F522" t="s">
        <v>3715</v>
      </c>
      <c r="G522"/>
      <c r="H522"/>
      <c r="I522" t="s">
        <v>3716</v>
      </c>
      <c r="J522" t="s">
        <v>111</v>
      </c>
      <c r="K522"/>
      <c r="L522"/>
      <c r="M522"/>
      <c r="N522" t="s">
        <v>112</v>
      </c>
      <c r="O522"/>
      <c r="P522"/>
      <c r="Q522"/>
      <c r="R522"/>
      <c r="S522"/>
      <c r="T522" t="s">
        <v>3717</v>
      </c>
      <c r="U522" t="s">
        <v>3718</v>
      </c>
      <c r="V522"/>
      <c r="W522"/>
      <c r="X522"/>
      <c r="Y522"/>
      <c r="Z522"/>
      <c r="AA522"/>
      <c r="AB522"/>
      <c r="AC522"/>
      <c r="AD522"/>
      <c r="AE522"/>
      <c r="AF522"/>
      <c r="AG522"/>
      <c r="AH522">
        <v>14</v>
      </c>
      <c r="AI522">
        <v>14</v>
      </c>
      <c r="AJ522"/>
      <c r="AK522"/>
      <c r="AL522"/>
      <c r="AM522"/>
      <c r="AN522"/>
      <c r="AO522" t="s">
        <v>115</v>
      </c>
      <c r="AP522" t="s">
        <v>116</v>
      </c>
      <c r="AQ522"/>
      <c r="AR522"/>
      <c r="AS522"/>
      <c r="AT522" t="s">
        <v>190</v>
      </c>
      <c r="AU522">
        <v>2022</v>
      </c>
      <c r="AV522">
        <v>178</v>
      </c>
      <c r="AW522"/>
      <c r="AX522"/>
      <c r="AY522"/>
      <c r="AZ522"/>
      <c r="BA522"/>
      <c r="BB522"/>
      <c r="BC522"/>
      <c r="BD522">
        <v>106042</v>
      </c>
      <c r="BE522" t="s">
        <v>3719</v>
      </c>
      <c r="BF522" t="str">
        <f>HYPERLINK("http://dx.doi.org/10.1016/j.resconrec.2021.106042","http://dx.doi.org/10.1016/j.resconrec.2021.106042")</f>
        <v>http://dx.doi.org/10.1016/j.resconrec.2021.106042</v>
      </c>
      <c r="BG522"/>
      <c r="BH522"/>
      <c r="BI522"/>
      <c r="BJ522" t="s">
        <v>119</v>
      </c>
      <c r="BK522"/>
      <c r="BL522"/>
      <c r="BM522"/>
      <c r="BN522"/>
      <c r="BO522"/>
      <c r="BP522"/>
      <c r="BQ522"/>
      <c r="BR522"/>
      <c r="BS522"/>
      <c r="BT522" t="str">
        <f>HYPERLINK("https%3A%2F%2Fwww.webofscience.com%2Fwos%2Fwoscc%2Ffull-record%2F","View Full Record in Web of Science")</f>
        <v>View Full Record in Web of Science</v>
      </c>
    </row>
    <row r="523" spans="1:72" customHeight="1" ht="12.75">
      <c r="A523" t="s">
        <v>72</v>
      </c>
      <c r="B523" t="s">
        <v>3720</v>
      </c>
      <c r="C523"/>
      <c r="D523"/>
      <c r="E523"/>
      <c r="F523" t="s">
        <v>3721</v>
      </c>
      <c r="G523"/>
      <c r="H523"/>
      <c r="I523" t="s">
        <v>3722</v>
      </c>
      <c r="J523" t="s">
        <v>1991</v>
      </c>
      <c r="K523"/>
      <c r="L523"/>
      <c r="M523"/>
      <c r="N523" t="s">
        <v>167</v>
      </c>
      <c r="O523"/>
      <c r="P523"/>
      <c r="Q523"/>
      <c r="R523"/>
      <c r="S523"/>
      <c r="T523" t="s">
        <v>3723</v>
      </c>
      <c r="U523" t="s">
        <v>3724</v>
      </c>
      <c r="V523"/>
      <c r="W523"/>
      <c r="X523"/>
      <c r="Y523"/>
      <c r="Z523"/>
      <c r="AA523"/>
      <c r="AB523"/>
      <c r="AC523"/>
      <c r="AD523"/>
      <c r="AE523"/>
      <c r="AF523"/>
      <c r="AG523"/>
      <c r="AH523">
        <v>9</v>
      </c>
      <c r="AI523">
        <v>9</v>
      </c>
      <c r="AJ523"/>
      <c r="AK523"/>
      <c r="AL523"/>
      <c r="AM523"/>
      <c r="AN523"/>
      <c r="AO523" t="s">
        <v>1994</v>
      </c>
      <c r="AP523" t="s">
        <v>1995</v>
      </c>
      <c r="AQ523"/>
      <c r="AR523"/>
      <c r="AS523"/>
      <c r="AT523" t="s">
        <v>385</v>
      </c>
      <c r="AU523">
        <v>2019</v>
      </c>
      <c r="AV523">
        <v>24</v>
      </c>
      <c r="AW523">
        <v>7</v>
      </c>
      <c r="AX523"/>
      <c r="AY523"/>
      <c r="AZ523" t="s">
        <v>222</v>
      </c>
      <c r="BA523"/>
      <c r="BB523">
        <v>1169</v>
      </c>
      <c r="BC523">
        <v>1173</v>
      </c>
      <c r="BD523"/>
      <c r="BE523" t="s">
        <v>3725</v>
      </c>
      <c r="BF523" t="str">
        <f>HYPERLINK("http://dx.doi.org/10.1007/s11367-019-01586-x","http://dx.doi.org/10.1007/s11367-019-01586-x")</f>
        <v>http://dx.doi.org/10.1007/s11367-019-01586-x</v>
      </c>
      <c r="BG523"/>
      <c r="BH523"/>
      <c r="BI523"/>
      <c r="BJ523" t="s">
        <v>119</v>
      </c>
      <c r="BK523"/>
      <c r="BL523"/>
      <c r="BM523"/>
      <c r="BN523"/>
      <c r="BO523"/>
      <c r="BP523"/>
      <c r="BQ523"/>
      <c r="BR523"/>
      <c r="BS523"/>
      <c r="BT523" t="str">
        <f>HYPERLINK("https%3A%2F%2Fwww.webofscience.com%2Fwos%2Fwoscc%2Ffull-record%2F","View Full Record in Web of Science")</f>
        <v>View Full Record in Web of Science</v>
      </c>
    </row>
    <row r="524" spans="1:72" customHeight="1" ht="12.75">
      <c r="A524" t="s">
        <v>72</v>
      </c>
      <c r="B524" t="s">
        <v>3726</v>
      </c>
      <c r="C524"/>
      <c r="D524"/>
      <c r="E524"/>
      <c r="F524" t="s">
        <v>3727</v>
      </c>
      <c r="G524"/>
      <c r="H524"/>
      <c r="I524" t="s">
        <v>3728</v>
      </c>
      <c r="J524" t="s">
        <v>2632</v>
      </c>
      <c r="K524"/>
      <c r="L524"/>
      <c r="M524"/>
      <c r="N524" t="s">
        <v>112</v>
      </c>
      <c r="O524"/>
      <c r="P524"/>
      <c r="Q524"/>
      <c r="R524"/>
      <c r="S524"/>
      <c r="T524" t="s">
        <v>3729</v>
      </c>
      <c r="U524" t="s">
        <v>3730</v>
      </c>
      <c r="V524"/>
      <c r="W524"/>
      <c r="X524"/>
      <c r="Y524"/>
      <c r="Z524"/>
      <c r="AA524"/>
      <c r="AB524"/>
      <c r="AC524"/>
      <c r="AD524"/>
      <c r="AE524"/>
      <c r="AF524"/>
      <c r="AG524"/>
      <c r="AH524">
        <v>47</v>
      </c>
      <c r="AI524">
        <v>50</v>
      </c>
      <c r="AJ524"/>
      <c r="AK524"/>
      <c r="AL524"/>
      <c r="AM524"/>
      <c r="AN524"/>
      <c r="AO524" t="s">
        <v>2635</v>
      </c>
      <c r="AP524" t="s">
        <v>2636</v>
      </c>
      <c r="AQ524"/>
      <c r="AR524"/>
      <c r="AS524"/>
      <c r="AT524" t="s">
        <v>352</v>
      </c>
      <c r="AU524">
        <v>2016</v>
      </c>
      <c r="AV524">
        <v>96</v>
      </c>
      <c r="AW524"/>
      <c r="AX524"/>
      <c r="AY524"/>
      <c r="AZ524"/>
      <c r="BA524"/>
      <c r="BB524">
        <v>179</v>
      </c>
      <c r="BC524">
        <v>192</v>
      </c>
      <c r="BD524"/>
      <c r="BE524" t="s">
        <v>3731</v>
      </c>
      <c r="BF524" t="str">
        <f>HYPERLINK("http://dx.doi.org/10.1016/j.enpol.2016.06.002","http://dx.doi.org/10.1016/j.enpol.2016.06.002")</f>
        <v>http://dx.doi.org/10.1016/j.enpol.2016.06.002</v>
      </c>
      <c r="BG524"/>
      <c r="BH524"/>
      <c r="BI524"/>
      <c r="BJ524" t="s">
        <v>2638</v>
      </c>
      <c r="BK524"/>
      <c r="BL524"/>
      <c r="BM524"/>
      <c r="BN524"/>
      <c r="BO524"/>
      <c r="BP524"/>
      <c r="BQ524"/>
      <c r="BR524"/>
      <c r="BS524"/>
      <c r="BT524" t="str">
        <f>HYPERLINK("https%3A%2F%2Fwww.webofscience.com%2Fwos%2Fwoscc%2Ffull-record%2F","View Full Record in Web of Science")</f>
        <v>View Full Record in Web of Science</v>
      </c>
    </row>
    <row r="525" spans="1:72" customHeight="1" ht="12.75">
      <c r="A525" t="s">
        <v>72</v>
      </c>
      <c r="B525" t="s">
        <v>3732</v>
      </c>
      <c r="C525"/>
      <c r="D525"/>
      <c r="E525"/>
      <c r="F525" t="s">
        <v>3733</v>
      </c>
      <c r="G525"/>
      <c r="H525"/>
      <c r="I525" t="s">
        <v>3734</v>
      </c>
      <c r="J525" t="s">
        <v>457</v>
      </c>
      <c r="K525"/>
      <c r="L525"/>
      <c r="M525"/>
      <c r="N525" t="s">
        <v>112</v>
      </c>
      <c r="O525"/>
      <c r="P525"/>
      <c r="Q525"/>
      <c r="R525"/>
      <c r="S525"/>
      <c r="T525" t="s">
        <v>3735</v>
      </c>
      <c r="U525" t="s">
        <v>3736</v>
      </c>
      <c r="V525"/>
      <c r="W525"/>
      <c r="X525"/>
      <c r="Y525"/>
      <c r="Z525"/>
      <c r="AA525"/>
      <c r="AB525"/>
      <c r="AC525"/>
      <c r="AD525"/>
      <c r="AE525"/>
      <c r="AF525"/>
      <c r="AG525"/>
      <c r="AH525">
        <v>14</v>
      </c>
      <c r="AI525">
        <v>14</v>
      </c>
      <c r="AJ525"/>
      <c r="AK525"/>
      <c r="AL525"/>
      <c r="AM525"/>
      <c r="AN525"/>
      <c r="AO525"/>
      <c r="AP525" t="s">
        <v>458</v>
      </c>
      <c r="AQ525"/>
      <c r="AR525"/>
      <c r="AS525"/>
      <c r="AT525" t="s">
        <v>128</v>
      </c>
      <c r="AU525">
        <v>2014</v>
      </c>
      <c r="AV525">
        <v>6</v>
      </c>
      <c r="AW525">
        <v>12</v>
      </c>
      <c r="AX525"/>
      <c r="AY525"/>
      <c r="AZ525"/>
      <c r="BA525"/>
      <c r="BB525">
        <v>8618</v>
      </c>
      <c r="BC525">
        <v>8638</v>
      </c>
      <c r="BD525"/>
      <c r="BE525" t="s">
        <v>3737</v>
      </c>
      <c r="BF525" t="str">
        <f>HYPERLINK("http://dx.doi.org/10.3390/su6128618","http://dx.doi.org/10.3390/su6128618")</f>
        <v>http://dx.doi.org/10.3390/su6128618</v>
      </c>
      <c r="BG525"/>
      <c r="BH525"/>
      <c r="BI525"/>
      <c r="BJ525" t="s">
        <v>460</v>
      </c>
      <c r="BK525"/>
      <c r="BL525"/>
      <c r="BM525"/>
      <c r="BN525"/>
      <c r="BO525"/>
      <c r="BP525"/>
      <c r="BQ525"/>
      <c r="BR525"/>
      <c r="BS525"/>
      <c r="BT525" t="str">
        <f>HYPERLINK("https%3A%2F%2Fwww.webofscience.com%2Fwos%2Fwoscc%2Ffull-record%2F","View Full Record in Web of Science")</f>
        <v>View Full Record in Web of Science</v>
      </c>
    </row>
    <row r="526" spans="1:72" customHeight="1" ht="12.75">
      <c r="A526" t="s">
        <v>72</v>
      </c>
      <c r="B526" t="s">
        <v>3738</v>
      </c>
      <c r="C526"/>
      <c r="D526"/>
      <c r="E526"/>
      <c r="F526" t="s">
        <v>3739</v>
      </c>
      <c r="G526"/>
      <c r="H526"/>
      <c r="I526" t="s">
        <v>3740</v>
      </c>
      <c r="J526" t="s">
        <v>133</v>
      </c>
      <c r="K526"/>
      <c r="L526"/>
      <c r="M526"/>
      <c r="N526" t="s">
        <v>859</v>
      </c>
      <c r="O526"/>
      <c r="P526"/>
      <c r="Q526"/>
      <c r="R526"/>
      <c r="S526"/>
      <c r="T526" t="s">
        <v>3741</v>
      </c>
      <c r="U526" t="s">
        <v>3742</v>
      </c>
      <c r="V526"/>
      <c r="W526"/>
      <c r="X526"/>
      <c r="Y526"/>
      <c r="Z526"/>
      <c r="AA526"/>
      <c r="AB526"/>
      <c r="AC526"/>
      <c r="AD526"/>
      <c r="AE526"/>
      <c r="AF526"/>
      <c r="AG526"/>
      <c r="AH526">
        <v>19</v>
      </c>
      <c r="AI526">
        <v>21</v>
      </c>
      <c r="AJ526"/>
      <c r="AK526"/>
      <c r="AL526"/>
      <c r="AM526"/>
      <c r="AN526"/>
      <c r="AO526" t="s">
        <v>136</v>
      </c>
      <c r="AP526" t="s">
        <v>137</v>
      </c>
      <c r="AQ526"/>
      <c r="AR526"/>
      <c r="AS526"/>
      <c r="AT526" t="s">
        <v>198</v>
      </c>
      <c r="AU526">
        <v>2015</v>
      </c>
      <c r="AV526">
        <v>19</v>
      </c>
      <c r="AW526">
        <v>5</v>
      </c>
      <c r="AX526"/>
      <c r="AY526"/>
      <c r="AZ526" t="s">
        <v>222</v>
      </c>
      <c r="BA526"/>
      <c r="BB526">
        <v>715</v>
      </c>
      <c r="BC526">
        <v>727</v>
      </c>
      <c r="BD526"/>
      <c r="BE526" t="s">
        <v>3743</v>
      </c>
      <c r="BF526" t="str">
        <f>HYPERLINK("http://dx.doi.org/10.1111/jiec.12349","http://dx.doi.org/10.1111/jiec.12349")</f>
        <v>http://dx.doi.org/10.1111/jiec.12349</v>
      </c>
      <c r="BG526"/>
      <c r="BH526"/>
      <c r="BI526"/>
      <c r="BJ526" t="s">
        <v>139</v>
      </c>
      <c r="BK526"/>
      <c r="BL526"/>
      <c r="BM526"/>
      <c r="BN526"/>
      <c r="BO526"/>
      <c r="BP526"/>
      <c r="BQ526"/>
      <c r="BR526"/>
      <c r="BS526"/>
      <c r="BT526" t="str">
        <f>HYPERLINK("https%3A%2F%2Fwww.webofscience.com%2Fwos%2Fwoscc%2Ffull-record%2F","View Full Record in Web of Science")</f>
        <v>View Full Record in Web of Science</v>
      </c>
    </row>
    <row r="527" spans="1:72" customHeight="1" ht="12.75">
      <c r="A527" t="s">
        <v>72</v>
      </c>
      <c r="B527" t="s">
        <v>3744</v>
      </c>
      <c r="C527"/>
      <c r="D527"/>
      <c r="E527"/>
      <c r="F527" t="s">
        <v>3744</v>
      </c>
      <c r="G527"/>
      <c r="H527"/>
      <c r="I527" t="s">
        <v>3745</v>
      </c>
      <c r="J527" t="s">
        <v>98</v>
      </c>
      <c r="K527"/>
      <c r="L527"/>
      <c r="M527"/>
      <c r="N527" t="s">
        <v>112</v>
      </c>
      <c r="O527"/>
      <c r="P527"/>
      <c r="Q527"/>
      <c r="R527"/>
      <c r="S527"/>
      <c r="T527" t="s">
        <v>3746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>
        <v>322</v>
      </c>
      <c r="AI527">
        <v>379</v>
      </c>
      <c r="AJ527"/>
      <c r="AK527"/>
      <c r="AL527"/>
      <c r="AM527"/>
      <c r="AN527"/>
      <c r="AO527" t="s">
        <v>102</v>
      </c>
      <c r="AP527"/>
      <c r="AQ527"/>
      <c r="AR527"/>
      <c r="AS527"/>
      <c r="AT527" t="s">
        <v>3747</v>
      </c>
      <c r="AU527">
        <v>2000</v>
      </c>
      <c r="AV527">
        <v>52</v>
      </c>
      <c r="AW527">
        <v>1</v>
      </c>
      <c r="AX527"/>
      <c r="AY527"/>
      <c r="AZ527"/>
      <c r="BA527"/>
      <c r="BB527">
        <v>1</v>
      </c>
      <c r="BC527">
        <v>20</v>
      </c>
      <c r="BD527"/>
      <c r="BE527" t="s">
        <v>3748</v>
      </c>
      <c r="BF527" t="str">
        <f>HYPERLINK("http://dx.doi.org/10.1016/S0169-2046(00)00109-2","http://dx.doi.org/10.1016/S0169-2046(00)00109-2")</f>
        <v>http://dx.doi.org/10.1016/S0169-2046(00)00109-2</v>
      </c>
      <c r="BG527"/>
      <c r="BH527"/>
      <c r="BI527"/>
      <c r="BJ527" t="s">
        <v>107</v>
      </c>
      <c r="BK527"/>
      <c r="BL527"/>
      <c r="BM527"/>
      <c r="BN527"/>
      <c r="BO527"/>
      <c r="BP527"/>
      <c r="BQ527"/>
      <c r="BR527"/>
      <c r="BS527"/>
      <c r="BT527" t="str">
        <f>HYPERLINK("https%3A%2F%2Fwww.webofscience.com%2Fwos%2Fwoscc%2Ffull-record%2F","View Full Record in Web of Science")</f>
        <v>View Full Record in Web of Science</v>
      </c>
    </row>
    <row r="528" spans="1:72" customHeight="1" ht="12.75">
      <c r="A528" t="s">
        <v>72</v>
      </c>
      <c r="B528" t="s">
        <v>3749</v>
      </c>
      <c r="C528"/>
      <c r="D528"/>
      <c r="E528"/>
      <c r="F528" t="s">
        <v>3750</v>
      </c>
      <c r="G528"/>
      <c r="H528"/>
      <c r="I528" t="s">
        <v>3751</v>
      </c>
      <c r="J528" t="s">
        <v>1003</v>
      </c>
      <c r="K528"/>
      <c r="L528"/>
      <c r="M528"/>
      <c r="N528" t="s">
        <v>325</v>
      </c>
      <c r="O528"/>
      <c r="P528"/>
      <c r="Q528"/>
      <c r="R528"/>
      <c r="S528"/>
      <c r="T528" t="s">
        <v>3752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>
        <v>1</v>
      </c>
      <c r="AI528">
        <v>1</v>
      </c>
      <c r="AJ528"/>
      <c r="AK528"/>
      <c r="AL528"/>
      <c r="AM528"/>
      <c r="AN528"/>
      <c r="AO528" t="s">
        <v>1005</v>
      </c>
      <c r="AP528" t="s">
        <v>1006</v>
      </c>
      <c r="AQ528"/>
      <c r="AR528"/>
      <c r="AS528"/>
      <c r="AT528" t="s">
        <v>3753</v>
      </c>
      <c r="AU528">
        <v>2021</v>
      </c>
      <c r="AV528">
        <v>13</v>
      </c>
      <c r="AW528">
        <v>2</v>
      </c>
      <c r="AX528"/>
      <c r="AY528"/>
      <c r="AZ528"/>
      <c r="BA528"/>
      <c r="BB528">
        <v>317</v>
      </c>
      <c r="BC528">
        <v>333</v>
      </c>
      <c r="BD528"/>
      <c r="BE528" t="s">
        <v>3754</v>
      </c>
      <c r="BF528" t="str">
        <f>HYPERLINK("http://dx.doi.org/10.1080/19463138.2021.1898967","http://dx.doi.org/10.1080/19463138.2021.1898967")</f>
        <v>http://dx.doi.org/10.1080/19463138.2021.1898967</v>
      </c>
      <c r="BG528"/>
      <c r="BH528" t="s">
        <v>2562</v>
      </c>
      <c r="BI528"/>
      <c r="BJ528" t="s">
        <v>359</v>
      </c>
      <c r="BK528"/>
      <c r="BL528"/>
      <c r="BM528"/>
      <c r="BN528"/>
      <c r="BO528"/>
      <c r="BP528"/>
      <c r="BQ528"/>
      <c r="BR528"/>
      <c r="BS528"/>
      <c r="BT528" t="str">
        <f>HYPERLINK("https%3A%2F%2Fwww.webofscience.com%2Fwos%2Fwoscc%2Ffull-record%2F","View Full Record in Web of Science")</f>
        <v>View Full Record in Web of Science</v>
      </c>
    </row>
    <row r="529" spans="1:72" customHeight="1" ht="12.75">
      <c r="A529" t="s">
        <v>72</v>
      </c>
      <c r="B529" t="s">
        <v>3755</v>
      </c>
      <c r="C529"/>
      <c r="D529"/>
      <c r="E529"/>
      <c r="F529" t="s">
        <v>3756</v>
      </c>
      <c r="G529"/>
      <c r="H529"/>
      <c r="I529" t="s">
        <v>3757</v>
      </c>
      <c r="J529" t="s">
        <v>3758</v>
      </c>
      <c r="K529"/>
      <c r="L529"/>
      <c r="M529"/>
      <c r="N529" t="s">
        <v>112</v>
      </c>
      <c r="O529"/>
      <c r="P529"/>
      <c r="Q529"/>
      <c r="R529"/>
      <c r="S529"/>
      <c r="T529" t="s">
        <v>3759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>
        <v>0.0</v>
      </c>
      <c r="AI529">
        <v>0.0</v>
      </c>
      <c r="AJ529"/>
      <c r="AK529"/>
      <c r="AL529"/>
      <c r="AM529"/>
      <c r="AN529"/>
      <c r="AO529" t="s">
        <v>3760</v>
      </c>
      <c r="AP529" t="s">
        <v>3761</v>
      </c>
      <c r="AQ529"/>
      <c r="AR529"/>
      <c r="AS529"/>
      <c r="AT529"/>
      <c r="AU529">
        <v>2020</v>
      </c>
      <c r="AV529"/>
      <c r="AW529">
        <v>10</v>
      </c>
      <c r="AX529"/>
      <c r="AY529"/>
      <c r="AZ529"/>
      <c r="BA529"/>
      <c r="BB529">
        <v>80</v>
      </c>
      <c r="BC529">
        <v>91</v>
      </c>
      <c r="BD529"/>
      <c r="BE529"/>
      <c r="BF529"/>
      <c r="BG529"/>
      <c r="BH529"/>
      <c r="BI529"/>
      <c r="BJ529" t="s">
        <v>233</v>
      </c>
      <c r="BK529"/>
      <c r="BL529"/>
      <c r="BM529"/>
      <c r="BN529"/>
      <c r="BO529"/>
      <c r="BP529"/>
      <c r="BQ529"/>
      <c r="BR529"/>
      <c r="BS529"/>
      <c r="BT529" t="str">
        <f>HYPERLINK("https%3A%2F%2Fwww.webofscience.com%2Fwos%2Fwoscc%2Ffull-record%2F","View Full Record in Web of Science")</f>
        <v>View Full Record in Web of Science</v>
      </c>
    </row>
    <row r="530" spans="1:72" customHeight="1" ht="12.75">
      <c r="A530" t="s">
        <v>72</v>
      </c>
      <c r="B530" t="s">
        <v>3762</v>
      </c>
      <c r="C530"/>
      <c r="D530"/>
      <c r="E530"/>
      <c r="F530" t="s">
        <v>3763</v>
      </c>
      <c r="G530"/>
      <c r="H530"/>
      <c r="I530" t="s">
        <v>3764</v>
      </c>
      <c r="J530" t="s">
        <v>697</v>
      </c>
      <c r="K530"/>
      <c r="L530"/>
      <c r="M530"/>
      <c r="N530" t="s">
        <v>325</v>
      </c>
      <c r="O530"/>
      <c r="P530"/>
      <c r="Q530"/>
      <c r="R530"/>
      <c r="S530"/>
      <c r="T530" t="s">
        <v>3765</v>
      </c>
      <c r="U530" t="s">
        <v>3766</v>
      </c>
      <c r="V530"/>
      <c r="W530"/>
      <c r="X530"/>
      <c r="Y530"/>
      <c r="Z530"/>
      <c r="AA530"/>
      <c r="AB530"/>
      <c r="AC530"/>
      <c r="AD530"/>
      <c r="AE530"/>
      <c r="AF530"/>
      <c r="AG530"/>
      <c r="AH530">
        <v>2</v>
      </c>
      <c r="AI530">
        <v>2</v>
      </c>
      <c r="AJ530"/>
      <c r="AK530"/>
      <c r="AL530"/>
      <c r="AM530"/>
      <c r="AN530"/>
      <c r="AO530" t="s">
        <v>699</v>
      </c>
      <c r="AP530" t="s">
        <v>700</v>
      </c>
      <c r="AQ530"/>
      <c r="AR530"/>
      <c r="AS530"/>
      <c r="AT530" t="s">
        <v>3649</v>
      </c>
      <c r="AU530">
        <v>2023</v>
      </c>
      <c r="AV530">
        <v>95</v>
      </c>
      <c r="AW530"/>
      <c r="AX530"/>
      <c r="AY530"/>
      <c r="AZ530"/>
      <c r="BA530"/>
      <c r="BB530"/>
      <c r="BC530"/>
      <c r="BD530">
        <v>104605</v>
      </c>
      <c r="BE530" t="s">
        <v>3767</v>
      </c>
      <c r="BF530" t="str">
        <f>HYPERLINK("http://dx.doi.org/10.1016/j.scs.2023.104605","http://dx.doi.org/10.1016/j.scs.2023.104605")</f>
        <v>http://dx.doi.org/10.1016/j.scs.2023.104605</v>
      </c>
      <c r="BG530"/>
      <c r="BH530" t="s">
        <v>3768</v>
      </c>
      <c r="BI530"/>
      <c r="BJ530" t="s">
        <v>702</v>
      </c>
      <c r="BK530"/>
      <c r="BL530"/>
      <c r="BM530"/>
      <c r="BN530"/>
      <c r="BO530"/>
      <c r="BP530"/>
      <c r="BQ530"/>
      <c r="BR530"/>
      <c r="BS530"/>
      <c r="BT530" t="str">
        <f>HYPERLINK("https%3A%2F%2Fwww.webofscience.com%2Fwos%2Fwoscc%2Ffull-record%2F","View Full Record in Web of Science")</f>
        <v>View Full Record in Web of Science</v>
      </c>
    </row>
    <row r="531" spans="1:72" customHeight="1" ht="12.75">
      <c r="A531" t="s">
        <v>72</v>
      </c>
      <c r="B531" t="s">
        <v>3769</v>
      </c>
      <c r="C531"/>
      <c r="D531"/>
      <c r="E531"/>
      <c r="F531" t="s">
        <v>3770</v>
      </c>
      <c r="G531"/>
      <c r="H531"/>
      <c r="I531" t="s">
        <v>3771</v>
      </c>
      <c r="J531" t="s">
        <v>457</v>
      </c>
      <c r="K531"/>
      <c r="L531"/>
      <c r="M531"/>
      <c r="N531" t="s">
        <v>112</v>
      </c>
      <c r="O531"/>
      <c r="P531"/>
      <c r="Q531"/>
      <c r="R531"/>
      <c r="S531"/>
      <c r="T531" t="s">
        <v>3772</v>
      </c>
      <c r="U531" t="s">
        <v>3773</v>
      </c>
      <c r="V531"/>
      <c r="W531"/>
      <c r="X531"/>
      <c r="Y531"/>
      <c r="Z531"/>
      <c r="AA531"/>
      <c r="AB531"/>
      <c r="AC531"/>
      <c r="AD531"/>
      <c r="AE531"/>
      <c r="AF531"/>
      <c r="AG531"/>
      <c r="AH531">
        <v>20</v>
      </c>
      <c r="AI531">
        <v>21</v>
      </c>
      <c r="AJ531"/>
      <c r="AK531"/>
      <c r="AL531"/>
      <c r="AM531"/>
      <c r="AN531"/>
      <c r="AO531"/>
      <c r="AP531" t="s">
        <v>458</v>
      </c>
      <c r="AQ531"/>
      <c r="AR531"/>
      <c r="AS531"/>
      <c r="AT531" t="s">
        <v>2501</v>
      </c>
      <c r="AU531">
        <v>2020</v>
      </c>
      <c r="AV531">
        <v>12</v>
      </c>
      <c r="AW531">
        <v>5</v>
      </c>
      <c r="AX531"/>
      <c r="AY531"/>
      <c r="AZ531"/>
      <c r="BA531"/>
      <c r="BB531"/>
      <c r="BC531"/>
      <c r="BD531">
        <v>1889</v>
      </c>
      <c r="BE531" t="s">
        <v>3774</v>
      </c>
      <c r="BF531" t="str">
        <f>HYPERLINK("http://dx.doi.org/10.3390/su12051889","http://dx.doi.org/10.3390/su12051889")</f>
        <v>http://dx.doi.org/10.3390/su12051889</v>
      </c>
      <c r="BG531"/>
      <c r="BH531"/>
      <c r="BI531"/>
      <c r="BJ531" t="s">
        <v>460</v>
      </c>
      <c r="BK531"/>
      <c r="BL531"/>
      <c r="BM531"/>
      <c r="BN531"/>
      <c r="BO531"/>
      <c r="BP531"/>
      <c r="BQ531"/>
      <c r="BR531"/>
      <c r="BS531"/>
      <c r="BT531" t="str">
        <f>HYPERLINK("https%3A%2F%2Fwww.webofscience.com%2Fwos%2Fwoscc%2Ffull-record%2F","View Full Record in Web of Science")</f>
        <v>View Full Record in Web of Science</v>
      </c>
    </row>
    <row r="532" spans="1:72" customHeight="1" ht="12.75">
      <c r="A532" t="s">
        <v>72</v>
      </c>
      <c r="B532" t="s">
        <v>3775</v>
      </c>
      <c r="C532"/>
      <c r="D532"/>
      <c r="E532"/>
      <c r="F532" t="s">
        <v>3776</v>
      </c>
      <c r="G532"/>
      <c r="H532"/>
      <c r="I532" t="s">
        <v>3777</v>
      </c>
      <c r="J532" t="s">
        <v>1425</v>
      </c>
      <c r="K532"/>
      <c r="L532"/>
      <c r="M532"/>
      <c r="N532" t="s">
        <v>325</v>
      </c>
      <c r="O532"/>
      <c r="P532"/>
      <c r="Q532"/>
      <c r="R532"/>
      <c r="S532"/>
      <c r="T532" t="s">
        <v>3778</v>
      </c>
      <c r="U532" t="s">
        <v>3779</v>
      </c>
      <c r="V532"/>
      <c r="W532"/>
      <c r="X532"/>
      <c r="Y532"/>
      <c r="Z532"/>
      <c r="AA532"/>
      <c r="AB532"/>
      <c r="AC532"/>
      <c r="AD532"/>
      <c r="AE532"/>
      <c r="AF532"/>
      <c r="AG532"/>
      <c r="AH532">
        <v>9</v>
      </c>
      <c r="AI532">
        <v>9</v>
      </c>
      <c r="AJ532"/>
      <c r="AK532"/>
      <c r="AL532"/>
      <c r="AM532"/>
      <c r="AN532"/>
      <c r="AO532" t="s">
        <v>1428</v>
      </c>
      <c r="AP532" t="s">
        <v>1429</v>
      </c>
      <c r="AQ532"/>
      <c r="AR532"/>
      <c r="AS532"/>
      <c r="AT532" t="s">
        <v>3780</v>
      </c>
      <c r="AU532">
        <v>2022</v>
      </c>
      <c r="AV532">
        <v>112</v>
      </c>
      <c r="AW532">
        <v>8</v>
      </c>
      <c r="AX532"/>
      <c r="AY532"/>
      <c r="AZ532"/>
      <c r="BA532"/>
      <c r="BB532">
        <v>2230</v>
      </c>
      <c r="BC532">
        <v>2247</v>
      </c>
      <c r="BD532"/>
      <c r="BE532" t="s">
        <v>3781</v>
      </c>
      <c r="BF532" t="str">
        <f>HYPERLINK("http://dx.doi.org/10.1080/24694452.2022.2062290","http://dx.doi.org/10.1080/24694452.2022.2062290")</f>
        <v>http://dx.doi.org/10.1080/24694452.2022.2062290</v>
      </c>
      <c r="BG532"/>
      <c r="BH532" t="s">
        <v>869</v>
      </c>
      <c r="BI532"/>
      <c r="BJ532" t="s">
        <v>83</v>
      </c>
      <c r="BK532"/>
      <c r="BL532"/>
      <c r="BM532"/>
      <c r="BN532"/>
      <c r="BO532"/>
      <c r="BP532"/>
      <c r="BQ532"/>
      <c r="BR532"/>
      <c r="BS532"/>
      <c r="BT532" t="str">
        <f>HYPERLINK("https%3A%2F%2Fwww.webofscience.com%2Fwos%2Fwoscc%2Ffull-record%2F","View Full Record in Web of Science")</f>
        <v>View Full Record in Web of Science</v>
      </c>
    </row>
    <row r="533" spans="1:72" customHeight="1" ht="12.75">
      <c r="A533" t="s">
        <v>72</v>
      </c>
      <c r="B533" t="s">
        <v>3782</v>
      </c>
      <c r="C533"/>
      <c r="D533"/>
      <c r="E533"/>
      <c r="F533" t="s">
        <v>3783</v>
      </c>
      <c r="G533"/>
      <c r="H533"/>
      <c r="I533" t="s">
        <v>3784</v>
      </c>
      <c r="J533" t="s">
        <v>3785</v>
      </c>
      <c r="K533"/>
      <c r="L533"/>
      <c r="M533"/>
      <c r="N533" t="s">
        <v>77</v>
      </c>
      <c r="O533"/>
      <c r="P533"/>
      <c r="Q533"/>
      <c r="R533"/>
      <c r="S533"/>
      <c r="T533" t="s">
        <v>3786</v>
      </c>
      <c r="U533" t="s">
        <v>3787</v>
      </c>
      <c r="V533"/>
      <c r="W533"/>
      <c r="X533"/>
      <c r="Y533"/>
      <c r="Z533"/>
      <c r="AA533"/>
      <c r="AB533"/>
      <c r="AC533"/>
      <c r="AD533"/>
      <c r="AE533"/>
      <c r="AF533"/>
      <c r="AG533"/>
      <c r="AH533">
        <v>25</v>
      </c>
      <c r="AI533">
        <v>26</v>
      </c>
      <c r="AJ533"/>
      <c r="AK533"/>
      <c r="AL533"/>
      <c r="AM533"/>
      <c r="AN533"/>
      <c r="AO533"/>
      <c r="AP533" t="s">
        <v>3788</v>
      </c>
      <c r="AQ533"/>
      <c r="AR533"/>
      <c r="AS533"/>
      <c r="AT533" t="s">
        <v>198</v>
      </c>
      <c r="AU533">
        <v>2020</v>
      </c>
      <c r="AV533">
        <v>2</v>
      </c>
      <c r="AW533">
        <v>10</v>
      </c>
      <c r="AX533"/>
      <c r="AY533"/>
      <c r="AZ533"/>
      <c r="BA533"/>
      <c r="BB533"/>
      <c r="BC533"/>
      <c r="BD533">
        <v>2000043</v>
      </c>
      <c r="BE533" t="s">
        <v>3789</v>
      </c>
      <c r="BF533" t="str">
        <f>HYPERLINK("http://dx.doi.org/10.1002/aisy.202000043","http://dx.doi.org/10.1002/aisy.202000043")</f>
        <v>http://dx.doi.org/10.1002/aisy.202000043</v>
      </c>
      <c r="BG533"/>
      <c r="BH533"/>
      <c r="BI533"/>
      <c r="BJ533" t="s">
        <v>3790</v>
      </c>
      <c r="BK533"/>
      <c r="BL533"/>
      <c r="BM533"/>
      <c r="BN533"/>
      <c r="BO533"/>
      <c r="BP533"/>
      <c r="BQ533"/>
      <c r="BR533"/>
      <c r="BS533"/>
      <c r="BT533" t="str">
        <f>HYPERLINK("https%3A%2F%2Fwww.webofscience.com%2Fwos%2Fwoscc%2Ffull-record%2F","View Full Record in Web of Science")</f>
        <v>View Full Record in Web of Science</v>
      </c>
    </row>
    <row r="534" spans="1:72" customHeight="1" ht="12.75">
      <c r="A534" t="s">
        <v>72</v>
      </c>
      <c r="B534" t="s">
        <v>3791</v>
      </c>
      <c r="C534"/>
      <c r="D534"/>
      <c r="E534"/>
      <c r="F534" t="s">
        <v>3792</v>
      </c>
      <c r="G534"/>
      <c r="H534"/>
      <c r="I534" t="s">
        <v>3793</v>
      </c>
      <c r="J534" t="s">
        <v>619</v>
      </c>
      <c r="K534"/>
      <c r="L534"/>
      <c r="M534"/>
      <c r="N534" t="s">
        <v>77</v>
      </c>
      <c r="O534"/>
      <c r="P534"/>
      <c r="Q534"/>
      <c r="R534"/>
      <c r="S534"/>
      <c r="T534" t="s">
        <v>3794</v>
      </c>
      <c r="U534" t="s">
        <v>3795</v>
      </c>
      <c r="V534"/>
      <c r="W534"/>
      <c r="X534"/>
      <c r="Y534"/>
      <c r="Z534"/>
      <c r="AA534"/>
      <c r="AB534"/>
      <c r="AC534"/>
      <c r="AD534"/>
      <c r="AE534"/>
      <c r="AF534"/>
      <c r="AG534"/>
      <c r="AH534">
        <v>93</v>
      </c>
      <c r="AI534">
        <v>97</v>
      </c>
      <c r="AJ534"/>
      <c r="AK534"/>
      <c r="AL534"/>
      <c r="AM534"/>
      <c r="AN534"/>
      <c r="AO534" t="s">
        <v>622</v>
      </c>
      <c r="AP534" t="s">
        <v>623</v>
      </c>
      <c r="AQ534"/>
      <c r="AR534"/>
      <c r="AS534"/>
      <c r="AT534" t="s">
        <v>624</v>
      </c>
      <c r="AU534">
        <v>2019</v>
      </c>
      <c r="AV534">
        <v>171</v>
      </c>
      <c r="AW534"/>
      <c r="AX534"/>
      <c r="AY534"/>
      <c r="AZ534"/>
      <c r="BA534"/>
      <c r="BB534">
        <v>1017</v>
      </c>
      <c r="BC534">
        <v>1032</v>
      </c>
      <c r="BD534"/>
      <c r="BE534" t="s">
        <v>3796</v>
      </c>
      <c r="BF534" t="str">
        <f>HYPERLINK("http://dx.doi.org/10.1016/j.energy.2019.01.048","http://dx.doi.org/10.1016/j.energy.2019.01.048")</f>
        <v>http://dx.doi.org/10.1016/j.energy.2019.01.048</v>
      </c>
      <c r="BG534"/>
      <c r="BH534"/>
      <c r="BI534"/>
      <c r="BJ534" t="s">
        <v>626</v>
      </c>
      <c r="BK534"/>
      <c r="BL534"/>
      <c r="BM534"/>
      <c r="BN534"/>
      <c r="BO534"/>
      <c r="BP534"/>
      <c r="BQ534"/>
      <c r="BR534"/>
      <c r="BS534"/>
      <c r="BT534" t="str">
        <f>HYPERLINK("https%3A%2F%2Fwww.webofscience.com%2Fwos%2Fwoscc%2Ffull-record%2F","View Full Record in Web of Science")</f>
        <v>View Full Record in Web of Science</v>
      </c>
    </row>
    <row r="535" spans="1:72" customHeight="1" ht="12.75">
      <c r="A535" t="s">
        <v>72</v>
      </c>
      <c r="B535" t="s">
        <v>3797</v>
      </c>
      <c r="C535"/>
      <c r="D535"/>
      <c r="E535"/>
      <c r="F535" t="s">
        <v>3798</v>
      </c>
      <c r="G535"/>
      <c r="H535"/>
      <c r="I535" t="s">
        <v>3799</v>
      </c>
      <c r="J535" t="s">
        <v>2632</v>
      </c>
      <c r="K535"/>
      <c r="L535"/>
      <c r="M535"/>
      <c r="N535" t="s">
        <v>112</v>
      </c>
      <c r="O535"/>
      <c r="P535"/>
      <c r="Q535"/>
      <c r="R535"/>
      <c r="S535"/>
      <c r="T535" t="s">
        <v>3800</v>
      </c>
      <c r="U535" t="s">
        <v>3801</v>
      </c>
      <c r="V535"/>
      <c r="W535"/>
      <c r="X535"/>
      <c r="Y535"/>
      <c r="Z535"/>
      <c r="AA535"/>
      <c r="AB535"/>
      <c r="AC535"/>
      <c r="AD535"/>
      <c r="AE535"/>
      <c r="AF535"/>
      <c r="AG535"/>
      <c r="AH535">
        <v>22</v>
      </c>
      <c r="AI535">
        <v>22</v>
      </c>
      <c r="AJ535"/>
      <c r="AK535"/>
      <c r="AL535"/>
      <c r="AM535"/>
      <c r="AN535"/>
      <c r="AO535" t="s">
        <v>2635</v>
      </c>
      <c r="AP535" t="s">
        <v>2636</v>
      </c>
      <c r="AQ535"/>
      <c r="AR535"/>
      <c r="AS535"/>
      <c r="AT535" t="s">
        <v>385</v>
      </c>
      <c r="AU535">
        <v>2017</v>
      </c>
      <c r="AV535">
        <v>106</v>
      </c>
      <c r="AW535"/>
      <c r="AX535"/>
      <c r="AY535"/>
      <c r="AZ535"/>
      <c r="BA535"/>
      <c r="BB535">
        <v>122</v>
      </c>
      <c r="BC535">
        <v>128</v>
      </c>
      <c r="BD535"/>
      <c r="BE535" t="s">
        <v>3802</v>
      </c>
      <c r="BF535" t="str">
        <f>HYPERLINK("http://dx.doi.org/10.1016/j.enpol.2017.02.047","http://dx.doi.org/10.1016/j.enpol.2017.02.047")</f>
        <v>http://dx.doi.org/10.1016/j.enpol.2017.02.047</v>
      </c>
      <c r="BG535"/>
      <c r="BH535"/>
      <c r="BI535"/>
      <c r="BJ535" t="s">
        <v>2638</v>
      </c>
      <c r="BK535"/>
      <c r="BL535"/>
      <c r="BM535"/>
      <c r="BN535"/>
      <c r="BO535"/>
      <c r="BP535"/>
      <c r="BQ535"/>
      <c r="BR535"/>
      <c r="BS535"/>
      <c r="BT535" t="str">
        <f>HYPERLINK("https%3A%2F%2Fwww.webofscience.com%2Fwos%2Fwoscc%2Ffull-record%2F","View Full Record in Web of Science")</f>
        <v>View Full Record in Web of Science</v>
      </c>
    </row>
    <row r="536" spans="1:72" customHeight="1" ht="12.75">
      <c r="A536" t="s">
        <v>72</v>
      </c>
      <c r="B536" t="s">
        <v>3803</v>
      </c>
      <c r="C536"/>
      <c r="D536"/>
      <c r="E536"/>
      <c r="F536" t="s">
        <v>3804</v>
      </c>
      <c r="G536"/>
      <c r="H536"/>
      <c r="I536" t="s">
        <v>3805</v>
      </c>
      <c r="J536" t="s">
        <v>283</v>
      </c>
      <c r="K536"/>
      <c r="L536"/>
      <c r="M536"/>
      <c r="N536" t="s">
        <v>112</v>
      </c>
      <c r="O536"/>
      <c r="P536"/>
      <c r="Q536"/>
      <c r="R536"/>
      <c r="S536"/>
      <c r="T536" t="s">
        <v>3806</v>
      </c>
      <c r="U536" t="s">
        <v>3807</v>
      </c>
      <c r="V536"/>
      <c r="W536"/>
      <c r="X536"/>
      <c r="Y536"/>
      <c r="Z536"/>
      <c r="AA536"/>
      <c r="AB536"/>
      <c r="AC536"/>
      <c r="AD536"/>
      <c r="AE536"/>
      <c r="AF536"/>
      <c r="AG536"/>
      <c r="AH536">
        <v>9</v>
      </c>
      <c r="AI536">
        <v>11</v>
      </c>
      <c r="AJ536"/>
      <c r="AK536"/>
      <c r="AL536"/>
      <c r="AM536"/>
      <c r="AN536"/>
      <c r="AO536" t="s">
        <v>286</v>
      </c>
      <c r="AP536" t="s">
        <v>287</v>
      </c>
      <c r="AQ536"/>
      <c r="AR536"/>
      <c r="AS536"/>
      <c r="AT536" t="s">
        <v>128</v>
      </c>
      <c r="AU536">
        <v>2019</v>
      </c>
      <c r="AV536">
        <v>107</v>
      </c>
      <c r="AW536"/>
      <c r="AX536"/>
      <c r="AY536"/>
      <c r="AZ536"/>
      <c r="BA536"/>
      <c r="BB536">
        <v>88</v>
      </c>
      <c r="BC536">
        <v>98</v>
      </c>
      <c r="BD536"/>
      <c r="BE536" t="s">
        <v>3808</v>
      </c>
      <c r="BF536" t="str">
        <f>HYPERLINK("http://dx.doi.org/10.1016/j.geoforum.2019.10.008","http://dx.doi.org/10.1016/j.geoforum.2019.10.008")</f>
        <v>http://dx.doi.org/10.1016/j.geoforum.2019.10.008</v>
      </c>
      <c r="BG536"/>
      <c r="BH536"/>
      <c r="BI536"/>
      <c r="BJ536" t="s">
        <v>83</v>
      </c>
      <c r="BK536"/>
      <c r="BL536"/>
      <c r="BM536"/>
      <c r="BN536"/>
      <c r="BO536"/>
      <c r="BP536"/>
      <c r="BQ536"/>
      <c r="BR536"/>
      <c r="BS536"/>
      <c r="BT536" t="str">
        <f>HYPERLINK("https%3A%2F%2Fwww.webofscience.com%2Fwos%2Fwoscc%2Ffull-record%2F","View Full Record in Web of Science")</f>
        <v>View Full Record in Web of Science</v>
      </c>
    </row>
    <row r="537" spans="1:72" customHeight="1" ht="12.75">
      <c r="A537" t="s">
        <v>72</v>
      </c>
      <c r="B537" t="s">
        <v>3809</v>
      </c>
      <c r="C537"/>
      <c r="D537"/>
      <c r="E537"/>
      <c r="F537" t="s">
        <v>3810</v>
      </c>
      <c r="G537"/>
      <c r="H537"/>
      <c r="I537" t="s">
        <v>3811</v>
      </c>
      <c r="J537" t="s">
        <v>3812</v>
      </c>
      <c r="K537"/>
      <c r="L537"/>
      <c r="M537"/>
      <c r="N537" t="s">
        <v>112</v>
      </c>
      <c r="O537"/>
      <c r="P537"/>
      <c r="Q537"/>
      <c r="R537"/>
      <c r="S537"/>
      <c r="T537" t="s">
        <v>3813</v>
      </c>
      <c r="U537" t="s">
        <v>3814</v>
      </c>
      <c r="V537"/>
      <c r="W537"/>
      <c r="X537"/>
      <c r="Y537"/>
      <c r="Z537"/>
      <c r="AA537"/>
      <c r="AB537"/>
      <c r="AC537"/>
      <c r="AD537"/>
      <c r="AE537"/>
      <c r="AF537"/>
      <c r="AG537"/>
      <c r="AH537">
        <v>22</v>
      </c>
      <c r="AI537">
        <v>23</v>
      </c>
      <c r="AJ537"/>
      <c r="AK537"/>
      <c r="AL537"/>
      <c r="AM537"/>
      <c r="AN537"/>
      <c r="AO537" t="s">
        <v>3815</v>
      </c>
      <c r="AP537"/>
      <c r="AQ537"/>
      <c r="AR537"/>
      <c r="AS537"/>
      <c r="AT537" t="s">
        <v>198</v>
      </c>
      <c r="AU537">
        <v>2019</v>
      </c>
      <c r="AV537">
        <v>122</v>
      </c>
      <c r="AW537"/>
      <c r="AX537"/>
      <c r="AY537"/>
      <c r="AZ537"/>
      <c r="BA537"/>
      <c r="BB537">
        <v>614</v>
      </c>
      <c r="BC537">
        <v>627</v>
      </c>
      <c r="BD537"/>
      <c r="BE537" t="s">
        <v>3816</v>
      </c>
      <c r="BF537" t="str">
        <f>HYPERLINK("http://dx.doi.org/10.1016/j.worlddev.2019.06.026","http://dx.doi.org/10.1016/j.worlddev.2019.06.026")</f>
        <v>http://dx.doi.org/10.1016/j.worlddev.2019.06.026</v>
      </c>
      <c r="BG537"/>
      <c r="BH537"/>
      <c r="BI537"/>
      <c r="BJ537" t="s">
        <v>3817</v>
      </c>
      <c r="BK537"/>
      <c r="BL537"/>
      <c r="BM537"/>
      <c r="BN537"/>
      <c r="BO537"/>
      <c r="BP537"/>
      <c r="BQ537"/>
      <c r="BR537"/>
      <c r="BS537"/>
      <c r="BT537" t="str">
        <f>HYPERLINK("https%3A%2F%2Fwww.webofscience.com%2Fwos%2Fwoscc%2Ffull-record%2F","View Full Record in Web of Science")</f>
        <v>View Full Record in Web of Science</v>
      </c>
    </row>
    <row r="538" spans="1:72" customHeight="1" ht="12.75">
      <c r="A538" t="s">
        <v>72</v>
      </c>
      <c r="B538" t="s">
        <v>3818</v>
      </c>
      <c r="C538"/>
      <c r="D538"/>
      <c r="E538"/>
      <c r="F538" t="s">
        <v>3819</v>
      </c>
      <c r="G538"/>
      <c r="H538"/>
      <c r="I538" t="s">
        <v>3820</v>
      </c>
      <c r="J538" t="s">
        <v>587</v>
      </c>
      <c r="K538"/>
      <c r="L538"/>
      <c r="M538"/>
      <c r="N538" t="s">
        <v>325</v>
      </c>
      <c r="O538"/>
      <c r="P538"/>
      <c r="Q538"/>
      <c r="R538"/>
      <c r="S538"/>
      <c r="T538" t="s">
        <v>3821</v>
      </c>
      <c r="U538" t="s">
        <v>3822</v>
      </c>
      <c r="V538"/>
      <c r="W538"/>
      <c r="X538"/>
      <c r="Y538"/>
      <c r="Z538"/>
      <c r="AA538"/>
      <c r="AB538"/>
      <c r="AC538"/>
      <c r="AD538"/>
      <c r="AE538"/>
      <c r="AF538"/>
      <c r="AG538"/>
      <c r="AH538">
        <v>8</v>
      </c>
      <c r="AI538">
        <v>8</v>
      </c>
      <c r="AJ538"/>
      <c r="AK538"/>
      <c r="AL538"/>
      <c r="AM538"/>
      <c r="AN538"/>
      <c r="AO538" t="s">
        <v>590</v>
      </c>
      <c r="AP538" t="s">
        <v>591</v>
      </c>
      <c r="AQ538"/>
      <c r="AR538"/>
      <c r="AS538"/>
      <c r="AT538" t="s">
        <v>3823</v>
      </c>
      <c r="AU538">
        <v>2023</v>
      </c>
      <c r="AV538">
        <v>408</v>
      </c>
      <c r="AW538"/>
      <c r="AX538"/>
      <c r="AY538"/>
      <c r="AZ538"/>
      <c r="BA538"/>
      <c r="BB538"/>
      <c r="BC538"/>
      <c r="BD538">
        <v>137082</v>
      </c>
      <c r="BE538" t="s">
        <v>3824</v>
      </c>
      <c r="BF538" t="str">
        <f>HYPERLINK("http://dx.doi.org/10.1016/j.jclepro.2023.137082","http://dx.doi.org/10.1016/j.jclepro.2023.137082")</f>
        <v>http://dx.doi.org/10.1016/j.jclepro.2023.137082</v>
      </c>
      <c r="BG538"/>
      <c r="BH538" t="s">
        <v>3768</v>
      </c>
      <c r="BI538"/>
      <c r="BJ538" t="s">
        <v>139</v>
      </c>
      <c r="BK538"/>
      <c r="BL538"/>
      <c r="BM538"/>
      <c r="BN538"/>
      <c r="BO538"/>
      <c r="BP538"/>
      <c r="BQ538"/>
      <c r="BR538"/>
      <c r="BS538"/>
      <c r="BT538" t="str">
        <f>HYPERLINK("https%3A%2F%2Fwww.webofscience.com%2Fwos%2Fwoscc%2Ffull-record%2F","View Full Record in Web of Science")</f>
        <v>View Full Record in Web of Science</v>
      </c>
    </row>
    <row r="539" spans="1:72" customHeight="1" ht="12.75">
      <c r="A539" t="s">
        <v>72</v>
      </c>
      <c r="B539" t="s">
        <v>3825</v>
      </c>
      <c r="C539"/>
      <c r="D539"/>
      <c r="E539"/>
      <c r="F539" t="s">
        <v>3826</v>
      </c>
      <c r="G539"/>
      <c r="H539"/>
      <c r="I539" t="s">
        <v>3827</v>
      </c>
      <c r="J539" t="s">
        <v>457</v>
      </c>
      <c r="K539"/>
      <c r="L539"/>
      <c r="M539"/>
      <c r="N539" t="s">
        <v>215</v>
      </c>
      <c r="O539"/>
      <c r="P539"/>
      <c r="Q539"/>
      <c r="R539"/>
      <c r="S539"/>
      <c r="T539" t="s">
        <v>3828</v>
      </c>
      <c r="U539" t="s">
        <v>3829</v>
      </c>
      <c r="V539"/>
      <c r="W539"/>
      <c r="X539"/>
      <c r="Y539"/>
      <c r="Z539"/>
      <c r="AA539"/>
      <c r="AB539"/>
      <c r="AC539"/>
      <c r="AD539"/>
      <c r="AE539"/>
      <c r="AF539"/>
      <c r="AG539"/>
      <c r="AH539">
        <v>24</v>
      </c>
      <c r="AI539">
        <v>24</v>
      </c>
      <c r="AJ539"/>
      <c r="AK539"/>
      <c r="AL539"/>
      <c r="AM539"/>
      <c r="AN539"/>
      <c r="AO539"/>
      <c r="AP539" t="s">
        <v>458</v>
      </c>
      <c r="AQ539"/>
      <c r="AR539"/>
      <c r="AS539"/>
      <c r="AT539" t="s">
        <v>190</v>
      </c>
      <c r="AU539">
        <v>2016</v>
      </c>
      <c r="AV539">
        <v>8</v>
      </c>
      <c r="AW539">
        <v>3</v>
      </c>
      <c r="AX539"/>
      <c r="AY539"/>
      <c r="AZ539"/>
      <c r="BA539"/>
      <c r="BB539"/>
      <c r="BC539"/>
      <c r="BD539">
        <v>220</v>
      </c>
      <c r="BE539" t="s">
        <v>3830</v>
      </c>
      <c r="BF539" t="str">
        <f>HYPERLINK("http://dx.doi.org/10.3390/su8030220","http://dx.doi.org/10.3390/su8030220")</f>
        <v>http://dx.doi.org/10.3390/su8030220</v>
      </c>
      <c r="BG539"/>
      <c r="BH539"/>
      <c r="BI539"/>
      <c r="BJ539" t="s">
        <v>460</v>
      </c>
      <c r="BK539"/>
      <c r="BL539"/>
      <c r="BM539"/>
      <c r="BN539"/>
      <c r="BO539"/>
      <c r="BP539"/>
      <c r="BQ539"/>
      <c r="BR539"/>
      <c r="BS539"/>
      <c r="BT539" t="str">
        <f>HYPERLINK("https%3A%2F%2Fwww.webofscience.com%2Fwos%2Fwoscc%2Ffull-record%2F","View Full Record in Web of Science")</f>
        <v>View Full Record in Web of Science</v>
      </c>
    </row>
    <row r="540" spans="1:72" customHeight="1" ht="12.75">
      <c r="A540" t="s">
        <v>72</v>
      </c>
      <c r="B540" t="s">
        <v>3831</v>
      </c>
      <c r="C540"/>
      <c r="D540"/>
      <c r="E540"/>
      <c r="F540" t="s">
        <v>3832</v>
      </c>
      <c r="G540"/>
      <c r="H540"/>
      <c r="I540" t="s">
        <v>3833</v>
      </c>
      <c r="J540" t="s">
        <v>3355</v>
      </c>
      <c r="K540"/>
      <c r="L540"/>
      <c r="M540"/>
      <c r="N540" t="s">
        <v>77</v>
      </c>
      <c r="O540"/>
      <c r="P540"/>
      <c r="Q540"/>
      <c r="R540"/>
      <c r="S540"/>
      <c r="T540" t="s">
        <v>3834</v>
      </c>
      <c r="U540" t="s">
        <v>3835</v>
      </c>
      <c r="V540"/>
      <c r="W540"/>
      <c r="X540"/>
      <c r="Y540"/>
      <c r="Z540"/>
      <c r="AA540"/>
      <c r="AB540"/>
      <c r="AC540"/>
      <c r="AD540"/>
      <c r="AE540"/>
      <c r="AF540"/>
      <c r="AG540"/>
      <c r="AH540">
        <v>7</v>
      </c>
      <c r="AI540">
        <v>8</v>
      </c>
      <c r="AJ540"/>
      <c r="AK540"/>
      <c r="AL540"/>
      <c r="AM540"/>
      <c r="AN540"/>
      <c r="AO540" t="s">
        <v>3357</v>
      </c>
      <c r="AP540" t="s">
        <v>3358</v>
      </c>
      <c r="AQ540"/>
      <c r="AR540"/>
      <c r="AS540"/>
      <c r="AT540"/>
      <c r="AU540">
        <v>2020</v>
      </c>
      <c r="AV540">
        <v>6</v>
      </c>
      <c r="AW540">
        <v>1</v>
      </c>
      <c r="AX540"/>
      <c r="AY540"/>
      <c r="AZ540"/>
      <c r="BA540"/>
      <c r="BB540">
        <v>1</v>
      </c>
      <c r="BC540">
        <v>19</v>
      </c>
      <c r="BD540">
        <v>1839358</v>
      </c>
      <c r="BE540" t="s">
        <v>3836</v>
      </c>
      <c r="BF540" t="str">
        <f>HYPERLINK("http://dx.doi.org/10.1080/20964129.2020.1839358","http://dx.doi.org/10.1080/20964129.2020.1839358")</f>
        <v>http://dx.doi.org/10.1080/20964129.2020.1839358</v>
      </c>
      <c r="BG540"/>
      <c r="BH540"/>
      <c r="BI540"/>
      <c r="BJ540" t="s">
        <v>3361</v>
      </c>
      <c r="BK540"/>
      <c r="BL540"/>
      <c r="BM540"/>
      <c r="BN540"/>
      <c r="BO540"/>
      <c r="BP540"/>
      <c r="BQ540"/>
      <c r="BR540"/>
      <c r="BS540"/>
      <c r="BT540" t="str">
        <f>HYPERLINK("https%3A%2F%2Fwww.webofscience.com%2Fwos%2Fwoscc%2Ffull-record%2F","View Full Record in Web of Science")</f>
        <v>View Full Record in Web of Science</v>
      </c>
    </row>
    <row r="541" spans="1:72" customHeight="1" ht="12.75">
      <c r="A541" t="s">
        <v>72</v>
      </c>
      <c r="B541" t="s">
        <v>3837</v>
      </c>
      <c r="C541"/>
      <c r="D541"/>
      <c r="E541"/>
      <c r="F541" t="s">
        <v>3838</v>
      </c>
      <c r="G541"/>
      <c r="H541"/>
      <c r="I541" t="s">
        <v>3839</v>
      </c>
      <c r="J541" t="s">
        <v>3840</v>
      </c>
      <c r="K541"/>
      <c r="L541"/>
      <c r="M541"/>
      <c r="N541" t="s">
        <v>112</v>
      </c>
      <c r="O541"/>
      <c r="P541"/>
      <c r="Q541"/>
      <c r="R541"/>
      <c r="S541"/>
      <c r="T541" t="s">
        <v>3841</v>
      </c>
      <c r="U541" t="s">
        <v>3842</v>
      </c>
      <c r="V541"/>
      <c r="W541"/>
      <c r="X541"/>
      <c r="Y541"/>
      <c r="Z541"/>
      <c r="AA541"/>
      <c r="AB541"/>
      <c r="AC541"/>
      <c r="AD541"/>
      <c r="AE541"/>
      <c r="AF541"/>
      <c r="AG541"/>
      <c r="AH541">
        <v>5</v>
      </c>
      <c r="AI541">
        <v>5</v>
      </c>
      <c r="AJ541"/>
      <c r="AK541"/>
      <c r="AL541"/>
      <c r="AM541"/>
      <c r="AN541"/>
      <c r="AO541" t="s">
        <v>3843</v>
      </c>
      <c r="AP541" t="s">
        <v>3844</v>
      </c>
      <c r="AQ541"/>
      <c r="AR541"/>
      <c r="AS541"/>
      <c r="AT541" t="s">
        <v>154</v>
      </c>
      <c r="AU541">
        <v>2017</v>
      </c>
      <c r="AV541">
        <v>86</v>
      </c>
      <c r="AW541"/>
      <c r="AX541"/>
      <c r="AY541"/>
      <c r="AZ541"/>
      <c r="BA541"/>
      <c r="BB541">
        <v>271</v>
      </c>
      <c r="BC541">
        <v>276</v>
      </c>
      <c r="BD541"/>
      <c r="BE541" t="s">
        <v>3845</v>
      </c>
      <c r="BF541" t="str">
        <f>HYPERLINK("http://dx.doi.org/10.5004/dwt.2017.20814","http://dx.doi.org/10.5004/dwt.2017.20814")</f>
        <v>http://dx.doi.org/10.5004/dwt.2017.20814</v>
      </c>
      <c r="BG541"/>
      <c r="BH541"/>
      <c r="BI541"/>
      <c r="BJ541" t="s">
        <v>3846</v>
      </c>
      <c r="BK541"/>
      <c r="BL541"/>
      <c r="BM541"/>
      <c r="BN541"/>
      <c r="BO541"/>
      <c r="BP541"/>
      <c r="BQ541"/>
      <c r="BR541"/>
      <c r="BS541"/>
      <c r="BT541" t="str">
        <f>HYPERLINK("https%3A%2F%2Fwww.webofscience.com%2Fwos%2Fwoscc%2Ffull-record%2F","View Full Record in Web of Science")</f>
        <v>View Full Record in Web of Science</v>
      </c>
    </row>
    <row r="542" spans="1:72" customHeight="1" ht="12.75">
      <c r="A542" t="s">
        <v>72</v>
      </c>
      <c r="B542" t="s">
        <v>3847</v>
      </c>
      <c r="C542"/>
      <c r="D542"/>
      <c r="E542"/>
      <c r="F542" t="s">
        <v>3848</v>
      </c>
      <c r="G542"/>
      <c r="H542"/>
      <c r="I542" t="s">
        <v>3849</v>
      </c>
      <c r="J542" t="s">
        <v>3850</v>
      </c>
      <c r="K542"/>
      <c r="L542"/>
      <c r="M542"/>
      <c r="N542" t="s">
        <v>77</v>
      </c>
      <c r="O542"/>
      <c r="P542"/>
      <c r="Q542"/>
      <c r="R542"/>
      <c r="S542"/>
      <c r="T542" t="s">
        <v>3851</v>
      </c>
      <c r="U542" t="s">
        <v>3852</v>
      </c>
      <c r="V542"/>
      <c r="W542"/>
      <c r="X542"/>
      <c r="Y542"/>
      <c r="Z542"/>
      <c r="AA542"/>
      <c r="AB542"/>
      <c r="AC542"/>
      <c r="AD542"/>
      <c r="AE542"/>
      <c r="AF542"/>
      <c r="AG542"/>
      <c r="AH542">
        <v>90</v>
      </c>
      <c r="AI542">
        <v>104</v>
      </c>
      <c r="AJ542"/>
      <c r="AK542"/>
      <c r="AL542"/>
      <c r="AM542"/>
      <c r="AN542"/>
      <c r="AO542" t="s">
        <v>3853</v>
      </c>
      <c r="AP542" t="s">
        <v>3854</v>
      </c>
      <c r="AQ542"/>
      <c r="AR542"/>
      <c r="AS542"/>
      <c r="AT542" t="s">
        <v>190</v>
      </c>
      <c r="AU542">
        <v>2016</v>
      </c>
      <c r="AV542">
        <v>36</v>
      </c>
      <c r="AW542">
        <v>1</v>
      </c>
      <c r="AX542"/>
      <c r="AY542"/>
      <c r="AZ542"/>
      <c r="BA542"/>
      <c r="BB542"/>
      <c r="BC542"/>
      <c r="BD542">
        <v>9</v>
      </c>
      <c r="BE542" t="s">
        <v>3855</v>
      </c>
      <c r="BF542" t="str">
        <f>HYPERLINK("http://dx.doi.org/10.1007/s13593-015-0348-4","http://dx.doi.org/10.1007/s13593-015-0348-4")</f>
        <v>http://dx.doi.org/10.1007/s13593-015-0348-4</v>
      </c>
      <c r="BG542"/>
      <c r="BH542"/>
      <c r="BI542"/>
      <c r="BJ542" t="s">
        <v>3856</v>
      </c>
      <c r="BK542"/>
      <c r="BL542"/>
      <c r="BM542"/>
      <c r="BN542"/>
      <c r="BO542"/>
      <c r="BP542"/>
      <c r="BQ542"/>
      <c r="BR542"/>
      <c r="BS542"/>
      <c r="BT542" t="str">
        <f>HYPERLINK("https%3A%2F%2Fwww.webofscience.com%2Fwos%2Fwoscc%2Ffull-record%2F","View Full Record in Web of Science")</f>
        <v>View Full Record in Web of Science</v>
      </c>
    </row>
    <row r="543" spans="1:72" customHeight="1" ht="12.75">
      <c r="A543" t="s">
        <v>72</v>
      </c>
      <c r="B543" t="s">
        <v>360</v>
      </c>
      <c r="C543"/>
      <c r="D543"/>
      <c r="E543"/>
      <c r="F543" t="s">
        <v>361</v>
      </c>
      <c r="G543"/>
      <c r="H543"/>
      <c r="I543" t="s">
        <v>3857</v>
      </c>
      <c r="J543" t="s">
        <v>1067</v>
      </c>
      <c r="K543"/>
      <c r="L543"/>
      <c r="M543"/>
      <c r="N543" t="s">
        <v>112</v>
      </c>
      <c r="O543"/>
      <c r="P543"/>
      <c r="Q543"/>
      <c r="R543"/>
      <c r="S543"/>
      <c r="T543" t="s">
        <v>3858</v>
      </c>
      <c r="U543" t="s">
        <v>1330</v>
      </c>
      <c r="V543"/>
      <c r="W543"/>
      <c r="X543"/>
      <c r="Y543"/>
      <c r="Z543"/>
      <c r="AA543"/>
      <c r="AB543"/>
      <c r="AC543"/>
      <c r="AD543"/>
      <c r="AE543"/>
      <c r="AF543"/>
      <c r="AG543"/>
      <c r="AH543">
        <v>112</v>
      </c>
      <c r="AI543">
        <v>133</v>
      </c>
      <c r="AJ543"/>
      <c r="AK543"/>
      <c r="AL543"/>
      <c r="AM543"/>
      <c r="AN543"/>
      <c r="AO543" t="s">
        <v>1070</v>
      </c>
      <c r="AP543" t="s">
        <v>1071</v>
      </c>
      <c r="AQ543"/>
      <c r="AR543"/>
      <c r="AS543"/>
      <c r="AT543" t="s">
        <v>1420</v>
      </c>
      <c r="AU543">
        <v>2007</v>
      </c>
      <c r="AV543">
        <v>375</v>
      </c>
      <c r="AW543" t="s">
        <v>3859</v>
      </c>
      <c r="AX543"/>
      <c r="AY543"/>
      <c r="AZ543"/>
      <c r="BA543"/>
      <c r="BB543">
        <v>48</v>
      </c>
      <c r="BC543">
        <v>58</v>
      </c>
      <c r="BD543"/>
      <c r="BE543" t="s">
        <v>3860</v>
      </c>
      <c r="BF543" t="str">
        <f>HYPERLINK("http://dx.doi.org/10.1016/j.scitotenv.2006.12.003","http://dx.doi.org/10.1016/j.scitotenv.2006.12.003")</f>
        <v>http://dx.doi.org/10.1016/j.scitotenv.2006.12.003</v>
      </c>
      <c r="BG543"/>
      <c r="BH543"/>
      <c r="BI543"/>
      <c r="BJ543" t="s">
        <v>224</v>
      </c>
      <c r="BK543"/>
      <c r="BL543"/>
      <c r="BM543"/>
      <c r="BN543"/>
      <c r="BO543"/>
      <c r="BP543"/>
      <c r="BQ543"/>
      <c r="BR543"/>
      <c r="BS543"/>
      <c r="BT543" t="str">
        <f>HYPERLINK("https%3A%2F%2Fwww.webofscience.com%2Fwos%2Fwoscc%2Ffull-record%2F","View Full Record in Web of Science")</f>
        <v>View Full Record in Web of Science</v>
      </c>
    </row>
    <row r="544" spans="1:72" customHeight="1" ht="12.75">
      <c r="A544" t="s">
        <v>72</v>
      </c>
      <c r="B544" t="s">
        <v>3861</v>
      </c>
      <c r="C544"/>
      <c r="D544"/>
      <c r="E544"/>
      <c r="F544" t="s">
        <v>3862</v>
      </c>
      <c r="G544"/>
      <c r="H544"/>
      <c r="I544" t="s">
        <v>3863</v>
      </c>
      <c r="J544" t="s">
        <v>2135</v>
      </c>
      <c r="K544"/>
      <c r="L544"/>
      <c r="M544"/>
      <c r="N544" t="s">
        <v>112</v>
      </c>
      <c r="O544"/>
      <c r="P544"/>
      <c r="Q544"/>
      <c r="R544"/>
      <c r="S544"/>
      <c r="T544" t="s">
        <v>3864</v>
      </c>
      <c r="U544" t="s">
        <v>3865</v>
      </c>
      <c r="V544"/>
      <c r="W544"/>
      <c r="X544"/>
      <c r="Y544"/>
      <c r="Z544"/>
      <c r="AA544"/>
      <c r="AB544"/>
      <c r="AC544"/>
      <c r="AD544"/>
      <c r="AE544"/>
      <c r="AF544"/>
      <c r="AG544"/>
      <c r="AH544">
        <v>7</v>
      </c>
      <c r="AI544">
        <v>7</v>
      </c>
      <c r="AJ544"/>
      <c r="AK544"/>
      <c r="AL544"/>
      <c r="AM544"/>
      <c r="AN544"/>
      <c r="AO544"/>
      <c r="AP544" t="s">
        <v>2139</v>
      </c>
      <c r="AQ544"/>
      <c r="AR544"/>
      <c r="AS544"/>
      <c r="AT544" t="s">
        <v>145</v>
      </c>
      <c r="AU544">
        <v>2021</v>
      </c>
      <c r="AV544">
        <v>13</v>
      </c>
      <c r="AW544">
        <v>8</v>
      </c>
      <c r="AX544"/>
      <c r="AY544"/>
      <c r="AZ544"/>
      <c r="BA544"/>
      <c r="BB544"/>
      <c r="BC544"/>
      <c r="BD544">
        <v>1503</v>
      </c>
      <c r="BE544" t="s">
        <v>3866</v>
      </c>
      <c r="BF544" t="str">
        <f>HYPERLINK("http://dx.doi.org/10.3390/rs13081503","http://dx.doi.org/10.3390/rs13081503")</f>
        <v>http://dx.doi.org/10.3390/rs13081503</v>
      </c>
      <c r="BG544"/>
      <c r="BH544"/>
      <c r="BI544"/>
      <c r="BJ544" t="s">
        <v>2141</v>
      </c>
      <c r="BK544"/>
      <c r="BL544"/>
      <c r="BM544"/>
      <c r="BN544"/>
      <c r="BO544"/>
      <c r="BP544"/>
      <c r="BQ544"/>
      <c r="BR544"/>
      <c r="BS544"/>
      <c r="BT544" t="str">
        <f>HYPERLINK("https%3A%2F%2Fwww.webofscience.com%2Fwos%2Fwoscc%2Ffull-record%2F","View Full Record in Web of Science")</f>
        <v>View Full Record in Web of Science</v>
      </c>
    </row>
    <row r="545" spans="1:72" customHeight="1" ht="12.75">
      <c r="A545" t="s">
        <v>72</v>
      </c>
      <c r="B545" t="s">
        <v>3867</v>
      </c>
      <c r="C545"/>
      <c r="D545"/>
      <c r="E545"/>
      <c r="F545" t="s">
        <v>3868</v>
      </c>
      <c r="G545"/>
      <c r="H545"/>
      <c r="I545" t="s">
        <v>3869</v>
      </c>
      <c r="J545" t="s">
        <v>3870</v>
      </c>
      <c r="K545"/>
      <c r="L545"/>
      <c r="M545"/>
      <c r="N545" t="s">
        <v>325</v>
      </c>
      <c r="O545"/>
      <c r="P545"/>
      <c r="Q545"/>
      <c r="R545"/>
      <c r="S545"/>
      <c r="T545" t="s">
        <v>3871</v>
      </c>
      <c r="U545" t="s">
        <v>3872</v>
      </c>
      <c r="V545"/>
      <c r="W545"/>
      <c r="X545"/>
      <c r="Y545"/>
      <c r="Z545"/>
      <c r="AA545"/>
      <c r="AB545"/>
      <c r="AC545"/>
      <c r="AD545"/>
      <c r="AE545"/>
      <c r="AF545"/>
      <c r="AG545"/>
      <c r="AH545">
        <v>2</v>
      </c>
      <c r="AI545">
        <v>2</v>
      </c>
      <c r="AJ545"/>
      <c r="AK545"/>
      <c r="AL545"/>
      <c r="AM545"/>
      <c r="AN545"/>
      <c r="AO545" t="s">
        <v>3873</v>
      </c>
      <c r="AP545" t="s">
        <v>3874</v>
      </c>
      <c r="AQ545"/>
      <c r="AR545"/>
      <c r="AS545"/>
      <c r="AT545" t="s">
        <v>3875</v>
      </c>
      <c r="AU545">
        <v>2022</v>
      </c>
      <c r="AV545">
        <v>5</v>
      </c>
      <c r="AW545">
        <v>4</v>
      </c>
      <c r="AX545"/>
      <c r="AY545"/>
      <c r="AZ545" t="s">
        <v>222</v>
      </c>
      <c r="BA545"/>
      <c r="BB545">
        <v>2172</v>
      </c>
      <c r="BC545">
        <v>2192</v>
      </c>
      <c r="BD545"/>
      <c r="BE545" t="s">
        <v>3876</v>
      </c>
      <c r="BF545" t="str">
        <f>HYPERLINK("http://dx.doi.org/10.1177/25148486211051082","http://dx.doi.org/10.1177/25148486211051082")</f>
        <v>http://dx.doi.org/10.1177/25148486211051082</v>
      </c>
      <c r="BG545"/>
      <c r="BH545" t="s">
        <v>3877</v>
      </c>
      <c r="BI545"/>
      <c r="BJ545" t="s">
        <v>2958</v>
      </c>
      <c r="BK545"/>
      <c r="BL545"/>
      <c r="BM545"/>
      <c r="BN545"/>
      <c r="BO545"/>
      <c r="BP545"/>
      <c r="BQ545"/>
      <c r="BR545"/>
      <c r="BS545"/>
      <c r="BT545" t="str">
        <f>HYPERLINK("https%3A%2F%2Fwww.webofscience.com%2Fwos%2Fwoscc%2Ffull-record%2F","View Full Record in Web of Science")</f>
        <v>View Full Record in Web of Science</v>
      </c>
    </row>
    <row r="546" spans="1:72" customHeight="1" ht="12.75">
      <c r="A546" t="s">
        <v>72</v>
      </c>
      <c r="B546" t="s">
        <v>3878</v>
      </c>
      <c r="C546"/>
      <c r="D546"/>
      <c r="E546"/>
      <c r="F546" t="s">
        <v>3879</v>
      </c>
      <c r="G546"/>
      <c r="H546"/>
      <c r="I546" t="s">
        <v>3880</v>
      </c>
      <c r="J546" t="s">
        <v>2255</v>
      </c>
      <c r="K546"/>
      <c r="L546"/>
      <c r="M546"/>
      <c r="N546" t="s">
        <v>77</v>
      </c>
      <c r="O546"/>
      <c r="P546"/>
      <c r="Q546"/>
      <c r="R546"/>
      <c r="S546"/>
      <c r="T546" t="s">
        <v>3881</v>
      </c>
      <c r="U546" t="s">
        <v>3882</v>
      </c>
      <c r="V546"/>
      <c r="W546"/>
      <c r="X546"/>
      <c r="Y546"/>
      <c r="Z546"/>
      <c r="AA546"/>
      <c r="AB546"/>
      <c r="AC546"/>
      <c r="AD546"/>
      <c r="AE546"/>
      <c r="AF546"/>
      <c r="AG546"/>
      <c r="AH546">
        <v>3</v>
      </c>
      <c r="AI546">
        <v>3</v>
      </c>
      <c r="AJ546"/>
      <c r="AK546"/>
      <c r="AL546"/>
      <c r="AM546"/>
      <c r="AN546"/>
      <c r="AO546" t="s">
        <v>2258</v>
      </c>
      <c r="AP546" t="s">
        <v>2259</v>
      </c>
      <c r="AQ546"/>
      <c r="AR546"/>
      <c r="AS546"/>
      <c r="AT546" t="s">
        <v>3883</v>
      </c>
      <c r="AU546">
        <v>2019</v>
      </c>
      <c r="AV546">
        <v>14</v>
      </c>
      <c r="AW546">
        <v>3</v>
      </c>
      <c r="AX546"/>
      <c r="AY546"/>
      <c r="AZ546"/>
      <c r="BA546"/>
      <c r="BB546">
        <v>63</v>
      </c>
      <c r="BC546">
        <v>80</v>
      </c>
      <c r="BD546"/>
      <c r="BE546" t="s">
        <v>3884</v>
      </c>
      <c r="BF546" t="str">
        <f>HYPERLINK("http://dx.doi.org/10.3992/1943-4618.14.3.63","http://dx.doi.org/10.3992/1943-4618.14.3.63")</f>
        <v>http://dx.doi.org/10.3992/1943-4618.14.3.63</v>
      </c>
      <c r="BG546"/>
      <c r="BH546"/>
      <c r="BI546"/>
      <c r="BJ546" t="s">
        <v>233</v>
      </c>
      <c r="BK546"/>
      <c r="BL546"/>
      <c r="BM546"/>
      <c r="BN546"/>
      <c r="BO546"/>
      <c r="BP546"/>
      <c r="BQ546"/>
      <c r="BR546"/>
      <c r="BS546"/>
      <c r="BT546" t="str">
        <f>HYPERLINK("https%3A%2F%2Fwww.webofscience.com%2Fwos%2Fwoscc%2Ffull-record%2F","View Full Record in Web of Science")</f>
        <v>View Full Record in Web of Science</v>
      </c>
    </row>
    <row r="547" spans="1:72" customHeight="1" ht="12.75">
      <c r="A547" t="s">
        <v>72</v>
      </c>
      <c r="B547" t="s">
        <v>3885</v>
      </c>
      <c r="C547"/>
      <c r="D547"/>
      <c r="E547"/>
      <c r="F547" t="s">
        <v>3886</v>
      </c>
      <c r="G547"/>
      <c r="H547"/>
      <c r="I547" t="s">
        <v>3887</v>
      </c>
      <c r="J547" t="s">
        <v>133</v>
      </c>
      <c r="K547"/>
      <c r="L547"/>
      <c r="M547"/>
      <c r="N547" t="s">
        <v>112</v>
      </c>
      <c r="O547"/>
      <c r="P547"/>
      <c r="Q547"/>
      <c r="R547"/>
      <c r="S547"/>
      <c r="T547" t="s">
        <v>3888</v>
      </c>
      <c r="U547" t="s">
        <v>3889</v>
      </c>
      <c r="V547"/>
      <c r="W547"/>
      <c r="X547"/>
      <c r="Y547"/>
      <c r="Z547"/>
      <c r="AA547"/>
      <c r="AB547"/>
      <c r="AC547"/>
      <c r="AD547"/>
      <c r="AE547"/>
      <c r="AF547"/>
      <c r="AG547"/>
      <c r="AH547">
        <v>30</v>
      </c>
      <c r="AI547">
        <v>33</v>
      </c>
      <c r="AJ547"/>
      <c r="AK547"/>
      <c r="AL547"/>
      <c r="AM547"/>
      <c r="AN547"/>
      <c r="AO547" t="s">
        <v>136</v>
      </c>
      <c r="AP547" t="s">
        <v>137</v>
      </c>
      <c r="AQ547"/>
      <c r="AR547"/>
      <c r="AS547"/>
      <c r="AT547" t="s">
        <v>145</v>
      </c>
      <c r="AU547">
        <v>2015</v>
      </c>
      <c r="AV547">
        <v>19</v>
      </c>
      <c r="AW547">
        <v>2</v>
      </c>
      <c r="AX547"/>
      <c r="AY547"/>
      <c r="AZ547" t="s">
        <v>222</v>
      </c>
      <c r="BA547"/>
      <c r="BB547">
        <v>211</v>
      </c>
      <c r="BC547">
        <v>221</v>
      </c>
      <c r="BD547"/>
      <c r="BE547" t="s">
        <v>3890</v>
      </c>
      <c r="BF547" t="str">
        <f>HYPERLINK("http://dx.doi.org/10.1111/jiec.12239","http://dx.doi.org/10.1111/jiec.12239")</f>
        <v>http://dx.doi.org/10.1111/jiec.12239</v>
      </c>
      <c r="BG547"/>
      <c r="BH547"/>
      <c r="BI547"/>
      <c r="BJ547" t="s">
        <v>139</v>
      </c>
      <c r="BK547"/>
      <c r="BL547"/>
      <c r="BM547"/>
      <c r="BN547"/>
      <c r="BO547"/>
      <c r="BP547"/>
      <c r="BQ547"/>
      <c r="BR547"/>
      <c r="BS547"/>
      <c r="BT547" t="str">
        <f>HYPERLINK("https%3A%2F%2Fwww.webofscience.com%2Fwos%2Fwoscc%2Ffull-record%2F","View Full Record in Web of Science")</f>
        <v>View Full Record in Web of Science</v>
      </c>
    </row>
    <row r="548" spans="1:72" customHeight="1" ht="12.75">
      <c r="A548" t="s">
        <v>72</v>
      </c>
      <c r="B548" t="s">
        <v>3891</v>
      </c>
      <c r="C548"/>
      <c r="D548"/>
      <c r="E548"/>
      <c r="F548" t="s">
        <v>3892</v>
      </c>
      <c r="G548"/>
      <c r="H548"/>
      <c r="I548" t="s">
        <v>3893</v>
      </c>
      <c r="J548" t="s">
        <v>587</v>
      </c>
      <c r="K548"/>
      <c r="L548"/>
      <c r="M548"/>
      <c r="N548" t="s">
        <v>112</v>
      </c>
      <c r="O548"/>
      <c r="P548"/>
      <c r="Q548"/>
      <c r="R548"/>
      <c r="S548"/>
      <c r="T548" t="s">
        <v>3894</v>
      </c>
      <c r="U548" t="s">
        <v>3895</v>
      </c>
      <c r="V548"/>
      <c r="W548"/>
      <c r="X548"/>
      <c r="Y548"/>
      <c r="Z548"/>
      <c r="AA548"/>
      <c r="AB548"/>
      <c r="AC548"/>
      <c r="AD548"/>
      <c r="AE548"/>
      <c r="AF548"/>
      <c r="AG548"/>
      <c r="AH548">
        <v>44</v>
      </c>
      <c r="AI548">
        <v>48</v>
      </c>
      <c r="AJ548"/>
      <c r="AK548"/>
      <c r="AL548"/>
      <c r="AM548"/>
      <c r="AN548"/>
      <c r="AO548" t="s">
        <v>590</v>
      </c>
      <c r="AP548" t="s">
        <v>591</v>
      </c>
      <c r="AQ548"/>
      <c r="AR548"/>
      <c r="AS548"/>
      <c r="AT548" t="s">
        <v>3187</v>
      </c>
      <c r="AU548">
        <v>2014</v>
      </c>
      <c r="AV548">
        <v>75</v>
      </c>
      <c r="AW548"/>
      <c r="AX548"/>
      <c r="AY548"/>
      <c r="AZ548"/>
      <c r="BA548"/>
      <c r="BB548">
        <v>118</v>
      </c>
      <c r="BC548">
        <v>129</v>
      </c>
      <c r="BD548"/>
      <c r="BE548" t="s">
        <v>3896</v>
      </c>
      <c r="BF548" t="str">
        <f>HYPERLINK("http://dx.doi.org/10.1016/j.jclepro.2014.04.012","http://dx.doi.org/10.1016/j.jclepro.2014.04.012")</f>
        <v>http://dx.doi.org/10.1016/j.jclepro.2014.04.012</v>
      </c>
      <c r="BG548"/>
      <c r="BH548"/>
      <c r="BI548"/>
      <c r="BJ548" t="s">
        <v>139</v>
      </c>
      <c r="BK548"/>
      <c r="BL548"/>
      <c r="BM548"/>
      <c r="BN548"/>
      <c r="BO548"/>
      <c r="BP548"/>
      <c r="BQ548"/>
      <c r="BR548"/>
      <c r="BS548"/>
      <c r="BT548" t="str">
        <f>HYPERLINK("https%3A%2F%2Fwww.webofscience.com%2Fwos%2Fwoscc%2Ffull-record%2F","View Full Record in Web of Science")</f>
        <v>View Full Record in Web of Science</v>
      </c>
    </row>
    <row r="549" spans="1:72" customHeight="1" ht="12.75">
      <c r="A549" t="s">
        <v>72</v>
      </c>
      <c r="B549" t="s">
        <v>3897</v>
      </c>
      <c r="C549"/>
      <c r="D549"/>
      <c r="E549"/>
      <c r="F549" t="s">
        <v>3898</v>
      </c>
      <c r="G549"/>
      <c r="H549"/>
      <c r="I549" t="s">
        <v>3899</v>
      </c>
      <c r="J549" t="s">
        <v>133</v>
      </c>
      <c r="K549"/>
      <c r="L549"/>
      <c r="M549"/>
      <c r="N549" t="s">
        <v>325</v>
      </c>
      <c r="O549"/>
      <c r="P549"/>
      <c r="Q549"/>
      <c r="R549"/>
      <c r="S549"/>
      <c r="T549" t="s">
        <v>3900</v>
      </c>
      <c r="U549" t="s">
        <v>3901</v>
      </c>
      <c r="V549"/>
      <c r="W549"/>
      <c r="X549"/>
      <c r="Y549"/>
      <c r="Z549"/>
      <c r="AA549"/>
      <c r="AB549"/>
      <c r="AC549"/>
      <c r="AD549"/>
      <c r="AE549"/>
      <c r="AF549"/>
      <c r="AG549"/>
      <c r="AH549">
        <v>10</v>
      </c>
      <c r="AI549">
        <v>15</v>
      </c>
      <c r="AJ549"/>
      <c r="AK549"/>
      <c r="AL549"/>
      <c r="AM549"/>
      <c r="AN549"/>
      <c r="AO549" t="s">
        <v>136</v>
      </c>
      <c r="AP549" t="s">
        <v>137</v>
      </c>
      <c r="AQ549"/>
      <c r="AR549"/>
      <c r="AS549"/>
      <c r="AT549" t="s">
        <v>3424</v>
      </c>
      <c r="AU549">
        <v>2021</v>
      </c>
      <c r="AV549">
        <v>25</v>
      </c>
      <c r="AW549">
        <v>4</v>
      </c>
      <c r="AX549"/>
      <c r="AY549"/>
      <c r="AZ549"/>
      <c r="BA549"/>
      <c r="BB549">
        <v>932</v>
      </c>
      <c r="BC549">
        <v>947</v>
      </c>
      <c r="BD549"/>
      <c r="BE549" t="s">
        <v>3902</v>
      </c>
      <c r="BF549" t="str">
        <f>HYPERLINK("http://dx.doi.org/10.1111/jiec.13097","http://dx.doi.org/10.1111/jiec.13097")</f>
        <v>http://dx.doi.org/10.1111/jiec.13097</v>
      </c>
      <c r="BG549"/>
      <c r="BH549" t="s">
        <v>583</v>
      </c>
      <c r="BI549"/>
      <c r="BJ549" t="s">
        <v>139</v>
      </c>
      <c r="BK549"/>
      <c r="BL549"/>
      <c r="BM549"/>
      <c r="BN549"/>
      <c r="BO549"/>
      <c r="BP549"/>
      <c r="BQ549"/>
      <c r="BR549"/>
      <c r="BS549"/>
      <c r="BT549" t="str">
        <f>HYPERLINK("https%3A%2F%2Fwww.webofscience.com%2Fwos%2Fwoscc%2Ffull-record%2F","View Full Record in Web of Science")</f>
        <v>View Full Record in Web of Science</v>
      </c>
    </row>
    <row r="550" spans="1:72" customHeight="1" ht="12.75">
      <c r="A550" t="s">
        <v>72</v>
      </c>
      <c r="B550" t="s">
        <v>3903</v>
      </c>
      <c r="C550"/>
      <c r="D550"/>
      <c r="E550"/>
      <c r="F550" t="s">
        <v>3904</v>
      </c>
      <c r="G550"/>
      <c r="H550"/>
      <c r="I550" t="s">
        <v>3905</v>
      </c>
      <c r="J550" t="s">
        <v>457</v>
      </c>
      <c r="K550"/>
      <c r="L550"/>
      <c r="M550"/>
      <c r="N550" t="s">
        <v>112</v>
      </c>
      <c r="O550"/>
      <c r="P550"/>
      <c r="Q550"/>
      <c r="R550"/>
      <c r="S550"/>
      <c r="T550" t="s">
        <v>3906</v>
      </c>
      <c r="U550" t="s">
        <v>3907</v>
      </c>
      <c r="V550"/>
      <c r="W550"/>
      <c r="X550"/>
      <c r="Y550"/>
      <c r="Z550"/>
      <c r="AA550"/>
      <c r="AB550"/>
      <c r="AC550"/>
      <c r="AD550"/>
      <c r="AE550"/>
      <c r="AF550"/>
      <c r="AG550"/>
      <c r="AH550">
        <v>8</v>
      </c>
      <c r="AI550">
        <v>8</v>
      </c>
      <c r="AJ550"/>
      <c r="AK550"/>
      <c r="AL550"/>
      <c r="AM550"/>
      <c r="AN550"/>
      <c r="AO550"/>
      <c r="AP550" t="s">
        <v>458</v>
      </c>
      <c r="AQ550"/>
      <c r="AR550"/>
      <c r="AS550"/>
      <c r="AT550" t="s">
        <v>385</v>
      </c>
      <c r="AU550">
        <v>2020</v>
      </c>
      <c r="AV550">
        <v>12</v>
      </c>
      <c r="AW550">
        <v>13</v>
      </c>
      <c r="AX550"/>
      <c r="AY550"/>
      <c r="AZ550"/>
      <c r="BA550"/>
      <c r="BB550"/>
      <c r="BC550"/>
      <c r="BD550">
        <v>5417</v>
      </c>
      <c r="BE550" t="s">
        <v>3908</v>
      </c>
      <c r="BF550" t="str">
        <f>HYPERLINK("http://dx.doi.org/10.3390/su12135417","http://dx.doi.org/10.3390/su12135417")</f>
        <v>http://dx.doi.org/10.3390/su12135417</v>
      </c>
      <c r="BG550"/>
      <c r="BH550"/>
      <c r="BI550"/>
      <c r="BJ550" t="s">
        <v>460</v>
      </c>
      <c r="BK550"/>
      <c r="BL550"/>
      <c r="BM550"/>
      <c r="BN550"/>
      <c r="BO550"/>
      <c r="BP550"/>
      <c r="BQ550"/>
      <c r="BR550"/>
      <c r="BS550"/>
      <c r="BT550" t="str">
        <f>HYPERLINK("https%3A%2F%2Fwww.webofscience.com%2Fwos%2Fwoscc%2Ffull-record%2F","View Full Record in Web of Science")</f>
        <v>View Full Record in Web of Science</v>
      </c>
    </row>
    <row r="551" spans="1:72" customHeight="1" ht="12.75">
      <c r="A551" t="s">
        <v>72</v>
      </c>
      <c r="B551" t="s">
        <v>3438</v>
      </c>
      <c r="C551"/>
      <c r="D551"/>
      <c r="E551"/>
      <c r="F551" t="s">
        <v>3439</v>
      </c>
      <c r="G551"/>
      <c r="H551"/>
      <c r="I551" t="s">
        <v>3909</v>
      </c>
      <c r="J551" t="s">
        <v>587</v>
      </c>
      <c r="K551"/>
      <c r="L551"/>
      <c r="M551"/>
      <c r="N551" t="s">
        <v>112</v>
      </c>
      <c r="O551"/>
      <c r="P551"/>
      <c r="Q551"/>
      <c r="R551"/>
      <c r="S551"/>
      <c r="T551" t="s">
        <v>3910</v>
      </c>
      <c r="U551" t="s">
        <v>3911</v>
      </c>
      <c r="V551"/>
      <c r="W551"/>
      <c r="X551"/>
      <c r="Y551"/>
      <c r="Z551"/>
      <c r="AA551"/>
      <c r="AB551"/>
      <c r="AC551"/>
      <c r="AD551"/>
      <c r="AE551"/>
      <c r="AF551"/>
      <c r="AG551"/>
      <c r="AH551">
        <v>5</v>
      </c>
      <c r="AI551">
        <v>5</v>
      </c>
      <c r="AJ551"/>
      <c r="AK551"/>
      <c r="AL551"/>
      <c r="AM551"/>
      <c r="AN551"/>
      <c r="AO551" t="s">
        <v>590</v>
      </c>
      <c r="AP551" t="s">
        <v>591</v>
      </c>
      <c r="AQ551"/>
      <c r="AR551"/>
      <c r="AS551"/>
      <c r="AT551" t="s">
        <v>3912</v>
      </c>
      <c r="AU551">
        <v>2020</v>
      </c>
      <c r="AV551">
        <v>246</v>
      </c>
      <c r="AW551"/>
      <c r="AX551"/>
      <c r="AY551"/>
      <c r="AZ551"/>
      <c r="BA551"/>
      <c r="BB551"/>
      <c r="BC551"/>
      <c r="BD551">
        <v>118975</v>
      </c>
      <c r="BE551" t="s">
        <v>3913</v>
      </c>
      <c r="BF551" t="str">
        <f>HYPERLINK("http://dx.doi.org/10.1016/j.jclepro.2019.118975","http://dx.doi.org/10.1016/j.jclepro.2019.118975")</f>
        <v>http://dx.doi.org/10.1016/j.jclepro.2019.118975</v>
      </c>
      <c r="BG551"/>
      <c r="BH551"/>
      <c r="BI551"/>
      <c r="BJ551" t="s">
        <v>139</v>
      </c>
      <c r="BK551"/>
      <c r="BL551"/>
      <c r="BM551"/>
      <c r="BN551"/>
      <c r="BO551"/>
      <c r="BP551"/>
      <c r="BQ551"/>
      <c r="BR551"/>
      <c r="BS551"/>
      <c r="BT551" t="str">
        <f>HYPERLINK("https%3A%2F%2Fwww.webofscience.com%2Fwos%2Fwoscc%2Ffull-record%2F","View Full Record in Web of Science")</f>
        <v>View Full Record in Web of Science</v>
      </c>
    </row>
    <row r="552" spans="1:72" customHeight="1" ht="12.75">
      <c r="A552" t="s">
        <v>72</v>
      </c>
      <c r="B552" t="s">
        <v>3914</v>
      </c>
      <c r="C552"/>
      <c r="D552"/>
      <c r="E552"/>
      <c r="F552" t="s">
        <v>3915</v>
      </c>
      <c r="G552"/>
      <c r="H552"/>
      <c r="I552" t="s">
        <v>3916</v>
      </c>
      <c r="J552" t="s">
        <v>697</v>
      </c>
      <c r="K552"/>
      <c r="L552"/>
      <c r="M552"/>
      <c r="N552" t="s">
        <v>325</v>
      </c>
      <c r="O552"/>
      <c r="P552"/>
      <c r="Q552"/>
      <c r="R552"/>
      <c r="S552"/>
      <c r="T552" t="s">
        <v>3917</v>
      </c>
      <c r="U552" t="s">
        <v>3918</v>
      </c>
      <c r="V552"/>
      <c r="W552"/>
      <c r="X552"/>
      <c r="Y552"/>
      <c r="Z552"/>
      <c r="AA552"/>
      <c r="AB552"/>
      <c r="AC552"/>
      <c r="AD552"/>
      <c r="AE552"/>
      <c r="AF552"/>
      <c r="AG552"/>
      <c r="AH552">
        <v>6</v>
      </c>
      <c r="AI552">
        <v>6</v>
      </c>
      <c r="AJ552"/>
      <c r="AK552"/>
      <c r="AL552"/>
      <c r="AM552"/>
      <c r="AN552"/>
      <c r="AO552" t="s">
        <v>699</v>
      </c>
      <c r="AP552" t="s">
        <v>700</v>
      </c>
      <c r="AQ552"/>
      <c r="AR552"/>
      <c r="AS552"/>
      <c r="AT552" t="s">
        <v>3399</v>
      </c>
      <c r="AU552">
        <v>2022</v>
      </c>
      <c r="AV552">
        <v>85</v>
      </c>
      <c r="AW552"/>
      <c r="AX552"/>
      <c r="AY552"/>
      <c r="AZ552"/>
      <c r="BA552"/>
      <c r="BB552"/>
      <c r="BC552"/>
      <c r="BD552">
        <v>104052</v>
      </c>
      <c r="BE552" t="s">
        <v>3919</v>
      </c>
      <c r="BF552" t="str">
        <f>HYPERLINK("http://dx.doi.org/10.1016/j.scs.2022.104052","http://dx.doi.org/10.1016/j.scs.2022.104052")</f>
        <v>http://dx.doi.org/10.1016/j.scs.2022.104052</v>
      </c>
      <c r="BG552"/>
      <c r="BH552" t="s">
        <v>3401</v>
      </c>
      <c r="BI552"/>
      <c r="BJ552" t="s">
        <v>702</v>
      </c>
      <c r="BK552"/>
      <c r="BL552"/>
      <c r="BM552"/>
      <c r="BN552"/>
      <c r="BO552"/>
      <c r="BP552"/>
      <c r="BQ552"/>
      <c r="BR552"/>
      <c r="BS552"/>
      <c r="BT552" t="str">
        <f>HYPERLINK("https%3A%2F%2Fwww.webofscience.com%2Fwos%2Fwoscc%2Ffull-record%2F","View Full Record in Web of Science")</f>
        <v>View Full Record in Web of Science</v>
      </c>
    </row>
    <row r="553" spans="1:72" customHeight="1" ht="12.75">
      <c r="A553" t="s">
        <v>72</v>
      </c>
      <c r="B553" t="s">
        <v>3920</v>
      </c>
      <c r="C553"/>
      <c r="D553"/>
      <c r="E553"/>
      <c r="F553" t="s">
        <v>3921</v>
      </c>
      <c r="G553"/>
      <c r="H553"/>
      <c r="I553" t="s">
        <v>3922</v>
      </c>
      <c r="J553" t="s">
        <v>3923</v>
      </c>
      <c r="K553"/>
      <c r="L553"/>
      <c r="M553"/>
      <c r="N553" t="s">
        <v>167</v>
      </c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>
        <v>1</v>
      </c>
      <c r="AI553">
        <v>1</v>
      </c>
      <c r="AJ553"/>
      <c r="AK553"/>
      <c r="AL553"/>
      <c r="AM553"/>
      <c r="AN553"/>
      <c r="AO553"/>
      <c r="AP553" t="s">
        <v>3924</v>
      </c>
      <c r="AQ553"/>
      <c r="AR553"/>
      <c r="AS553"/>
      <c r="AT553" t="s">
        <v>2130</v>
      </c>
      <c r="AU553">
        <v>2023</v>
      </c>
      <c r="AV553">
        <v>3</v>
      </c>
      <c r="AW553">
        <v>3</v>
      </c>
      <c r="AX553"/>
      <c r="AY553"/>
      <c r="AZ553"/>
      <c r="BA553"/>
      <c r="BB553"/>
      <c r="BC553"/>
      <c r="BD553">
        <v>30201</v>
      </c>
      <c r="BE553" t="s">
        <v>3925</v>
      </c>
      <c r="BF553" t="str">
        <f>HYPERLINK("http://dx.doi.org/10.1088/2634-4505/ace738","http://dx.doi.org/10.1088/2634-4505/ace738")</f>
        <v>http://dx.doi.org/10.1088/2634-4505/ace738</v>
      </c>
      <c r="BG553"/>
      <c r="BH553"/>
      <c r="BI553"/>
      <c r="BJ553" t="s">
        <v>460</v>
      </c>
      <c r="BK553"/>
      <c r="BL553"/>
      <c r="BM553"/>
      <c r="BN553"/>
      <c r="BO553"/>
      <c r="BP553"/>
      <c r="BQ553"/>
      <c r="BR553"/>
      <c r="BS553"/>
      <c r="BT553" t="str">
        <f>HYPERLINK("https%3A%2F%2Fwww.webofscience.com%2Fwos%2Fwoscc%2Ffull-record%2F","View Full Record in Web of Science")</f>
        <v>View Full Record in Web of Science</v>
      </c>
    </row>
    <row r="554" spans="1:72" customHeight="1" ht="12.75">
      <c r="A554" t="s">
        <v>72</v>
      </c>
      <c r="B554" t="s">
        <v>3926</v>
      </c>
      <c r="C554"/>
      <c r="D554"/>
      <c r="E554"/>
      <c r="F554" t="s">
        <v>3927</v>
      </c>
      <c r="G554"/>
      <c r="H554"/>
      <c r="I554" t="s">
        <v>3928</v>
      </c>
      <c r="J554" t="s">
        <v>3929</v>
      </c>
      <c r="K554"/>
      <c r="L554"/>
      <c r="M554"/>
      <c r="N554" t="s">
        <v>325</v>
      </c>
      <c r="O554"/>
      <c r="P554"/>
      <c r="Q554"/>
      <c r="R554"/>
      <c r="S554"/>
      <c r="T554" t="s">
        <v>3930</v>
      </c>
      <c r="U554" t="s">
        <v>3931</v>
      </c>
      <c r="V554"/>
      <c r="W554"/>
      <c r="X554"/>
      <c r="Y554"/>
      <c r="Z554"/>
      <c r="AA554"/>
      <c r="AB554"/>
      <c r="AC554"/>
      <c r="AD554"/>
      <c r="AE554"/>
      <c r="AF554"/>
      <c r="AG554"/>
      <c r="AH554">
        <v>9</v>
      </c>
      <c r="AI554">
        <v>11</v>
      </c>
      <c r="AJ554"/>
      <c r="AK554"/>
      <c r="AL554"/>
      <c r="AM554"/>
      <c r="AN554"/>
      <c r="AO554" t="s">
        <v>3932</v>
      </c>
      <c r="AP554" t="s">
        <v>3933</v>
      </c>
      <c r="AQ554"/>
      <c r="AR554"/>
      <c r="AS554"/>
      <c r="AT554" t="s">
        <v>888</v>
      </c>
      <c r="AU554">
        <v>2022</v>
      </c>
      <c r="AV554">
        <v>39</v>
      </c>
      <c r="AW554">
        <v>1</v>
      </c>
      <c r="AX554"/>
      <c r="AY554"/>
      <c r="AZ554"/>
      <c r="BA554"/>
      <c r="BB554">
        <v>371</v>
      </c>
      <c r="BC554">
        <v>383</v>
      </c>
      <c r="BD554"/>
      <c r="BE554" t="s">
        <v>3934</v>
      </c>
      <c r="BF554" t="str">
        <f>HYPERLINK("http://dx.doi.org/10.1007/s10460-021-10253-7","http://dx.doi.org/10.1007/s10460-021-10253-7")</f>
        <v>http://dx.doi.org/10.1007/s10460-021-10253-7</v>
      </c>
      <c r="BG554"/>
      <c r="BH554" t="s">
        <v>1289</v>
      </c>
      <c r="BI554"/>
      <c r="BJ554" t="s">
        <v>3935</v>
      </c>
      <c r="BK554"/>
      <c r="BL554"/>
      <c r="BM554"/>
      <c r="BN554"/>
      <c r="BO554"/>
      <c r="BP554"/>
      <c r="BQ554"/>
      <c r="BR554"/>
      <c r="BS554"/>
      <c r="BT554" t="str">
        <f>HYPERLINK("https%3A%2F%2Fwww.webofscience.com%2Fwos%2Fwoscc%2Ffull-record%2F","View Full Record in Web of Science")</f>
        <v>View Full Record in Web of Science</v>
      </c>
    </row>
    <row r="555" spans="1:72" customHeight="1" ht="12.75">
      <c r="A555" t="s">
        <v>72</v>
      </c>
      <c r="B555" t="s">
        <v>3936</v>
      </c>
      <c r="C555"/>
      <c r="D555"/>
      <c r="E555"/>
      <c r="F555" t="s">
        <v>3937</v>
      </c>
      <c r="G555"/>
      <c r="H555"/>
      <c r="I555" t="s">
        <v>3938</v>
      </c>
      <c r="J555" t="s">
        <v>133</v>
      </c>
      <c r="K555"/>
      <c r="L555"/>
      <c r="M555"/>
      <c r="N555" t="s">
        <v>112</v>
      </c>
      <c r="O555"/>
      <c r="P555"/>
      <c r="Q555"/>
      <c r="R555"/>
      <c r="S555"/>
      <c r="T555" t="s">
        <v>3939</v>
      </c>
      <c r="U555" t="s">
        <v>3940</v>
      </c>
      <c r="V555"/>
      <c r="W555"/>
      <c r="X555"/>
      <c r="Y555"/>
      <c r="Z555"/>
      <c r="AA555"/>
      <c r="AB555"/>
      <c r="AC555"/>
      <c r="AD555"/>
      <c r="AE555"/>
      <c r="AF555"/>
      <c r="AG555"/>
      <c r="AH555">
        <v>4</v>
      </c>
      <c r="AI555">
        <v>5</v>
      </c>
      <c r="AJ555"/>
      <c r="AK555"/>
      <c r="AL555"/>
      <c r="AM555"/>
      <c r="AN555"/>
      <c r="AO555" t="s">
        <v>136</v>
      </c>
      <c r="AP555" t="s">
        <v>137</v>
      </c>
      <c r="AQ555"/>
      <c r="AR555"/>
      <c r="AS555"/>
      <c r="AT555" t="s">
        <v>198</v>
      </c>
      <c r="AU555">
        <v>2018</v>
      </c>
      <c r="AV555">
        <v>22</v>
      </c>
      <c r="AW555">
        <v>5</v>
      </c>
      <c r="AX555"/>
      <c r="AY555"/>
      <c r="AZ555"/>
      <c r="BA555"/>
      <c r="BB555">
        <v>1189</v>
      </c>
      <c r="BC555">
        <v>1201</v>
      </c>
      <c r="BD555"/>
      <c r="BE555" t="s">
        <v>3941</v>
      </c>
      <c r="BF555" t="str">
        <f>HYPERLINK("http://dx.doi.org/10.1111/jiec.12651","http://dx.doi.org/10.1111/jiec.12651")</f>
        <v>http://dx.doi.org/10.1111/jiec.12651</v>
      </c>
      <c r="BG555"/>
      <c r="BH555"/>
      <c r="BI555"/>
      <c r="BJ555" t="s">
        <v>139</v>
      </c>
      <c r="BK555"/>
      <c r="BL555"/>
      <c r="BM555"/>
      <c r="BN555"/>
      <c r="BO555"/>
      <c r="BP555"/>
      <c r="BQ555"/>
      <c r="BR555"/>
      <c r="BS555"/>
      <c r="BT555" t="str">
        <f>HYPERLINK("https%3A%2F%2Fwww.webofscience.com%2Fwos%2Fwoscc%2Ffull-record%2F","View Full Record in Web of Science")</f>
        <v>View Full Record in Web of Science</v>
      </c>
    </row>
    <row r="556" spans="1:72" customHeight="1" ht="12.75">
      <c r="A556" t="s">
        <v>72</v>
      </c>
      <c r="B556" t="s">
        <v>3942</v>
      </c>
      <c r="C556"/>
      <c r="D556"/>
      <c r="E556"/>
      <c r="F556" t="s">
        <v>3943</v>
      </c>
      <c r="G556"/>
      <c r="H556"/>
      <c r="I556" t="s">
        <v>3944</v>
      </c>
      <c r="J556" t="s">
        <v>185</v>
      </c>
      <c r="K556"/>
      <c r="L556"/>
      <c r="M556"/>
      <c r="N556" t="s">
        <v>112</v>
      </c>
      <c r="O556"/>
      <c r="P556"/>
      <c r="Q556"/>
      <c r="R556"/>
      <c r="S556"/>
      <c r="T556" t="s">
        <v>3945</v>
      </c>
      <c r="U556" t="s">
        <v>3946</v>
      </c>
      <c r="V556"/>
      <c r="W556"/>
      <c r="X556"/>
      <c r="Y556"/>
      <c r="Z556"/>
      <c r="AA556"/>
      <c r="AB556"/>
      <c r="AC556"/>
      <c r="AD556"/>
      <c r="AE556"/>
      <c r="AF556"/>
      <c r="AG556"/>
      <c r="AH556">
        <v>26</v>
      </c>
      <c r="AI556">
        <v>28</v>
      </c>
      <c r="AJ556"/>
      <c r="AK556"/>
      <c r="AL556"/>
      <c r="AM556"/>
      <c r="AN556"/>
      <c r="AO556" t="s">
        <v>188</v>
      </c>
      <c r="AP556" t="s">
        <v>189</v>
      </c>
      <c r="AQ556"/>
      <c r="AR556"/>
      <c r="AS556"/>
      <c r="AT556" t="s">
        <v>190</v>
      </c>
      <c r="AU556">
        <v>2020</v>
      </c>
      <c r="AV556">
        <v>169</v>
      </c>
      <c r="AW556"/>
      <c r="AX556"/>
      <c r="AY556"/>
      <c r="AZ556"/>
      <c r="BA556"/>
      <c r="BB556"/>
      <c r="BC556"/>
      <c r="BD556">
        <v>106567</v>
      </c>
      <c r="BE556" t="s">
        <v>3947</v>
      </c>
      <c r="BF556" t="str">
        <f>HYPERLINK("http://dx.doi.org/10.1016/j.ecolecon.2019.106567","http://dx.doi.org/10.1016/j.ecolecon.2019.106567")</f>
        <v>http://dx.doi.org/10.1016/j.ecolecon.2019.106567</v>
      </c>
      <c r="BG556"/>
      <c r="BH556"/>
      <c r="BI556"/>
      <c r="BJ556" t="s">
        <v>192</v>
      </c>
      <c r="BK556"/>
      <c r="BL556"/>
      <c r="BM556"/>
      <c r="BN556"/>
      <c r="BO556"/>
      <c r="BP556"/>
      <c r="BQ556"/>
      <c r="BR556"/>
      <c r="BS556"/>
      <c r="BT556" t="str">
        <f>HYPERLINK("https%3A%2F%2Fwww.webofscience.com%2Fwos%2Fwoscc%2Ffull-record%2F","View Full Record in Web of Science")</f>
        <v>View Full Record in Web of Science</v>
      </c>
    </row>
    <row r="557" spans="1:72" customHeight="1" ht="12.75">
      <c r="A557" t="s">
        <v>72</v>
      </c>
      <c r="B557" t="s">
        <v>3948</v>
      </c>
      <c r="C557"/>
      <c r="D557"/>
      <c r="E557"/>
      <c r="F557" t="s">
        <v>3949</v>
      </c>
      <c r="G557"/>
      <c r="H557"/>
      <c r="I557" t="s">
        <v>3950</v>
      </c>
      <c r="J557" t="s">
        <v>3951</v>
      </c>
      <c r="K557"/>
      <c r="L557"/>
      <c r="M557"/>
      <c r="N557" t="s">
        <v>325</v>
      </c>
      <c r="O557"/>
      <c r="P557"/>
      <c r="Q557"/>
      <c r="R557"/>
      <c r="S557"/>
      <c r="T557" t="s">
        <v>3952</v>
      </c>
      <c r="U557" t="s">
        <v>3953</v>
      </c>
      <c r="V557"/>
      <c r="W557"/>
      <c r="X557"/>
      <c r="Y557"/>
      <c r="Z557"/>
      <c r="AA557"/>
      <c r="AB557"/>
      <c r="AC557"/>
      <c r="AD557"/>
      <c r="AE557"/>
      <c r="AF557"/>
      <c r="AG557"/>
      <c r="AH557">
        <v>0.0</v>
      </c>
      <c r="AI557">
        <v>0.0</v>
      </c>
      <c r="AJ557"/>
      <c r="AK557"/>
      <c r="AL557"/>
      <c r="AM557"/>
      <c r="AN557"/>
      <c r="AO557" t="s">
        <v>3954</v>
      </c>
      <c r="AP557" t="s">
        <v>3955</v>
      </c>
      <c r="AQ557"/>
      <c r="AR557"/>
      <c r="AS557"/>
      <c r="AT557" t="s">
        <v>3956</v>
      </c>
      <c r="AU557">
        <v>2023</v>
      </c>
      <c r="AV557"/>
      <c r="AW557"/>
      <c r="AX557"/>
      <c r="AY557"/>
      <c r="AZ557"/>
      <c r="BA557"/>
      <c r="BB557"/>
      <c r="BC557"/>
      <c r="BD557"/>
      <c r="BE557" t="s">
        <v>3957</v>
      </c>
      <c r="BF557" t="str">
        <f>HYPERLINK("http://dx.doi.org/10.1002/sd.2766","http://dx.doi.org/10.1002/sd.2766")</f>
        <v>http://dx.doi.org/10.1002/sd.2766</v>
      </c>
      <c r="BG557"/>
      <c r="BH557" t="s">
        <v>3346</v>
      </c>
      <c r="BI557"/>
      <c r="BJ557" t="s">
        <v>3958</v>
      </c>
      <c r="BK557"/>
      <c r="BL557"/>
      <c r="BM557"/>
      <c r="BN557"/>
      <c r="BO557"/>
      <c r="BP557"/>
      <c r="BQ557"/>
      <c r="BR557"/>
      <c r="BS557"/>
      <c r="BT557" t="str">
        <f>HYPERLINK("https%3A%2F%2Fwww.webofscience.com%2Fwos%2Fwoscc%2Ffull-record%2F","View Full Record in Web of Science")</f>
        <v>View Full Record in Web of Science</v>
      </c>
    </row>
    <row r="558" spans="1:72" customHeight="1" ht="12.75">
      <c r="A558" t="s">
        <v>72</v>
      </c>
      <c r="B558" t="s">
        <v>3959</v>
      </c>
      <c r="C558"/>
      <c r="D558"/>
      <c r="E558"/>
      <c r="F558" t="s">
        <v>3960</v>
      </c>
      <c r="G558"/>
      <c r="H558"/>
      <c r="I558" t="s">
        <v>3961</v>
      </c>
      <c r="J558" t="s">
        <v>185</v>
      </c>
      <c r="K558"/>
      <c r="L558"/>
      <c r="M558"/>
      <c r="N558" t="s">
        <v>112</v>
      </c>
      <c r="O558"/>
      <c r="P558"/>
      <c r="Q558"/>
      <c r="R558"/>
      <c r="S558"/>
      <c r="T558" t="s">
        <v>3962</v>
      </c>
      <c r="U558" t="s">
        <v>3963</v>
      </c>
      <c r="V558"/>
      <c r="W558"/>
      <c r="X558"/>
      <c r="Y558"/>
      <c r="Z558"/>
      <c r="AA558"/>
      <c r="AB558"/>
      <c r="AC558"/>
      <c r="AD558"/>
      <c r="AE558"/>
      <c r="AF558"/>
      <c r="AG558"/>
      <c r="AH558">
        <v>27</v>
      </c>
      <c r="AI558">
        <v>29</v>
      </c>
      <c r="AJ558"/>
      <c r="AK558"/>
      <c r="AL558"/>
      <c r="AM558"/>
      <c r="AN558"/>
      <c r="AO558" t="s">
        <v>188</v>
      </c>
      <c r="AP558" t="s">
        <v>189</v>
      </c>
      <c r="AQ558"/>
      <c r="AR558"/>
      <c r="AS558"/>
      <c r="AT558" t="s">
        <v>198</v>
      </c>
      <c r="AU558">
        <v>2015</v>
      </c>
      <c r="AV558">
        <v>118</v>
      </c>
      <c r="AW558"/>
      <c r="AX558"/>
      <c r="AY558"/>
      <c r="AZ558"/>
      <c r="BA558"/>
      <c r="BB558">
        <v>123</v>
      </c>
      <c r="BC558">
        <v>131</v>
      </c>
      <c r="BD558"/>
      <c r="BE558" t="s">
        <v>3964</v>
      </c>
      <c r="BF558" t="str">
        <f>HYPERLINK("http://dx.doi.org/10.1016/j.ecolecon.2015.07.019","http://dx.doi.org/10.1016/j.ecolecon.2015.07.019")</f>
        <v>http://dx.doi.org/10.1016/j.ecolecon.2015.07.019</v>
      </c>
      <c r="BG558"/>
      <c r="BH558"/>
      <c r="BI558"/>
      <c r="BJ558" t="s">
        <v>192</v>
      </c>
      <c r="BK558"/>
      <c r="BL558"/>
      <c r="BM558"/>
      <c r="BN558"/>
      <c r="BO558"/>
      <c r="BP558"/>
      <c r="BQ558"/>
      <c r="BR558"/>
      <c r="BS558"/>
      <c r="BT558" t="str">
        <f>HYPERLINK("https%3A%2F%2Fwww.webofscience.com%2Fwos%2Fwoscc%2Ffull-record%2F","View Full Record in Web of Science")</f>
        <v>View Full Record in Web of Science</v>
      </c>
    </row>
    <row r="559" spans="1:72" customHeight="1" ht="12.75">
      <c r="A559" t="s">
        <v>72</v>
      </c>
      <c r="B559" t="s">
        <v>3965</v>
      </c>
      <c r="C559"/>
      <c r="D559"/>
      <c r="E559"/>
      <c r="F559" t="s">
        <v>3966</v>
      </c>
      <c r="G559"/>
      <c r="H559"/>
      <c r="I559" t="s">
        <v>3967</v>
      </c>
      <c r="J559" t="s">
        <v>587</v>
      </c>
      <c r="K559"/>
      <c r="L559"/>
      <c r="M559"/>
      <c r="N559" t="s">
        <v>325</v>
      </c>
      <c r="O559"/>
      <c r="P559"/>
      <c r="Q559"/>
      <c r="R559"/>
      <c r="S559"/>
      <c r="T559" t="s">
        <v>3968</v>
      </c>
      <c r="U559" t="s">
        <v>3969</v>
      </c>
      <c r="V559"/>
      <c r="W559"/>
      <c r="X559"/>
      <c r="Y559"/>
      <c r="Z559"/>
      <c r="AA559"/>
      <c r="AB559"/>
      <c r="AC559"/>
      <c r="AD559"/>
      <c r="AE559"/>
      <c r="AF559"/>
      <c r="AG559"/>
      <c r="AH559">
        <v>0.0</v>
      </c>
      <c r="AI559">
        <v>0.0</v>
      </c>
      <c r="AJ559"/>
      <c r="AK559"/>
      <c r="AL559"/>
      <c r="AM559"/>
      <c r="AN559"/>
      <c r="AO559" t="s">
        <v>590</v>
      </c>
      <c r="AP559" t="s">
        <v>591</v>
      </c>
      <c r="AQ559"/>
      <c r="AR559"/>
      <c r="AS559"/>
      <c r="AT559" t="s">
        <v>3970</v>
      </c>
      <c r="AU559">
        <v>2023</v>
      </c>
      <c r="AV559">
        <v>412</v>
      </c>
      <c r="AW559"/>
      <c r="AX559"/>
      <c r="AY559"/>
      <c r="AZ559"/>
      <c r="BA559"/>
      <c r="BB559"/>
      <c r="BC559"/>
      <c r="BD559">
        <v>137379</v>
      </c>
      <c r="BE559" t="s">
        <v>3971</v>
      </c>
      <c r="BF559" t="str">
        <f>HYPERLINK("http://dx.doi.org/10.1016/j.jclepro.2023.137379","http://dx.doi.org/10.1016/j.jclepro.2023.137379")</f>
        <v>http://dx.doi.org/10.1016/j.jclepro.2023.137379</v>
      </c>
      <c r="BG559"/>
      <c r="BH559" t="s">
        <v>298</v>
      </c>
      <c r="BI559"/>
      <c r="BJ559" t="s">
        <v>139</v>
      </c>
      <c r="BK559"/>
      <c r="BL559"/>
      <c r="BM559"/>
      <c r="BN559"/>
      <c r="BO559"/>
      <c r="BP559"/>
      <c r="BQ559"/>
      <c r="BR559"/>
      <c r="BS559"/>
      <c r="BT559" t="str">
        <f>HYPERLINK("https%3A%2F%2Fwww.webofscience.com%2Fwos%2Fwoscc%2Ffull-record%2F","View Full Record in Web of Science")</f>
        <v>View Full Record in Web of Science</v>
      </c>
    </row>
    <row r="560" spans="1:72" customHeight="1" ht="12.75">
      <c r="A560" t="s">
        <v>72</v>
      </c>
      <c r="B560" t="s">
        <v>1052</v>
      </c>
      <c r="C560"/>
      <c r="D560"/>
      <c r="E560"/>
      <c r="F560" t="s">
        <v>1053</v>
      </c>
      <c r="G560"/>
      <c r="H560"/>
      <c r="I560" t="s">
        <v>3972</v>
      </c>
      <c r="J560" t="s">
        <v>697</v>
      </c>
      <c r="K560"/>
      <c r="L560"/>
      <c r="M560"/>
      <c r="N560" t="s">
        <v>112</v>
      </c>
      <c r="O560"/>
      <c r="P560"/>
      <c r="Q560"/>
      <c r="R560"/>
      <c r="S560"/>
      <c r="T560" t="s">
        <v>3973</v>
      </c>
      <c r="U560" t="s">
        <v>3974</v>
      </c>
      <c r="V560"/>
      <c r="W560"/>
      <c r="X560"/>
      <c r="Y560"/>
      <c r="Z560"/>
      <c r="AA560"/>
      <c r="AB560"/>
      <c r="AC560"/>
      <c r="AD560"/>
      <c r="AE560"/>
      <c r="AF560"/>
      <c r="AG560"/>
      <c r="AH560">
        <v>14</v>
      </c>
      <c r="AI560">
        <v>14</v>
      </c>
      <c r="AJ560"/>
      <c r="AK560"/>
      <c r="AL560"/>
      <c r="AM560"/>
      <c r="AN560"/>
      <c r="AO560" t="s">
        <v>699</v>
      </c>
      <c r="AP560" t="s">
        <v>700</v>
      </c>
      <c r="AQ560"/>
      <c r="AR560"/>
      <c r="AS560"/>
      <c r="AT560" t="s">
        <v>117</v>
      </c>
      <c r="AU560">
        <v>2018</v>
      </c>
      <c r="AV560">
        <v>39</v>
      </c>
      <c r="AW560"/>
      <c r="AX560"/>
      <c r="AY560"/>
      <c r="AZ560"/>
      <c r="BA560"/>
      <c r="BB560">
        <v>335</v>
      </c>
      <c r="BC560">
        <v>343</v>
      </c>
      <c r="BD560"/>
      <c r="BE560" t="s">
        <v>3975</v>
      </c>
      <c r="BF560" t="str">
        <f>HYPERLINK("http://dx.doi.org/10.1016/j.scs.2018.03.001","http://dx.doi.org/10.1016/j.scs.2018.03.001")</f>
        <v>http://dx.doi.org/10.1016/j.scs.2018.03.001</v>
      </c>
      <c r="BG560"/>
      <c r="BH560"/>
      <c r="BI560"/>
      <c r="BJ560" t="s">
        <v>702</v>
      </c>
      <c r="BK560"/>
      <c r="BL560"/>
      <c r="BM560"/>
      <c r="BN560"/>
      <c r="BO560"/>
      <c r="BP560"/>
      <c r="BQ560"/>
      <c r="BR560"/>
      <c r="BS560"/>
      <c r="BT560" t="str">
        <f>HYPERLINK("https%3A%2F%2Fwww.webofscience.com%2Fwos%2Fwoscc%2Ffull-record%2F","View Full Record in Web of Science")</f>
        <v>View Full Record in Web of Science</v>
      </c>
    </row>
    <row r="561" spans="1:72" customHeight="1" ht="12.75">
      <c r="A561" t="s">
        <v>72</v>
      </c>
      <c r="B561" t="s">
        <v>3976</v>
      </c>
      <c r="C561"/>
      <c r="D561"/>
      <c r="E561"/>
      <c r="F561" t="s">
        <v>3977</v>
      </c>
      <c r="G561"/>
      <c r="H561"/>
      <c r="I561" t="s">
        <v>3978</v>
      </c>
      <c r="J561" t="s">
        <v>3355</v>
      </c>
      <c r="K561"/>
      <c r="L561"/>
      <c r="M561"/>
      <c r="N561" t="s">
        <v>112</v>
      </c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>
        <v>1</v>
      </c>
      <c r="AI561">
        <v>1</v>
      </c>
      <c r="AJ561"/>
      <c r="AK561"/>
      <c r="AL561"/>
      <c r="AM561"/>
      <c r="AN561"/>
      <c r="AO561" t="s">
        <v>3357</v>
      </c>
      <c r="AP561" t="s">
        <v>3358</v>
      </c>
      <c r="AQ561"/>
      <c r="AR561"/>
      <c r="AS561"/>
      <c r="AT561" t="s">
        <v>3979</v>
      </c>
      <c r="AU561">
        <v>2023</v>
      </c>
      <c r="AV561">
        <v>9</v>
      </c>
      <c r="AW561"/>
      <c r="AX561"/>
      <c r="AY561"/>
      <c r="AZ561"/>
      <c r="BA561"/>
      <c r="BB561"/>
      <c r="BC561"/>
      <c r="BD561">
        <v>84</v>
      </c>
      <c r="BE561" t="s">
        <v>3980</v>
      </c>
      <c r="BF561" t="str">
        <f>HYPERLINK("http://dx.doi.org/10.34133/ehs.0084","http://dx.doi.org/10.34133/ehs.0084")</f>
        <v>http://dx.doi.org/10.34133/ehs.0084</v>
      </c>
      <c r="BG561"/>
      <c r="BH561"/>
      <c r="BI561"/>
      <c r="BJ561" t="s">
        <v>3361</v>
      </c>
      <c r="BK561"/>
      <c r="BL561"/>
      <c r="BM561"/>
      <c r="BN561"/>
      <c r="BO561"/>
      <c r="BP561"/>
      <c r="BQ561"/>
      <c r="BR561"/>
      <c r="BS561"/>
      <c r="BT561" t="str">
        <f>HYPERLINK("https%3A%2F%2Fwww.webofscience.com%2Fwos%2Fwoscc%2Ffull-record%2F","View Full Record in Web of Science")</f>
        <v>View Full Record in Web of Science</v>
      </c>
    </row>
    <row r="562" spans="1:72" customHeight="1" ht="12.75">
      <c r="A562" t="s">
        <v>72</v>
      </c>
      <c r="B562" t="s">
        <v>3981</v>
      </c>
      <c r="C562"/>
      <c r="D562"/>
      <c r="E562"/>
      <c r="F562" t="s">
        <v>3982</v>
      </c>
      <c r="G562"/>
      <c r="H562"/>
      <c r="I562" t="s">
        <v>3983</v>
      </c>
      <c r="J562" t="s">
        <v>98</v>
      </c>
      <c r="K562"/>
      <c r="L562"/>
      <c r="M562"/>
      <c r="N562" t="s">
        <v>112</v>
      </c>
      <c r="O562"/>
      <c r="P562"/>
      <c r="Q562"/>
      <c r="R562"/>
      <c r="S562"/>
      <c r="T562" t="s">
        <v>3984</v>
      </c>
      <c r="U562" t="s">
        <v>3985</v>
      </c>
      <c r="V562"/>
      <c r="W562"/>
      <c r="X562"/>
      <c r="Y562"/>
      <c r="Z562"/>
      <c r="AA562"/>
      <c r="AB562"/>
      <c r="AC562"/>
      <c r="AD562"/>
      <c r="AE562"/>
      <c r="AF562"/>
      <c r="AG562"/>
      <c r="AH562">
        <v>74</v>
      </c>
      <c r="AI562">
        <v>90</v>
      </c>
      <c r="AJ562"/>
      <c r="AK562"/>
      <c r="AL562"/>
      <c r="AM562"/>
      <c r="AN562"/>
      <c r="AO562" t="s">
        <v>102</v>
      </c>
      <c r="AP562" t="s">
        <v>103</v>
      </c>
      <c r="AQ562"/>
      <c r="AR562"/>
      <c r="AS562"/>
      <c r="AT562" t="s">
        <v>352</v>
      </c>
      <c r="AU562">
        <v>2017</v>
      </c>
      <c r="AV562">
        <v>165</v>
      </c>
      <c r="AW562"/>
      <c r="AX562"/>
      <c r="AY562"/>
      <c r="AZ562"/>
      <c r="BA562"/>
      <c r="BB562">
        <v>130</v>
      </c>
      <c r="BC562">
        <v>141</v>
      </c>
      <c r="BD562"/>
      <c r="BE562" t="s">
        <v>3986</v>
      </c>
      <c r="BF562" t="str">
        <f>HYPERLINK("http://dx.doi.org/10.1016/j.landurbplan.2017.04.015","http://dx.doi.org/10.1016/j.landurbplan.2017.04.015")</f>
        <v>http://dx.doi.org/10.1016/j.landurbplan.2017.04.015</v>
      </c>
      <c r="BG562"/>
      <c r="BH562"/>
      <c r="BI562"/>
      <c r="BJ562" t="s">
        <v>107</v>
      </c>
      <c r="BK562"/>
      <c r="BL562"/>
      <c r="BM562"/>
      <c r="BN562"/>
      <c r="BO562"/>
      <c r="BP562"/>
      <c r="BQ562"/>
      <c r="BR562"/>
      <c r="BS562"/>
      <c r="BT562" t="str">
        <f>HYPERLINK("https%3A%2F%2Fwww.webofscience.com%2Fwos%2Fwoscc%2Ffull-record%2F","View Full Record in Web of Science")</f>
        <v>View Full Record in Web of Science</v>
      </c>
    </row>
    <row r="563" spans="1:72" customHeight="1" ht="12.75">
      <c r="A563" t="s">
        <v>72</v>
      </c>
      <c r="B563" t="s">
        <v>3987</v>
      </c>
      <c r="C563"/>
      <c r="D563"/>
      <c r="E563"/>
      <c r="F563" t="s">
        <v>3988</v>
      </c>
      <c r="G563"/>
      <c r="H563"/>
      <c r="I563" t="s">
        <v>3989</v>
      </c>
      <c r="J563" t="s">
        <v>3990</v>
      </c>
      <c r="K563"/>
      <c r="L563"/>
      <c r="M563"/>
      <c r="N563" t="s">
        <v>112</v>
      </c>
      <c r="O563"/>
      <c r="P563"/>
      <c r="Q563"/>
      <c r="R563"/>
      <c r="S563"/>
      <c r="T563" t="s">
        <v>3991</v>
      </c>
      <c r="U563" t="s">
        <v>3992</v>
      </c>
      <c r="V563"/>
      <c r="W563"/>
      <c r="X563"/>
      <c r="Y563"/>
      <c r="Z563"/>
      <c r="AA563"/>
      <c r="AB563"/>
      <c r="AC563"/>
      <c r="AD563"/>
      <c r="AE563"/>
      <c r="AF563"/>
      <c r="AG563"/>
      <c r="AH563">
        <v>14</v>
      </c>
      <c r="AI563">
        <v>17</v>
      </c>
      <c r="AJ563"/>
      <c r="AK563"/>
      <c r="AL563"/>
      <c r="AM563"/>
      <c r="AN563"/>
      <c r="AO563" t="s">
        <v>3993</v>
      </c>
      <c r="AP563" t="s">
        <v>3994</v>
      </c>
      <c r="AQ563"/>
      <c r="AR563"/>
      <c r="AS563"/>
      <c r="AT563" t="s">
        <v>117</v>
      </c>
      <c r="AU563">
        <v>2021</v>
      </c>
      <c r="AV563">
        <v>11</v>
      </c>
      <c r="AW563">
        <v>4</v>
      </c>
      <c r="AX563"/>
      <c r="AY563"/>
      <c r="AZ563" t="s">
        <v>222</v>
      </c>
      <c r="BA563"/>
      <c r="BB563">
        <v>311</v>
      </c>
      <c r="BC563">
        <v>340</v>
      </c>
      <c r="BD563"/>
      <c r="BE563" t="s">
        <v>3995</v>
      </c>
      <c r="BF563" t="str">
        <f>HYPERLINK("http://dx.doi.org/10.1007/s41060-020-00207-3","http://dx.doi.org/10.1007/s41060-020-00207-3")</f>
        <v>http://dx.doi.org/10.1007/s41060-020-00207-3</v>
      </c>
      <c r="BG563"/>
      <c r="BH563"/>
      <c r="BI563"/>
      <c r="BJ563" t="s">
        <v>3996</v>
      </c>
      <c r="BK563"/>
      <c r="BL563"/>
      <c r="BM563"/>
      <c r="BN563"/>
      <c r="BO563"/>
      <c r="BP563"/>
      <c r="BQ563"/>
      <c r="BR563"/>
      <c r="BS563"/>
      <c r="BT563" t="str">
        <f>HYPERLINK("https%3A%2F%2Fwww.webofscience.com%2Fwos%2Fwoscc%2Ffull-record%2F","View Full Record in Web of Science")</f>
        <v>View Full Record in Web of Science</v>
      </c>
    </row>
    <row r="564" spans="1:72" customHeight="1" ht="12.75">
      <c r="A564" t="s">
        <v>72</v>
      </c>
      <c r="B564" t="s">
        <v>3997</v>
      </c>
      <c r="C564"/>
      <c r="D564"/>
      <c r="E564"/>
      <c r="F564" t="s">
        <v>3998</v>
      </c>
      <c r="G564"/>
      <c r="H564"/>
      <c r="I564" t="s">
        <v>3999</v>
      </c>
      <c r="J564" t="s">
        <v>572</v>
      </c>
      <c r="K564"/>
      <c r="L564"/>
      <c r="M564"/>
      <c r="N564" t="s">
        <v>112</v>
      </c>
      <c r="O564"/>
      <c r="P564"/>
      <c r="Q564"/>
      <c r="R564"/>
      <c r="S564"/>
      <c r="T564" t="s">
        <v>4000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>
        <v>6</v>
      </c>
      <c r="AI564">
        <v>6</v>
      </c>
      <c r="AJ564"/>
      <c r="AK564"/>
      <c r="AL564"/>
      <c r="AM564"/>
      <c r="AN564"/>
      <c r="AO564" t="s">
        <v>573</v>
      </c>
      <c r="AP564" t="s">
        <v>574</v>
      </c>
      <c r="AQ564"/>
      <c r="AR564"/>
      <c r="AS564"/>
      <c r="AT564" t="s">
        <v>128</v>
      </c>
      <c r="AU564">
        <v>2020</v>
      </c>
      <c r="AV564">
        <v>38</v>
      </c>
      <c r="AW564">
        <v>12</v>
      </c>
      <c r="AX564"/>
      <c r="AY564"/>
      <c r="AZ564"/>
      <c r="BA564"/>
      <c r="BB564">
        <v>1405</v>
      </c>
      <c r="BC564">
        <v>1419</v>
      </c>
      <c r="BD564"/>
      <c r="BE564" t="s">
        <v>4001</v>
      </c>
      <c r="BF564" t="str">
        <f>HYPERLINK("http://dx.doi.org/10.1177/0734242X20965676","http://dx.doi.org/10.1177/0734242X20965676")</f>
        <v>http://dx.doi.org/10.1177/0734242X20965676</v>
      </c>
      <c r="BG564"/>
      <c r="BH564"/>
      <c r="BI564"/>
      <c r="BJ564" t="s">
        <v>119</v>
      </c>
      <c r="BK564"/>
      <c r="BL564"/>
      <c r="BM564"/>
      <c r="BN564"/>
      <c r="BO564"/>
      <c r="BP564"/>
      <c r="BQ564"/>
      <c r="BR564"/>
      <c r="BS564"/>
      <c r="BT564" t="str">
        <f>HYPERLINK("https%3A%2F%2Fwww.webofscience.com%2Fwos%2Fwoscc%2Ffull-record%2F","View Full Record in Web of Science")</f>
        <v>View Full Record in Web of Science</v>
      </c>
    </row>
    <row r="565" spans="1:72" customHeight="1" ht="12.75">
      <c r="A565" t="s">
        <v>72</v>
      </c>
      <c r="B565" t="s">
        <v>4002</v>
      </c>
      <c r="C565"/>
      <c r="D565"/>
      <c r="E565"/>
      <c r="F565" t="s">
        <v>4003</v>
      </c>
      <c r="G565"/>
      <c r="H565"/>
      <c r="I565" t="s">
        <v>4004</v>
      </c>
      <c r="J565" t="s">
        <v>587</v>
      </c>
      <c r="K565"/>
      <c r="L565"/>
      <c r="M565"/>
      <c r="N565" t="s">
        <v>112</v>
      </c>
      <c r="O565"/>
      <c r="P565"/>
      <c r="Q565"/>
      <c r="R565"/>
      <c r="S565"/>
      <c r="T565" t="s">
        <v>4005</v>
      </c>
      <c r="U565" t="s">
        <v>4006</v>
      </c>
      <c r="V565"/>
      <c r="W565"/>
      <c r="X565"/>
      <c r="Y565"/>
      <c r="Z565"/>
      <c r="AA565"/>
      <c r="AB565"/>
      <c r="AC565"/>
      <c r="AD565"/>
      <c r="AE565"/>
      <c r="AF565"/>
      <c r="AG565"/>
      <c r="AH565">
        <v>15</v>
      </c>
      <c r="AI565">
        <v>15</v>
      </c>
      <c r="AJ565"/>
      <c r="AK565"/>
      <c r="AL565"/>
      <c r="AM565"/>
      <c r="AN565"/>
      <c r="AO565" t="s">
        <v>590</v>
      </c>
      <c r="AP565" t="s">
        <v>591</v>
      </c>
      <c r="AQ565"/>
      <c r="AR565"/>
      <c r="AS565"/>
      <c r="AT565" t="s">
        <v>362</v>
      </c>
      <c r="AU565">
        <v>2017</v>
      </c>
      <c r="AV565">
        <v>153</v>
      </c>
      <c r="AW565">
        <v>1</v>
      </c>
      <c r="AX565"/>
      <c r="AY565"/>
      <c r="AZ565"/>
      <c r="BA565"/>
      <c r="BB565">
        <v>425</v>
      </c>
      <c r="BC565">
        <v>434</v>
      </c>
      <c r="BD565"/>
      <c r="BE565" t="s">
        <v>4007</v>
      </c>
      <c r="BF565" t="str">
        <f>HYPERLINK("http://dx.doi.org/10.1016/j.jclepro.2016.11.018","http://dx.doi.org/10.1016/j.jclepro.2016.11.018")</f>
        <v>http://dx.doi.org/10.1016/j.jclepro.2016.11.018</v>
      </c>
      <c r="BG565"/>
      <c r="BH565"/>
      <c r="BI565"/>
      <c r="BJ565" t="s">
        <v>139</v>
      </c>
      <c r="BK565"/>
      <c r="BL565"/>
      <c r="BM565"/>
      <c r="BN565"/>
      <c r="BO565"/>
      <c r="BP565"/>
      <c r="BQ565"/>
      <c r="BR565"/>
      <c r="BS565"/>
      <c r="BT565" t="str">
        <f>HYPERLINK("https%3A%2F%2Fwww.webofscience.com%2Fwos%2Fwoscc%2Ffull-record%2F","View Full Record in Web of Science")</f>
        <v>View Full Record in Web of Science</v>
      </c>
    </row>
    <row r="566" spans="1:72" customHeight="1" ht="12.75">
      <c r="A566" t="s">
        <v>72</v>
      </c>
      <c r="B566" t="s">
        <v>4008</v>
      </c>
      <c r="C566"/>
      <c r="D566"/>
      <c r="E566"/>
      <c r="F566" t="s">
        <v>4009</v>
      </c>
      <c r="G566"/>
      <c r="H566"/>
      <c r="I566" t="s">
        <v>4010</v>
      </c>
      <c r="J566" t="s">
        <v>4011</v>
      </c>
      <c r="K566"/>
      <c r="L566"/>
      <c r="M566"/>
      <c r="N566" t="s">
        <v>112</v>
      </c>
      <c r="O566"/>
      <c r="P566"/>
      <c r="Q566"/>
      <c r="R566"/>
      <c r="S566"/>
      <c r="T566" t="s">
        <v>4012</v>
      </c>
      <c r="U566" t="s">
        <v>4013</v>
      </c>
      <c r="V566"/>
      <c r="W566"/>
      <c r="X566"/>
      <c r="Y566"/>
      <c r="Z566"/>
      <c r="AA566"/>
      <c r="AB566"/>
      <c r="AC566"/>
      <c r="AD566"/>
      <c r="AE566"/>
      <c r="AF566"/>
      <c r="AG566"/>
      <c r="AH566">
        <v>12</v>
      </c>
      <c r="AI566">
        <v>12</v>
      </c>
      <c r="AJ566"/>
      <c r="AK566"/>
      <c r="AL566"/>
      <c r="AM566"/>
      <c r="AN566"/>
      <c r="AO566" t="s">
        <v>4014</v>
      </c>
      <c r="AP566" t="s">
        <v>4015</v>
      </c>
      <c r="AQ566"/>
      <c r="AR566"/>
      <c r="AS566"/>
      <c r="AT566" t="s">
        <v>362</v>
      </c>
      <c r="AU566">
        <v>2014</v>
      </c>
      <c r="AV566">
        <v>8</v>
      </c>
      <c r="AW566">
        <v>2</v>
      </c>
      <c r="AX566"/>
      <c r="AY566"/>
      <c r="AZ566"/>
      <c r="BA566"/>
      <c r="BB566">
        <v>190</v>
      </c>
      <c r="BC566">
        <v>201</v>
      </c>
      <c r="BD566"/>
      <c r="BE566" t="s">
        <v>4016</v>
      </c>
      <c r="BF566" t="str">
        <f>HYPERLINK("http://dx.doi.org/10.1007/s11707-014-0407-1","http://dx.doi.org/10.1007/s11707-014-0407-1")</f>
        <v>http://dx.doi.org/10.1007/s11707-014-0407-1</v>
      </c>
      <c r="BG566"/>
      <c r="BH566"/>
      <c r="BI566"/>
      <c r="BJ566" t="s">
        <v>2986</v>
      </c>
      <c r="BK566"/>
      <c r="BL566"/>
      <c r="BM566"/>
      <c r="BN566"/>
      <c r="BO566"/>
      <c r="BP566"/>
      <c r="BQ566"/>
      <c r="BR566"/>
      <c r="BS566"/>
      <c r="BT566" t="str">
        <f>HYPERLINK("https%3A%2F%2Fwww.webofscience.com%2Fwos%2Fwoscc%2Ffull-record%2F","View Full Record in Web of Science")</f>
        <v>View Full Record in Web of Science</v>
      </c>
    </row>
    <row r="567" spans="1:72" customHeight="1" ht="12.75">
      <c r="A567" t="s">
        <v>72</v>
      </c>
      <c r="B567" t="s">
        <v>4017</v>
      </c>
      <c r="C567"/>
      <c r="D567"/>
      <c r="E567"/>
      <c r="F567" t="s">
        <v>4018</v>
      </c>
      <c r="G567"/>
      <c r="H567"/>
      <c r="I567" t="s">
        <v>4019</v>
      </c>
      <c r="J567" t="s">
        <v>457</v>
      </c>
      <c r="K567"/>
      <c r="L567"/>
      <c r="M567"/>
      <c r="N567" t="s">
        <v>112</v>
      </c>
      <c r="O567"/>
      <c r="P567"/>
      <c r="Q567"/>
      <c r="R567"/>
      <c r="S567"/>
      <c r="T567" t="s">
        <v>4020</v>
      </c>
      <c r="U567" t="s">
        <v>4021</v>
      </c>
      <c r="V567"/>
      <c r="W567"/>
      <c r="X567"/>
      <c r="Y567"/>
      <c r="Z567"/>
      <c r="AA567"/>
      <c r="AB567"/>
      <c r="AC567"/>
      <c r="AD567"/>
      <c r="AE567"/>
      <c r="AF567"/>
      <c r="AG567"/>
      <c r="AH567">
        <v>3</v>
      </c>
      <c r="AI567">
        <v>3</v>
      </c>
      <c r="AJ567"/>
      <c r="AK567"/>
      <c r="AL567"/>
      <c r="AM567"/>
      <c r="AN567"/>
      <c r="AO567"/>
      <c r="AP567" t="s">
        <v>458</v>
      </c>
      <c r="AQ567"/>
      <c r="AR567"/>
      <c r="AS567"/>
      <c r="AT567" t="s">
        <v>117</v>
      </c>
      <c r="AU567">
        <v>2022</v>
      </c>
      <c r="AV567">
        <v>14</v>
      </c>
      <c r="AW567">
        <v>9</v>
      </c>
      <c r="AX567"/>
      <c r="AY567"/>
      <c r="AZ567"/>
      <c r="BA567"/>
      <c r="BB567"/>
      <c r="BC567"/>
      <c r="BD567">
        <v>5386</v>
      </c>
      <c r="BE567" t="s">
        <v>4022</v>
      </c>
      <c r="BF567" t="str">
        <f>HYPERLINK("http://dx.doi.org/10.3390/su14095386","http://dx.doi.org/10.3390/su14095386")</f>
        <v>http://dx.doi.org/10.3390/su14095386</v>
      </c>
      <c r="BG567"/>
      <c r="BH567"/>
      <c r="BI567"/>
      <c r="BJ567" t="s">
        <v>460</v>
      </c>
      <c r="BK567"/>
      <c r="BL567"/>
      <c r="BM567"/>
      <c r="BN567"/>
      <c r="BO567"/>
      <c r="BP567"/>
      <c r="BQ567"/>
      <c r="BR567"/>
      <c r="BS567"/>
      <c r="BT567" t="str">
        <f>HYPERLINK("https%3A%2F%2Fwww.webofscience.com%2Fwos%2Fwoscc%2Ffull-record%2F","View Full Record in Web of Science")</f>
        <v>View Full Record in Web of Science</v>
      </c>
    </row>
    <row r="568" spans="1:72" customHeight="1" ht="12.75">
      <c r="A568" t="s">
        <v>72</v>
      </c>
      <c r="B568" t="s">
        <v>4023</v>
      </c>
      <c r="C568"/>
      <c r="D568"/>
      <c r="E568"/>
      <c r="F568" t="s">
        <v>4024</v>
      </c>
      <c r="G568"/>
      <c r="H568"/>
      <c r="I568" t="s">
        <v>4025</v>
      </c>
      <c r="J568" t="s">
        <v>587</v>
      </c>
      <c r="K568"/>
      <c r="L568"/>
      <c r="M568"/>
      <c r="N568" t="s">
        <v>112</v>
      </c>
      <c r="O568"/>
      <c r="P568"/>
      <c r="Q568"/>
      <c r="R568"/>
      <c r="S568"/>
      <c r="T568" t="s">
        <v>4026</v>
      </c>
      <c r="U568" t="s">
        <v>4027</v>
      </c>
      <c r="V568"/>
      <c r="W568"/>
      <c r="X568"/>
      <c r="Y568"/>
      <c r="Z568"/>
      <c r="AA568"/>
      <c r="AB568"/>
      <c r="AC568"/>
      <c r="AD568"/>
      <c r="AE568"/>
      <c r="AF568"/>
      <c r="AG568"/>
      <c r="AH568">
        <v>62</v>
      </c>
      <c r="AI568">
        <v>64</v>
      </c>
      <c r="AJ568"/>
      <c r="AK568"/>
      <c r="AL568"/>
      <c r="AM568"/>
      <c r="AN568"/>
      <c r="AO568" t="s">
        <v>590</v>
      </c>
      <c r="AP568" t="s">
        <v>591</v>
      </c>
      <c r="AQ568"/>
      <c r="AR568"/>
      <c r="AS568"/>
      <c r="AT568" t="s">
        <v>1637</v>
      </c>
      <c r="AU568">
        <v>2018</v>
      </c>
      <c r="AV568">
        <v>200</v>
      </c>
      <c r="AW568"/>
      <c r="AX568"/>
      <c r="AY568"/>
      <c r="AZ568"/>
      <c r="BA568"/>
      <c r="BB568">
        <v>922</v>
      </c>
      <c r="BC568">
        <v>933</v>
      </c>
      <c r="BD568"/>
      <c r="BE568" t="s">
        <v>4028</v>
      </c>
      <c r="BF568" t="str">
        <f>HYPERLINK("http://dx.doi.org/10.1016/j.jclepro.2018.07.298","http://dx.doi.org/10.1016/j.jclepro.2018.07.298")</f>
        <v>http://dx.doi.org/10.1016/j.jclepro.2018.07.298</v>
      </c>
      <c r="BG568"/>
      <c r="BH568"/>
      <c r="BI568"/>
      <c r="BJ568" t="s">
        <v>139</v>
      </c>
      <c r="BK568"/>
      <c r="BL568"/>
      <c r="BM568"/>
      <c r="BN568"/>
      <c r="BO568"/>
      <c r="BP568"/>
      <c r="BQ568"/>
      <c r="BR568"/>
      <c r="BS568"/>
      <c r="BT568" t="str">
        <f>HYPERLINK("https%3A%2F%2Fwww.webofscience.com%2Fwos%2Fwoscc%2Ffull-record%2F","View Full Record in Web of Science")</f>
        <v>View Full Record in Web of Science</v>
      </c>
    </row>
    <row r="569" spans="1:72" customHeight="1" ht="12.75">
      <c r="A569" t="s">
        <v>72</v>
      </c>
      <c r="B569" t="s">
        <v>4029</v>
      </c>
      <c r="C569"/>
      <c r="D569"/>
      <c r="E569"/>
      <c r="F569" t="s">
        <v>4030</v>
      </c>
      <c r="G569"/>
      <c r="H569"/>
      <c r="I569" t="s">
        <v>4031</v>
      </c>
      <c r="J569" t="s">
        <v>697</v>
      </c>
      <c r="K569"/>
      <c r="L569"/>
      <c r="M569"/>
      <c r="N569" t="s">
        <v>112</v>
      </c>
      <c r="O569"/>
      <c r="P569"/>
      <c r="Q569"/>
      <c r="R569"/>
      <c r="S569"/>
      <c r="T569" t="s">
        <v>4032</v>
      </c>
      <c r="U569" t="s">
        <v>4033</v>
      </c>
      <c r="V569"/>
      <c r="W569"/>
      <c r="X569"/>
      <c r="Y569"/>
      <c r="Z569"/>
      <c r="AA569"/>
      <c r="AB569"/>
      <c r="AC569"/>
      <c r="AD569"/>
      <c r="AE569"/>
      <c r="AF569"/>
      <c r="AG569"/>
      <c r="AH569">
        <v>17</v>
      </c>
      <c r="AI569">
        <v>17</v>
      </c>
      <c r="AJ569"/>
      <c r="AK569"/>
      <c r="AL569"/>
      <c r="AM569"/>
      <c r="AN569"/>
      <c r="AO569" t="s">
        <v>699</v>
      </c>
      <c r="AP569" t="s">
        <v>700</v>
      </c>
      <c r="AQ569"/>
      <c r="AR569"/>
      <c r="AS569"/>
      <c r="AT569" t="s">
        <v>394</v>
      </c>
      <c r="AU569">
        <v>2015</v>
      </c>
      <c r="AV569">
        <v>14</v>
      </c>
      <c r="AW569"/>
      <c r="AX569"/>
      <c r="AY569"/>
      <c r="AZ569"/>
      <c r="BA569"/>
      <c r="BB569"/>
      <c r="BC569"/>
      <c r="BD569" t="s">
        <v>4034</v>
      </c>
      <c r="BE569" t="s">
        <v>4035</v>
      </c>
      <c r="BF569" t="str">
        <f>HYPERLINK("http://dx.doi.org/10.1016/j.scs.2014.07.002","http://dx.doi.org/10.1016/j.scs.2014.07.002")</f>
        <v>http://dx.doi.org/10.1016/j.scs.2014.07.002</v>
      </c>
      <c r="BG569"/>
      <c r="BH569"/>
      <c r="BI569"/>
      <c r="BJ569" t="s">
        <v>702</v>
      </c>
      <c r="BK569"/>
      <c r="BL569"/>
      <c r="BM569"/>
      <c r="BN569"/>
      <c r="BO569"/>
      <c r="BP569"/>
      <c r="BQ569"/>
      <c r="BR569"/>
      <c r="BS569"/>
      <c r="BT569" t="str">
        <f>HYPERLINK("https%3A%2F%2Fwww.webofscience.com%2Fwos%2Fwoscc%2Ffull-record%2F","View Full Record in Web of Science")</f>
        <v>View Full Record in Web of Science</v>
      </c>
    </row>
    <row r="570" spans="1:72" customHeight="1" ht="12.75">
      <c r="A570" t="s">
        <v>72</v>
      </c>
      <c r="B570" t="s">
        <v>4036</v>
      </c>
      <c r="C570"/>
      <c r="D570"/>
      <c r="E570"/>
      <c r="F570" t="s">
        <v>4037</v>
      </c>
      <c r="G570"/>
      <c r="H570"/>
      <c r="I570" t="s">
        <v>4038</v>
      </c>
      <c r="J570" t="s">
        <v>1067</v>
      </c>
      <c r="K570"/>
      <c r="L570"/>
      <c r="M570"/>
      <c r="N570" t="s">
        <v>325</v>
      </c>
      <c r="O570"/>
      <c r="P570"/>
      <c r="Q570"/>
      <c r="R570"/>
      <c r="S570"/>
      <c r="T570" t="s">
        <v>4039</v>
      </c>
      <c r="U570" t="s">
        <v>4040</v>
      </c>
      <c r="V570"/>
      <c r="W570"/>
      <c r="X570"/>
      <c r="Y570"/>
      <c r="Z570"/>
      <c r="AA570"/>
      <c r="AB570"/>
      <c r="AC570"/>
      <c r="AD570"/>
      <c r="AE570"/>
      <c r="AF570"/>
      <c r="AG570"/>
      <c r="AH570">
        <v>1</v>
      </c>
      <c r="AI570">
        <v>2</v>
      </c>
      <c r="AJ570"/>
      <c r="AK570"/>
      <c r="AL570"/>
      <c r="AM570"/>
      <c r="AN570"/>
      <c r="AO570" t="s">
        <v>1070</v>
      </c>
      <c r="AP570" t="s">
        <v>1071</v>
      </c>
      <c r="AQ570"/>
      <c r="AR570"/>
      <c r="AS570"/>
      <c r="AT570" t="s">
        <v>4041</v>
      </c>
      <c r="AU570">
        <v>2023</v>
      </c>
      <c r="AV570">
        <v>861</v>
      </c>
      <c r="AW570"/>
      <c r="AX570"/>
      <c r="AY570"/>
      <c r="AZ570"/>
      <c r="BA570"/>
      <c r="BB570"/>
      <c r="BC570"/>
      <c r="BD570">
        <v>160576</v>
      </c>
      <c r="BE570" t="s">
        <v>4042</v>
      </c>
      <c r="BF570" t="str">
        <f>HYPERLINK("http://dx.doi.org/10.1016/j.scitotenv.2022.160576","http://dx.doi.org/10.1016/j.scitotenv.2022.160576")</f>
        <v>http://dx.doi.org/10.1016/j.scitotenv.2022.160576</v>
      </c>
      <c r="BG570"/>
      <c r="BH570" t="s">
        <v>444</v>
      </c>
      <c r="BI570"/>
      <c r="BJ570" t="s">
        <v>224</v>
      </c>
      <c r="BK570"/>
      <c r="BL570"/>
      <c r="BM570"/>
      <c r="BN570"/>
      <c r="BO570"/>
      <c r="BP570"/>
      <c r="BQ570"/>
      <c r="BR570"/>
      <c r="BS570"/>
      <c r="BT570" t="str">
        <f>HYPERLINK("https%3A%2F%2Fwww.webofscience.com%2Fwos%2Fwoscc%2Ffull-record%2F","View Full Record in Web of Science")</f>
        <v>View Full Record in Web of Science</v>
      </c>
    </row>
    <row r="571" spans="1:72" customHeight="1" ht="12.75">
      <c r="A571" t="s">
        <v>72</v>
      </c>
      <c r="B571" t="s">
        <v>4043</v>
      </c>
      <c r="C571"/>
      <c r="D571"/>
      <c r="E571"/>
      <c r="F571" t="s">
        <v>4044</v>
      </c>
      <c r="G571"/>
      <c r="H571"/>
      <c r="I571" t="s">
        <v>4045</v>
      </c>
      <c r="J571" t="s">
        <v>133</v>
      </c>
      <c r="K571"/>
      <c r="L571"/>
      <c r="M571"/>
      <c r="N571" t="s">
        <v>325</v>
      </c>
      <c r="O571"/>
      <c r="P571"/>
      <c r="Q571"/>
      <c r="R571"/>
      <c r="S571"/>
      <c r="T571" t="s">
        <v>4046</v>
      </c>
      <c r="U571" t="s">
        <v>4047</v>
      </c>
      <c r="V571"/>
      <c r="W571"/>
      <c r="X571"/>
      <c r="Y571"/>
      <c r="Z571"/>
      <c r="AA571"/>
      <c r="AB571"/>
      <c r="AC571"/>
      <c r="AD571"/>
      <c r="AE571"/>
      <c r="AF571"/>
      <c r="AG571"/>
      <c r="AH571">
        <v>4</v>
      </c>
      <c r="AI571">
        <v>4</v>
      </c>
      <c r="AJ571"/>
      <c r="AK571"/>
      <c r="AL571"/>
      <c r="AM571"/>
      <c r="AN571"/>
      <c r="AO571" t="s">
        <v>136</v>
      </c>
      <c r="AP571" t="s">
        <v>137</v>
      </c>
      <c r="AQ571"/>
      <c r="AR571"/>
      <c r="AS571"/>
      <c r="AT571" t="s">
        <v>4048</v>
      </c>
      <c r="AU571">
        <v>2022</v>
      </c>
      <c r="AV571">
        <v>26</v>
      </c>
      <c r="AW571">
        <v>1</v>
      </c>
      <c r="AX571"/>
      <c r="AY571"/>
      <c r="AZ571"/>
      <c r="BA571"/>
      <c r="BB571">
        <v>213</v>
      </c>
      <c r="BC571">
        <v>224</v>
      </c>
      <c r="BD571"/>
      <c r="BE571" t="s">
        <v>4049</v>
      </c>
      <c r="BF571" t="str">
        <f>HYPERLINK("http://dx.doi.org/10.1111/jiec.12995","http://dx.doi.org/10.1111/jiec.12995")</f>
        <v>http://dx.doi.org/10.1111/jiec.12995</v>
      </c>
      <c r="BG571"/>
      <c r="BH571" t="s">
        <v>4050</v>
      </c>
      <c r="BI571"/>
      <c r="BJ571" t="s">
        <v>139</v>
      </c>
      <c r="BK571"/>
      <c r="BL571"/>
      <c r="BM571"/>
      <c r="BN571"/>
      <c r="BO571"/>
      <c r="BP571"/>
      <c r="BQ571"/>
      <c r="BR571"/>
      <c r="BS571"/>
      <c r="BT571" t="str">
        <f>HYPERLINK("https%3A%2F%2Fwww.webofscience.com%2Fwos%2Fwoscc%2Ffull-record%2F","View Full Record in Web of Science")</f>
        <v>View Full Record in Web of Science</v>
      </c>
    </row>
    <row r="572" spans="1:72" customHeight="1" ht="12.75">
      <c r="A572" t="s">
        <v>72</v>
      </c>
      <c r="B572" t="s">
        <v>4051</v>
      </c>
      <c r="C572"/>
      <c r="D572"/>
      <c r="E572"/>
      <c r="F572" t="s">
        <v>4052</v>
      </c>
      <c r="G572"/>
      <c r="H572"/>
      <c r="I572" t="s">
        <v>4053</v>
      </c>
      <c r="J572" t="s">
        <v>587</v>
      </c>
      <c r="K572"/>
      <c r="L572"/>
      <c r="M572"/>
      <c r="N572" t="s">
        <v>112</v>
      </c>
      <c r="O572"/>
      <c r="P572"/>
      <c r="Q572"/>
      <c r="R572"/>
      <c r="S572"/>
      <c r="T572" t="s">
        <v>4054</v>
      </c>
      <c r="U572" t="s">
        <v>4055</v>
      </c>
      <c r="V572"/>
      <c r="W572"/>
      <c r="X572"/>
      <c r="Y572"/>
      <c r="Z572"/>
      <c r="AA572"/>
      <c r="AB572"/>
      <c r="AC572"/>
      <c r="AD572"/>
      <c r="AE572"/>
      <c r="AF572"/>
      <c r="AG572"/>
      <c r="AH572">
        <v>12</v>
      </c>
      <c r="AI572">
        <v>12</v>
      </c>
      <c r="AJ572"/>
      <c r="AK572"/>
      <c r="AL572"/>
      <c r="AM572"/>
      <c r="AN572"/>
      <c r="AO572" t="s">
        <v>590</v>
      </c>
      <c r="AP572" t="s">
        <v>591</v>
      </c>
      <c r="AQ572"/>
      <c r="AR572"/>
      <c r="AS572"/>
      <c r="AT572" t="s">
        <v>2621</v>
      </c>
      <c r="AU572">
        <v>2019</v>
      </c>
      <c r="AV572">
        <v>239</v>
      </c>
      <c r="AW572"/>
      <c r="AX572"/>
      <c r="AY572"/>
      <c r="AZ572"/>
      <c r="BA572"/>
      <c r="BB572"/>
      <c r="BC572"/>
      <c r="BD572">
        <v>118063</v>
      </c>
      <c r="BE572" t="s">
        <v>4056</v>
      </c>
      <c r="BF572" t="str">
        <f>HYPERLINK("http://dx.doi.org/10.1016/j.jclepro.2019.118063","http://dx.doi.org/10.1016/j.jclepro.2019.118063")</f>
        <v>http://dx.doi.org/10.1016/j.jclepro.2019.118063</v>
      </c>
      <c r="BG572"/>
      <c r="BH572"/>
      <c r="BI572"/>
      <c r="BJ572" t="s">
        <v>139</v>
      </c>
      <c r="BK572"/>
      <c r="BL572"/>
      <c r="BM572"/>
      <c r="BN572"/>
      <c r="BO572"/>
      <c r="BP572"/>
      <c r="BQ572"/>
      <c r="BR572"/>
      <c r="BS572"/>
      <c r="BT572" t="str">
        <f>HYPERLINK("https%3A%2F%2Fwww.webofscience.com%2Fwos%2Fwoscc%2Ffull-record%2F","View Full Record in Web of Science")</f>
        <v>View Full Record in Web of Science</v>
      </c>
    </row>
    <row r="573" spans="1:72" customHeight="1" ht="12.75">
      <c r="A573" t="s">
        <v>72</v>
      </c>
      <c r="B573" t="s">
        <v>4057</v>
      </c>
      <c r="C573"/>
      <c r="D573"/>
      <c r="E573"/>
      <c r="F573" t="s">
        <v>4058</v>
      </c>
      <c r="G573"/>
      <c r="H573"/>
      <c r="I573" t="s">
        <v>4059</v>
      </c>
      <c r="J573" t="s">
        <v>1067</v>
      </c>
      <c r="K573"/>
      <c r="L573"/>
      <c r="M573"/>
      <c r="N573" t="s">
        <v>112</v>
      </c>
      <c r="O573"/>
      <c r="P573"/>
      <c r="Q573"/>
      <c r="R573"/>
      <c r="S573"/>
      <c r="T573" t="s">
        <v>4060</v>
      </c>
      <c r="U573" t="s">
        <v>4061</v>
      </c>
      <c r="V573"/>
      <c r="W573"/>
      <c r="X573"/>
      <c r="Y573"/>
      <c r="Z573"/>
      <c r="AA573"/>
      <c r="AB573"/>
      <c r="AC573"/>
      <c r="AD573"/>
      <c r="AE573"/>
      <c r="AF573"/>
      <c r="AG573"/>
      <c r="AH573">
        <v>106</v>
      </c>
      <c r="AI573">
        <v>115</v>
      </c>
      <c r="AJ573"/>
      <c r="AK573"/>
      <c r="AL573"/>
      <c r="AM573"/>
      <c r="AN573"/>
      <c r="AO573" t="s">
        <v>1070</v>
      </c>
      <c r="AP573" t="s">
        <v>1071</v>
      </c>
      <c r="AQ573"/>
      <c r="AR573"/>
      <c r="AS573"/>
      <c r="AT573" t="s">
        <v>2210</v>
      </c>
      <c r="AU573">
        <v>2014</v>
      </c>
      <c r="AV573">
        <v>468</v>
      </c>
      <c r="AW573"/>
      <c r="AX573"/>
      <c r="AY573"/>
      <c r="AZ573"/>
      <c r="BA573"/>
      <c r="BB573">
        <v>642</v>
      </c>
      <c r="BC573">
        <v>653</v>
      </c>
      <c r="BD573"/>
      <c r="BE573" t="s">
        <v>4062</v>
      </c>
      <c r="BF573" t="str">
        <f>HYPERLINK("http://dx.doi.org/10.1016/j.scitotenv.2013.08.047","http://dx.doi.org/10.1016/j.scitotenv.2013.08.047")</f>
        <v>http://dx.doi.org/10.1016/j.scitotenv.2013.08.047</v>
      </c>
      <c r="BG573"/>
      <c r="BH573"/>
      <c r="BI573"/>
      <c r="BJ573" t="s">
        <v>224</v>
      </c>
      <c r="BK573"/>
      <c r="BL573"/>
      <c r="BM573"/>
      <c r="BN573"/>
      <c r="BO573"/>
      <c r="BP573"/>
      <c r="BQ573"/>
      <c r="BR573"/>
      <c r="BS573"/>
      <c r="BT573" t="str">
        <f>HYPERLINK("https%3A%2F%2Fwww.webofscience.com%2Fwos%2Fwoscc%2Ffull-record%2F","View Full Record in Web of Science")</f>
        <v>View Full Record in Web of Science</v>
      </c>
    </row>
    <row r="574" spans="1:72" customHeight="1" ht="12.75">
      <c r="A574" t="s">
        <v>72</v>
      </c>
      <c r="B574" t="s">
        <v>4063</v>
      </c>
      <c r="C574"/>
      <c r="D574"/>
      <c r="E574"/>
      <c r="F574" t="s">
        <v>4064</v>
      </c>
      <c r="G574"/>
      <c r="H574"/>
      <c r="I574" t="s">
        <v>4065</v>
      </c>
      <c r="J574" t="s">
        <v>133</v>
      </c>
      <c r="K574"/>
      <c r="L574"/>
      <c r="M574"/>
      <c r="N574" t="s">
        <v>325</v>
      </c>
      <c r="O574"/>
      <c r="P574"/>
      <c r="Q574"/>
      <c r="R574"/>
      <c r="S574"/>
      <c r="T574" t="s">
        <v>4066</v>
      </c>
      <c r="U574" t="s">
        <v>4067</v>
      </c>
      <c r="V574"/>
      <c r="W574"/>
      <c r="X574"/>
      <c r="Y574"/>
      <c r="Z574"/>
      <c r="AA574"/>
      <c r="AB574"/>
      <c r="AC574"/>
      <c r="AD574"/>
      <c r="AE574"/>
      <c r="AF574"/>
      <c r="AG574"/>
      <c r="AH574">
        <v>1</v>
      </c>
      <c r="AI574">
        <v>1</v>
      </c>
      <c r="AJ574"/>
      <c r="AK574"/>
      <c r="AL574"/>
      <c r="AM574"/>
      <c r="AN574"/>
      <c r="AO574" t="s">
        <v>136</v>
      </c>
      <c r="AP574" t="s">
        <v>137</v>
      </c>
      <c r="AQ574"/>
      <c r="AR574"/>
      <c r="AS574"/>
      <c r="AT574" t="s">
        <v>4068</v>
      </c>
      <c r="AU574">
        <v>2023</v>
      </c>
      <c r="AV574">
        <v>27</v>
      </c>
      <c r="AW574">
        <v>3</v>
      </c>
      <c r="AX574"/>
      <c r="AY574"/>
      <c r="AZ574"/>
      <c r="BA574"/>
      <c r="BB574">
        <v>1021</v>
      </c>
      <c r="BC574">
        <v>1036</v>
      </c>
      <c r="BD574"/>
      <c r="BE574" t="s">
        <v>4069</v>
      </c>
      <c r="BF574" t="str">
        <f>HYPERLINK("http://dx.doi.org/10.1111/jiec.13392","http://dx.doi.org/10.1111/jiec.13392")</f>
        <v>http://dx.doi.org/10.1111/jiec.13392</v>
      </c>
      <c r="BG574"/>
      <c r="BH574" t="s">
        <v>3768</v>
      </c>
      <c r="BI574"/>
      <c r="BJ574" t="s">
        <v>139</v>
      </c>
      <c r="BK574"/>
      <c r="BL574"/>
      <c r="BM574"/>
      <c r="BN574"/>
      <c r="BO574"/>
      <c r="BP574"/>
      <c r="BQ574"/>
      <c r="BR574"/>
      <c r="BS574"/>
      <c r="BT574" t="str">
        <f>HYPERLINK("https%3A%2F%2Fwww.webofscience.com%2Fwos%2Fwoscc%2Ffull-record%2F","View Full Record in Web of Science")</f>
        <v>View Full Record in Web of Science</v>
      </c>
    </row>
    <row r="575" spans="1:72" customHeight="1" ht="12.75">
      <c r="A575" t="s">
        <v>72</v>
      </c>
      <c r="B575" t="s">
        <v>4070</v>
      </c>
      <c r="C575"/>
      <c r="D575"/>
      <c r="E575"/>
      <c r="F575" t="s">
        <v>4071</v>
      </c>
      <c r="G575"/>
      <c r="H575"/>
      <c r="I575" t="s">
        <v>4072</v>
      </c>
      <c r="J575" t="s">
        <v>457</v>
      </c>
      <c r="K575"/>
      <c r="L575"/>
      <c r="M575"/>
      <c r="N575" t="s">
        <v>112</v>
      </c>
      <c r="O575"/>
      <c r="P575"/>
      <c r="Q575"/>
      <c r="R575"/>
      <c r="S575"/>
      <c r="T575" t="s">
        <v>4073</v>
      </c>
      <c r="U575" t="s">
        <v>4074</v>
      </c>
      <c r="V575"/>
      <c r="W575"/>
      <c r="X575"/>
      <c r="Y575"/>
      <c r="Z575"/>
      <c r="AA575"/>
      <c r="AB575"/>
      <c r="AC575"/>
      <c r="AD575"/>
      <c r="AE575"/>
      <c r="AF575"/>
      <c r="AG575"/>
      <c r="AH575">
        <v>10</v>
      </c>
      <c r="AI575">
        <v>10</v>
      </c>
      <c r="AJ575"/>
      <c r="AK575"/>
      <c r="AL575"/>
      <c r="AM575"/>
      <c r="AN575"/>
      <c r="AO575"/>
      <c r="AP575" t="s">
        <v>458</v>
      </c>
      <c r="AQ575"/>
      <c r="AR575"/>
      <c r="AS575"/>
      <c r="AT575" t="s">
        <v>4075</v>
      </c>
      <c r="AU575">
        <v>2020</v>
      </c>
      <c r="AV575">
        <v>12</v>
      </c>
      <c r="AW575">
        <v>6</v>
      </c>
      <c r="AX575"/>
      <c r="AY575"/>
      <c r="AZ575"/>
      <c r="BA575"/>
      <c r="BB575"/>
      <c r="BC575"/>
      <c r="BD575">
        <v>2191</v>
      </c>
      <c r="BE575" t="s">
        <v>4076</v>
      </c>
      <c r="BF575" t="str">
        <f>HYPERLINK("http://dx.doi.org/10.3390/su12062191","http://dx.doi.org/10.3390/su12062191")</f>
        <v>http://dx.doi.org/10.3390/su12062191</v>
      </c>
      <c r="BG575"/>
      <c r="BH575"/>
      <c r="BI575"/>
      <c r="BJ575" t="s">
        <v>460</v>
      </c>
      <c r="BK575"/>
      <c r="BL575"/>
      <c r="BM575"/>
      <c r="BN575"/>
      <c r="BO575"/>
      <c r="BP575"/>
      <c r="BQ575"/>
      <c r="BR575"/>
      <c r="BS575"/>
      <c r="BT575" t="str">
        <f>HYPERLINK("https%3A%2F%2Fwww.webofscience.com%2Fwos%2Fwoscc%2Ffull-record%2F","View Full Record in Web of Science")</f>
        <v>View Full Record in Web of Science</v>
      </c>
    </row>
    <row r="576" spans="1:72" customHeight="1" ht="12.75">
      <c r="A576" t="s">
        <v>72</v>
      </c>
      <c r="B576" t="s">
        <v>4077</v>
      </c>
      <c r="C576"/>
      <c r="D576"/>
      <c r="E576"/>
      <c r="F576" t="s">
        <v>4078</v>
      </c>
      <c r="G576"/>
      <c r="H576"/>
      <c r="I576" t="s">
        <v>4079</v>
      </c>
      <c r="J576" t="s">
        <v>457</v>
      </c>
      <c r="K576"/>
      <c r="L576"/>
      <c r="M576"/>
      <c r="N576" t="s">
        <v>112</v>
      </c>
      <c r="O576"/>
      <c r="P576"/>
      <c r="Q576"/>
      <c r="R576"/>
      <c r="S576"/>
      <c r="T576" t="s">
        <v>4080</v>
      </c>
      <c r="U576" t="s">
        <v>4081</v>
      </c>
      <c r="V576"/>
      <c r="W576"/>
      <c r="X576"/>
      <c r="Y576"/>
      <c r="Z576"/>
      <c r="AA576"/>
      <c r="AB576"/>
      <c r="AC576"/>
      <c r="AD576"/>
      <c r="AE576"/>
      <c r="AF576"/>
      <c r="AG576"/>
      <c r="AH576">
        <v>10</v>
      </c>
      <c r="AI576">
        <v>10</v>
      </c>
      <c r="AJ576"/>
      <c r="AK576"/>
      <c r="AL576"/>
      <c r="AM576"/>
      <c r="AN576"/>
      <c r="AO576" t="s">
        <v>458</v>
      </c>
      <c r="AP576"/>
      <c r="AQ576"/>
      <c r="AR576"/>
      <c r="AS576"/>
      <c r="AT576" t="s">
        <v>404</v>
      </c>
      <c r="AU576">
        <v>2017</v>
      </c>
      <c r="AV576">
        <v>9</v>
      </c>
      <c r="AW576">
        <v>1</v>
      </c>
      <c r="AX576"/>
      <c r="AY576"/>
      <c r="AZ576"/>
      <c r="BA576"/>
      <c r="BB576"/>
      <c r="BC576"/>
      <c r="BD576">
        <v>122</v>
      </c>
      <c r="BE576" t="s">
        <v>4082</v>
      </c>
      <c r="BF576" t="str">
        <f>HYPERLINK("http://dx.doi.org/10.3390/su9010122","http://dx.doi.org/10.3390/su9010122")</f>
        <v>http://dx.doi.org/10.3390/su9010122</v>
      </c>
      <c r="BG576"/>
      <c r="BH576"/>
      <c r="BI576"/>
      <c r="BJ576" t="s">
        <v>460</v>
      </c>
      <c r="BK576"/>
      <c r="BL576"/>
      <c r="BM576"/>
      <c r="BN576"/>
      <c r="BO576"/>
      <c r="BP576"/>
      <c r="BQ576"/>
      <c r="BR576"/>
      <c r="BS576"/>
      <c r="BT576" t="str">
        <f>HYPERLINK("https%3A%2F%2Fwww.webofscience.com%2Fwos%2Fwoscc%2Ffull-record%2F","View Full Record in Web of Science")</f>
        <v>View Full Record in Web of Science</v>
      </c>
    </row>
    <row r="577" spans="1:72" customHeight="1" ht="12.75">
      <c r="A577" t="s">
        <v>72</v>
      </c>
      <c r="B577" t="s">
        <v>4083</v>
      </c>
      <c r="C577"/>
      <c r="D577"/>
      <c r="E577"/>
      <c r="F577" t="s">
        <v>4084</v>
      </c>
      <c r="G577"/>
      <c r="H577"/>
      <c r="I577" t="s">
        <v>4085</v>
      </c>
      <c r="J577" t="s">
        <v>4086</v>
      </c>
      <c r="K577"/>
      <c r="L577"/>
      <c r="M577"/>
      <c r="N577" t="s">
        <v>112</v>
      </c>
      <c r="O577"/>
      <c r="P577"/>
      <c r="Q577"/>
      <c r="R577"/>
      <c r="S577"/>
      <c r="T577" t="s">
        <v>4087</v>
      </c>
      <c r="U577" t="s">
        <v>4088</v>
      </c>
      <c r="V577"/>
      <c r="W577"/>
      <c r="X577"/>
      <c r="Y577"/>
      <c r="Z577"/>
      <c r="AA577"/>
      <c r="AB577"/>
      <c r="AC577"/>
      <c r="AD577"/>
      <c r="AE577"/>
      <c r="AF577"/>
      <c r="AG577"/>
      <c r="AH577">
        <v>0.0</v>
      </c>
      <c r="AI577">
        <v>0.0</v>
      </c>
      <c r="AJ577"/>
      <c r="AK577"/>
      <c r="AL577"/>
      <c r="AM577"/>
      <c r="AN577"/>
      <c r="AO577"/>
      <c r="AP577" t="s">
        <v>4089</v>
      </c>
      <c r="AQ577"/>
      <c r="AR577"/>
      <c r="AS577"/>
      <c r="AT577" t="s">
        <v>362</v>
      </c>
      <c r="AU577">
        <v>2023</v>
      </c>
      <c r="AV577">
        <v>14</v>
      </c>
      <c r="AW577">
        <v>6</v>
      </c>
      <c r="AX577"/>
      <c r="AY577"/>
      <c r="AZ577"/>
      <c r="BA577"/>
      <c r="BB577"/>
      <c r="BC577"/>
      <c r="BD577">
        <v>1025</v>
      </c>
      <c r="BE577" t="s">
        <v>4090</v>
      </c>
      <c r="BF577" t="str">
        <f>HYPERLINK("http://dx.doi.org/10.3390/atmos14061025","http://dx.doi.org/10.3390/atmos14061025")</f>
        <v>http://dx.doi.org/10.3390/atmos14061025</v>
      </c>
      <c r="BG577"/>
      <c r="BH577"/>
      <c r="BI577"/>
      <c r="BJ577" t="s">
        <v>453</v>
      </c>
      <c r="BK577"/>
      <c r="BL577"/>
      <c r="BM577"/>
      <c r="BN577"/>
      <c r="BO577"/>
      <c r="BP577"/>
      <c r="BQ577"/>
      <c r="BR577"/>
      <c r="BS577"/>
      <c r="BT577" t="str">
        <f>HYPERLINK("https%3A%2F%2Fwww.webofscience.com%2Fwos%2Fwoscc%2Ffull-record%2F","View Full Record in Web of Science")</f>
        <v>View Full Record in Web of Science</v>
      </c>
    </row>
    <row r="578" spans="1:72" customHeight="1" ht="12.75">
      <c r="A578" t="s">
        <v>72</v>
      </c>
      <c r="B578" t="s">
        <v>4091</v>
      </c>
      <c r="C578"/>
      <c r="D578"/>
      <c r="E578"/>
      <c r="F578" t="s">
        <v>4092</v>
      </c>
      <c r="G578"/>
      <c r="H578"/>
      <c r="I578" t="s">
        <v>4093</v>
      </c>
      <c r="J578" t="s">
        <v>283</v>
      </c>
      <c r="K578"/>
      <c r="L578"/>
      <c r="M578"/>
      <c r="N578" t="s">
        <v>112</v>
      </c>
      <c r="O578"/>
      <c r="P578"/>
      <c r="Q578"/>
      <c r="R578"/>
      <c r="S578"/>
      <c r="T578"/>
      <c r="U578" t="s">
        <v>4094</v>
      </c>
      <c r="V578"/>
      <c r="W578"/>
      <c r="X578"/>
      <c r="Y578"/>
      <c r="Z578"/>
      <c r="AA578"/>
      <c r="AB578"/>
      <c r="AC578"/>
      <c r="AD578"/>
      <c r="AE578"/>
      <c r="AF578"/>
      <c r="AG578"/>
      <c r="AH578">
        <v>16</v>
      </c>
      <c r="AI578">
        <v>19</v>
      </c>
      <c r="AJ578"/>
      <c r="AK578"/>
      <c r="AL578"/>
      <c r="AM578"/>
      <c r="AN578"/>
      <c r="AO578" t="s">
        <v>286</v>
      </c>
      <c r="AP578" t="s">
        <v>287</v>
      </c>
      <c r="AQ578"/>
      <c r="AR578"/>
      <c r="AS578"/>
      <c r="AT578" t="s">
        <v>198</v>
      </c>
      <c r="AU578">
        <v>2017</v>
      </c>
      <c r="AV578">
        <v>85</v>
      </c>
      <c r="AW578"/>
      <c r="AX578"/>
      <c r="AY578"/>
      <c r="AZ578"/>
      <c r="BA578"/>
      <c r="BB578">
        <v>381</v>
      </c>
      <c r="BC578">
        <v>391</v>
      </c>
      <c r="BD578"/>
      <c r="BE578" t="s">
        <v>4095</v>
      </c>
      <c r="BF578" t="str">
        <f>HYPERLINK("http://dx.doi.org/10.1016/j.geoforum.2017.03.002","http://dx.doi.org/10.1016/j.geoforum.2017.03.002")</f>
        <v>http://dx.doi.org/10.1016/j.geoforum.2017.03.002</v>
      </c>
      <c r="BG578"/>
      <c r="BH578"/>
      <c r="BI578"/>
      <c r="BJ578" t="s">
        <v>83</v>
      </c>
      <c r="BK578"/>
      <c r="BL578"/>
      <c r="BM578"/>
      <c r="BN578"/>
      <c r="BO578"/>
      <c r="BP578"/>
      <c r="BQ578"/>
      <c r="BR578"/>
      <c r="BS578"/>
      <c r="BT578" t="str">
        <f>HYPERLINK("https%3A%2F%2Fwww.webofscience.com%2Fwos%2Fwoscc%2Ffull-record%2F","View Full Record in Web of Science")</f>
        <v>View Full Record in Web of Science</v>
      </c>
    </row>
    <row r="579" spans="1:72" customHeight="1" ht="12.75">
      <c r="A579" t="s">
        <v>72</v>
      </c>
      <c r="B579" t="s">
        <v>4096</v>
      </c>
      <c r="C579"/>
      <c r="D579"/>
      <c r="E579"/>
      <c r="F579" t="s">
        <v>4097</v>
      </c>
      <c r="G579"/>
      <c r="H579"/>
      <c r="I579" t="s">
        <v>4098</v>
      </c>
      <c r="J579" t="s">
        <v>4099</v>
      </c>
      <c r="K579"/>
      <c r="L579"/>
      <c r="M579"/>
      <c r="N579" t="s">
        <v>112</v>
      </c>
      <c r="O579"/>
      <c r="P579"/>
      <c r="Q579"/>
      <c r="R579"/>
      <c r="S579"/>
      <c r="T579" t="s">
        <v>4100</v>
      </c>
      <c r="U579" t="s">
        <v>2712</v>
      </c>
      <c r="V579"/>
      <c r="W579"/>
      <c r="X579"/>
      <c r="Y579"/>
      <c r="Z579"/>
      <c r="AA579"/>
      <c r="AB579"/>
      <c r="AC579"/>
      <c r="AD579"/>
      <c r="AE579"/>
      <c r="AF579"/>
      <c r="AG579"/>
      <c r="AH579">
        <v>6</v>
      </c>
      <c r="AI579">
        <v>6</v>
      </c>
      <c r="AJ579"/>
      <c r="AK579"/>
      <c r="AL579"/>
      <c r="AM579"/>
      <c r="AN579"/>
      <c r="AO579"/>
      <c r="AP579" t="s">
        <v>4101</v>
      </c>
      <c r="AQ579"/>
      <c r="AR579"/>
      <c r="AS579"/>
      <c r="AT579" t="s">
        <v>190</v>
      </c>
      <c r="AU579">
        <v>2021</v>
      </c>
      <c r="AV579">
        <v>2</v>
      </c>
      <c r="AW579">
        <v>1</v>
      </c>
      <c r="AX579"/>
      <c r="AY579"/>
      <c r="AZ579"/>
      <c r="BA579"/>
      <c r="BB579">
        <v>32</v>
      </c>
      <c r="BC579">
        <v>48</v>
      </c>
      <c r="BD579"/>
      <c r="BE579" t="s">
        <v>4102</v>
      </c>
      <c r="BF579" t="str">
        <f>HYPERLINK("http://dx.doi.org/10.3390/world2010003","http://dx.doi.org/10.3390/world2010003")</f>
        <v>http://dx.doi.org/10.3390/world2010003</v>
      </c>
      <c r="BG579"/>
      <c r="BH579"/>
      <c r="BI579"/>
      <c r="BJ579" t="s">
        <v>4103</v>
      </c>
      <c r="BK579"/>
      <c r="BL579"/>
      <c r="BM579"/>
      <c r="BN579"/>
      <c r="BO579"/>
      <c r="BP579"/>
      <c r="BQ579"/>
      <c r="BR579"/>
      <c r="BS579"/>
      <c r="BT579" t="str">
        <f>HYPERLINK("https%3A%2F%2Fwww.webofscience.com%2Fwos%2Fwoscc%2Ffull-record%2F","View Full Record in Web of Science")</f>
        <v>View Full Record in Web of Science</v>
      </c>
    </row>
    <row r="580" spans="1:72" customHeight="1" ht="12.75">
      <c r="A580" t="s">
        <v>72</v>
      </c>
      <c r="B580" t="s">
        <v>4104</v>
      </c>
      <c r="C580"/>
      <c r="D580"/>
      <c r="E580"/>
      <c r="F580" t="s">
        <v>4105</v>
      </c>
      <c r="G580"/>
      <c r="H580"/>
      <c r="I580" t="s">
        <v>4106</v>
      </c>
      <c r="J580" t="s">
        <v>4107</v>
      </c>
      <c r="K580"/>
      <c r="L580"/>
      <c r="M580"/>
      <c r="N580" t="s">
        <v>112</v>
      </c>
      <c r="O580"/>
      <c r="P580"/>
      <c r="Q580"/>
      <c r="R580"/>
      <c r="S580"/>
      <c r="T580" t="s">
        <v>4108</v>
      </c>
      <c r="U580" t="s">
        <v>4109</v>
      </c>
      <c r="V580"/>
      <c r="W580"/>
      <c r="X580"/>
      <c r="Y580"/>
      <c r="Z580"/>
      <c r="AA580"/>
      <c r="AB580"/>
      <c r="AC580"/>
      <c r="AD580"/>
      <c r="AE580"/>
      <c r="AF580"/>
      <c r="AG580"/>
      <c r="AH580">
        <v>19</v>
      </c>
      <c r="AI580">
        <v>19</v>
      </c>
      <c r="AJ580"/>
      <c r="AK580"/>
      <c r="AL580"/>
      <c r="AM580"/>
      <c r="AN580"/>
      <c r="AO580" t="s">
        <v>4110</v>
      </c>
      <c r="AP580"/>
      <c r="AQ580"/>
      <c r="AR580"/>
      <c r="AS580"/>
      <c r="AT580"/>
      <c r="AU580">
        <v>2009</v>
      </c>
      <c r="AV580">
        <v>6</v>
      </c>
      <c r="AW580">
        <v>2</v>
      </c>
      <c r="AX580"/>
      <c r="AY580"/>
      <c r="AZ580"/>
      <c r="BA580"/>
      <c r="BB580">
        <v>160</v>
      </c>
      <c r="BC580">
        <v>169</v>
      </c>
      <c r="BD580"/>
      <c r="BE580" t="s">
        <v>4111</v>
      </c>
      <c r="BF580" t="str">
        <f>HYPERLINK("http://dx.doi.org/10.1071/EN08078","http://dx.doi.org/10.1071/EN08078")</f>
        <v>http://dx.doi.org/10.1071/EN08078</v>
      </c>
      <c r="BG580"/>
      <c r="BH580"/>
      <c r="BI580"/>
      <c r="BJ580" t="s">
        <v>4112</v>
      </c>
      <c r="BK580"/>
      <c r="BL580"/>
      <c r="BM580"/>
      <c r="BN580"/>
      <c r="BO580"/>
      <c r="BP580"/>
      <c r="BQ580"/>
      <c r="BR580"/>
      <c r="BS580"/>
      <c r="BT580" t="str">
        <f>HYPERLINK("https%3A%2F%2Fwww.webofscience.com%2Fwos%2Fwoscc%2Ffull-record%2F","View Full Record in Web of Science")</f>
        <v>View Full Record in Web of Science</v>
      </c>
    </row>
    <row r="581" spans="1:72" customHeight="1" ht="12.75">
      <c r="A581" t="s">
        <v>72</v>
      </c>
      <c r="B581" t="s">
        <v>4113</v>
      </c>
      <c r="C581"/>
      <c r="D581"/>
      <c r="E581"/>
      <c r="F581" t="s">
        <v>4114</v>
      </c>
      <c r="G581"/>
      <c r="H581"/>
      <c r="I581" t="s">
        <v>4115</v>
      </c>
      <c r="J581" t="s">
        <v>4116</v>
      </c>
      <c r="K581"/>
      <c r="L581"/>
      <c r="M581"/>
      <c r="N581" t="s">
        <v>112</v>
      </c>
      <c r="O581"/>
      <c r="P581"/>
      <c r="Q581"/>
      <c r="R581"/>
      <c r="S581"/>
      <c r="T581" t="s">
        <v>4117</v>
      </c>
      <c r="U581" t="s">
        <v>4118</v>
      </c>
      <c r="V581"/>
      <c r="W581"/>
      <c r="X581"/>
      <c r="Y581"/>
      <c r="Z581"/>
      <c r="AA581"/>
      <c r="AB581"/>
      <c r="AC581"/>
      <c r="AD581"/>
      <c r="AE581"/>
      <c r="AF581"/>
      <c r="AG581"/>
      <c r="AH581">
        <v>3</v>
      </c>
      <c r="AI581">
        <v>5</v>
      </c>
      <c r="AJ581"/>
      <c r="AK581"/>
      <c r="AL581"/>
      <c r="AM581"/>
      <c r="AN581"/>
      <c r="AO581" t="s">
        <v>4119</v>
      </c>
      <c r="AP581" t="s">
        <v>4120</v>
      </c>
      <c r="AQ581"/>
      <c r="AR581"/>
      <c r="AS581"/>
      <c r="AT581" t="s">
        <v>404</v>
      </c>
      <c r="AU581">
        <v>2018</v>
      </c>
      <c r="AV581">
        <v>55</v>
      </c>
      <c r="AW581">
        <v>1</v>
      </c>
      <c r="AX581"/>
      <c r="AY581"/>
      <c r="AZ581"/>
      <c r="BA581"/>
      <c r="BB581">
        <v>212</v>
      </c>
      <c r="BC581">
        <v>225</v>
      </c>
      <c r="BD581"/>
      <c r="BE581" t="s">
        <v>4121</v>
      </c>
      <c r="BF581" t="str">
        <f>HYPERLINK("http://dx.doi.org/10.1177/0042098016686535","http://dx.doi.org/10.1177/0042098016686535")</f>
        <v>http://dx.doi.org/10.1177/0042098016686535</v>
      </c>
      <c r="BG581"/>
      <c r="BH581"/>
      <c r="BI581"/>
      <c r="BJ581" t="s">
        <v>2005</v>
      </c>
      <c r="BK581"/>
      <c r="BL581"/>
      <c r="BM581"/>
      <c r="BN581"/>
      <c r="BO581"/>
      <c r="BP581"/>
      <c r="BQ581"/>
      <c r="BR581"/>
      <c r="BS581"/>
      <c r="BT581" t="str">
        <f>HYPERLINK("https%3A%2F%2Fwww.webofscience.com%2Fwos%2Fwoscc%2Ffull-record%2F","View Full Record in Web of Science")</f>
        <v>View Full Record in Web of Science</v>
      </c>
    </row>
    <row r="582" spans="1:72" customHeight="1" ht="12.75">
      <c r="A582" t="s">
        <v>72</v>
      </c>
      <c r="B582" t="s">
        <v>4122</v>
      </c>
      <c r="C582"/>
      <c r="D582"/>
      <c r="E582"/>
      <c r="F582" t="s">
        <v>4123</v>
      </c>
      <c r="G582"/>
      <c r="H582"/>
      <c r="I582" t="s">
        <v>4124</v>
      </c>
      <c r="J582" t="s">
        <v>697</v>
      </c>
      <c r="K582"/>
      <c r="L582"/>
      <c r="M582"/>
      <c r="N582" t="s">
        <v>112</v>
      </c>
      <c r="O582"/>
      <c r="P582"/>
      <c r="Q582"/>
      <c r="R582"/>
      <c r="S582"/>
      <c r="T582" t="s">
        <v>4125</v>
      </c>
      <c r="U582" t="s">
        <v>4126</v>
      </c>
      <c r="V582"/>
      <c r="W582"/>
      <c r="X582"/>
      <c r="Y582"/>
      <c r="Z582"/>
      <c r="AA582"/>
      <c r="AB582"/>
      <c r="AC582"/>
      <c r="AD582"/>
      <c r="AE582"/>
      <c r="AF582"/>
      <c r="AG582"/>
      <c r="AH582">
        <v>8</v>
      </c>
      <c r="AI582">
        <v>8</v>
      </c>
      <c r="AJ582"/>
      <c r="AK582"/>
      <c r="AL582"/>
      <c r="AM582"/>
      <c r="AN582"/>
      <c r="AO582" t="s">
        <v>699</v>
      </c>
      <c r="AP582" t="s">
        <v>700</v>
      </c>
      <c r="AQ582"/>
      <c r="AR582"/>
      <c r="AS582"/>
      <c r="AT582" t="s">
        <v>394</v>
      </c>
      <c r="AU582">
        <v>2022</v>
      </c>
      <c r="AV582">
        <v>77</v>
      </c>
      <c r="AW582"/>
      <c r="AX582"/>
      <c r="AY582"/>
      <c r="AZ582"/>
      <c r="BA582"/>
      <c r="BB582"/>
      <c r="BC582"/>
      <c r="BD582">
        <v>103553</v>
      </c>
      <c r="BE582" t="s">
        <v>4127</v>
      </c>
      <c r="BF582" t="str">
        <f>HYPERLINK("http://dx.doi.org/10.1016/j.scs.2021.103553","http://dx.doi.org/10.1016/j.scs.2021.103553")</f>
        <v>http://dx.doi.org/10.1016/j.scs.2021.103553</v>
      </c>
      <c r="BG582"/>
      <c r="BH582"/>
      <c r="BI582"/>
      <c r="BJ582" t="s">
        <v>702</v>
      </c>
      <c r="BK582"/>
      <c r="BL582"/>
      <c r="BM582"/>
      <c r="BN582"/>
      <c r="BO582"/>
      <c r="BP582"/>
      <c r="BQ582"/>
      <c r="BR582"/>
      <c r="BS582"/>
      <c r="BT582" t="str">
        <f>HYPERLINK("https%3A%2F%2Fwww.webofscience.com%2Fwos%2Fwoscc%2Ffull-record%2F","View Full Record in Web of Science")</f>
        <v>View Full Record in Web of Science</v>
      </c>
    </row>
    <row r="583" spans="1:72" customHeight="1" ht="12.75">
      <c r="A583" t="s">
        <v>72</v>
      </c>
      <c r="B583" t="s">
        <v>4128</v>
      </c>
      <c r="C583"/>
      <c r="D583"/>
      <c r="E583"/>
      <c r="F583" t="s">
        <v>4129</v>
      </c>
      <c r="G583"/>
      <c r="H583"/>
      <c r="I583" t="s">
        <v>4130</v>
      </c>
      <c r="J583" t="s">
        <v>4131</v>
      </c>
      <c r="K583"/>
      <c r="L583"/>
      <c r="M583"/>
      <c r="N583" t="s">
        <v>77</v>
      </c>
      <c r="O583"/>
      <c r="P583"/>
      <c r="Q583"/>
      <c r="R583"/>
      <c r="S583"/>
      <c r="T583" t="s">
        <v>4132</v>
      </c>
      <c r="U583" t="s">
        <v>4133</v>
      </c>
      <c r="V583"/>
      <c r="W583"/>
      <c r="X583"/>
      <c r="Y583"/>
      <c r="Z583"/>
      <c r="AA583"/>
      <c r="AB583"/>
      <c r="AC583"/>
      <c r="AD583"/>
      <c r="AE583"/>
      <c r="AF583"/>
      <c r="AG583"/>
      <c r="AH583">
        <v>6</v>
      </c>
      <c r="AI583">
        <v>6</v>
      </c>
      <c r="AJ583"/>
      <c r="AK583"/>
      <c r="AL583"/>
      <c r="AM583"/>
      <c r="AN583"/>
      <c r="AO583" t="s">
        <v>4134</v>
      </c>
      <c r="AP583" t="s">
        <v>4135</v>
      </c>
      <c r="AQ583"/>
      <c r="AR583"/>
      <c r="AS583"/>
      <c r="AT583" t="s">
        <v>490</v>
      </c>
      <c r="AU583">
        <v>2020</v>
      </c>
      <c r="AV583">
        <v>17</v>
      </c>
      <c r="AW583">
        <v>1</v>
      </c>
      <c r="AX583"/>
      <c r="AY583"/>
      <c r="AZ583"/>
      <c r="BA583"/>
      <c r="BB583">
        <v>57</v>
      </c>
      <c r="BC583">
        <v>71</v>
      </c>
      <c r="BD583"/>
      <c r="BE583" t="s">
        <v>4136</v>
      </c>
      <c r="BF583" t="str">
        <f>HYPERLINK("http://dx.doi.org/10.1080/1943815X.2020.1841241","http://dx.doi.org/10.1080/1943815X.2020.1841241")</f>
        <v>http://dx.doi.org/10.1080/1943815X.2020.1841241</v>
      </c>
      <c r="BG583"/>
      <c r="BH583"/>
      <c r="BI583"/>
      <c r="BJ583" t="s">
        <v>224</v>
      </c>
      <c r="BK583"/>
      <c r="BL583"/>
      <c r="BM583"/>
      <c r="BN583"/>
      <c r="BO583"/>
      <c r="BP583"/>
      <c r="BQ583"/>
      <c r="BR583"/>
      <c r="BS583"/>
      <c r="BT583" t="str">
        <f>HYPERLINK("https%3A%2F%2Fwww.webofscience.com%2Fwos%2Fwoscc%2Ffull-record%2F","View Full Record in Web of Science")</f>
        <v>View Full Record in Web of Science</v>
      </c>
    </row>
    <row r="584" spans="1:72" customHeight="1" ht="12.75">
      <c r="A584" t="s">
        <v>72</v>
      </c>
      <c r="B584" t="s">
        <v>4137</v>
      </c>
      <c r="C584"/>
      <c r="D584"/>
      <c r="E584"/>
      <c r="F584" t="s">
        <v>4138</v>
      </c>
      <c r="G584"/>
      <c r="H584"/>
      <c r="I584" t="s">
        <v>4139</v>
      </c>
      <c r="J584" t="s">
        <v>893</v>
      </c>
      <c r="K584"/>
      <c r="L584"/>
      <c r="M584"/>
      <c r="N584" t="s">
        <v>112</v>
      </c>
      <c r="O584"/>
      <c r="P584"/>
      <c r="Q584"/>
      <c r="R584"/>
      <c r="S584"/>
      <c r="T584" t="s">
        <v>4140</v>
      </c>
      <c r="U584" t="s">
        <v>4141</v>
      </c>
      <c r="V584"/>
      <c r="W584"/>
      <c r="X584"/>
      <c r="Y584"/>
      <c r="Z584"/>
      <c r="AA584"/>
      <c r="AB584"/>
      <c r="AC584"/>
      <c r="AD584"/>
      <c r="AE584"/>
      <c r="AF584"/>
      <c r="AG584"/>
      <c r="AH584">
        <v>0.0</v>
      </c>
      <c r="AI584">
        <v>0.0</v>
      </c>
      <c r="AJ584"/>
      <c r="AK584"/>
      <c r="AL584"/>
      <c r="AM584"/>
      <c r="AN584"/>
      <c r="AO584"/>
      <c r="AP584" t="s">
        <v>896</v>
      </c>
      <c r="AQ584"/>
      <c r="AR584"/>
      <c r="AS584"/>
      <c r="AT584" t="s">
        <v>92</v>
      </c>
      <c r="AU584">
        <v>2023</v>
      </c>
      <c r="AV584">
        <v>16</v>
      </c>
      <c r="AW584">
        <v>21</v>
      </c>
      <c r="AX584"/>
      <c r="AY584"/>
      <c r="AZ584"/>
      <c r="BA584"/>
      <c r="BB584"/>
      <c r="BC584"/>
      <c r="BD584">
        <v>7325</v>
      </c>
      <c r="BE584" t="s">
        <v>4142</v>
      </c>
      <c r="BF584" t="str">
        <f>HYPERLINK("http://dx.doi.org/10.3390/en16217325","http://dx.doi.org/10.3390/en16217325")</f>
        <v>http://dx.doi.org/10.3390/en16217325</v>
      </c>
      <c r="BG584"/>
      <c r="BH584"/>
      <c r="BI584"/>
      <c r="BJ584" t="s">
        <v>898</v>
      </c>
      <c r="BK584"/>
      <c r="BL584"/>
      <c r="BM584"/>
      <c r="BN584"/>
      <c r="BO584"/>
      <c r="BP584"/>
      <c r="BQ584"/>
      <c r="BR584"/>
      <c r="BS584"/>
      <c r="BT584" t="str">
        <f>HYPERLINK("https%3A%2F%2Fwww.webofscience.com%2Fwos%2Fwoscc%2Ffull-record%2F","View Full Record in Web of Science")</f>
        <v>View Full Record in Web of Science</v>
      </c>
    </row>
    <row r="585" spans="1:72" customHeight="1" ht="12.75">
      <c r="A585" t="s">
        <v>72</v>
      </c>
      <c r="B585" t="s">
        <v>4143</v>
      </c>
      <c r="C585"/>
      <c r="D585"/>
      <c r="E585"/>
      <c r="F585" t="s">
        <v>4144</v>
      </c>
      <c r="G585"/>
      <c r="H585"/>
      <c r="I585" t="s">
        <v>4145</v>
      </c>
      <c r="J585" t="s">
        <v>464</v>
      </c>
      <c r="K585"/>
      <c r="L585"/>
      <c r="M585"/>
      <c r="N585" t="s">
        <v>112</v>
      </c>
      <c r="O585"/>
      <c r="P585"/>
      <c r="Q585"/>
      <c r="R585"/>
      <c r="S585"/>
      <c r="T585" t="s">
        <v>4146</v>
      </c>
      <c r="U585" t="s">
        <v>4147</v>
      </c>
      <c r="V585"/>
      <c r="W585"/>
      <c r="X585"/>
      <c r="Y585"/>
      <c r="Z585"/>
      <c r="AA585"/>
      <c r="AB585"/>
      <c r="AC585"/>
      <c r="AD585"/>
      <c r="AE585"/>
      <c r="AF585"/>
      <c r="AG585"/>
      <c r="AH585">
        <v>21</v>
      </c>
      <c r="AI585">
        <v>29</v>
      </c>
      <c r="AJ585"/>
      <c r="AK585"/>
      <c r="AL585"/>
      <c r="AM585"/>
      <c r="AN585"/>
      <c r="AO585" t="s">
        <v>465</v>
      </c>
      <c r="AP585" t="s">
        <v>466</v>
      </c>
      <c r="AQ585"/>
      <c r="AR585"/>
      <c r="AS585"/>
      <c r="AT585" t="s">
        <v>362</v>
      </c>
      <c r="AU585">
        <v>2015</v>
      </c>
      <c r="AV585">
        <v>18</v>
      </c>
      <c r="AW585">
        <v>2</v>
      </c>
      <c r="AX585"/>
      <c r="AY585"/>
      <c r="AZ585"/>
      <c r="BA585"/>
      <c r="BB585">
        <v>599</v>
      </c>
      <c r="BC585">
        <v>611</v>
      </c>
      <c r="BD585"/>
      <c r="BE585" t="s">
        <v>4148</v>
      </c>
      <c r="BF585" t="str">
        <f>HYPERLINK("http://dx.doi.org/10.1007/s11252-014-0413-9","http://dx.doi.org/10.1007/s11252-014-0413-9")</f>
        <v>http://dx.doi.org/10.1007/s11252-014-0413-9</v>
      </c>
      <c r="BG585"/>
      <c r="BH585"/>
      <c r="BI585"/>
      <c r="BJ585" t="s">
        <v>468</v>
      </c>
      <c r="BK585"/>
      <c r="BL585"/>
      <c r="BM585"/>
      <c r="BN585"/>
      <c r="BO585"/>
      <c r="BP585"/>
      <c r="BQ585"/>
      <c r="BR585"/>
      <c r="BS585"/>
      <c r="BT585" t="str">
        <f>HYPERLINK("https%3A%2F%2Fwww.webofscience.com%2Fwos%2Fwoscc%2Ffull-record%2F","View Full Record in Web of Science")</f>
        <v>View Full Record in Web of Science</v>
      </c>
    </row>
    <row r="586" spans="1:72" customHeight="1" ht="12.75">
      <c r="A586" t="s">
        <v>72</v>
      </c>
      <c r="B586" t="s">
        <v>4149</v>
      </c>
      <c r="C586"/>
      <c r="D586"/>
      <c r="E586"/>
      <c r="F586" t="s">
        <v>4150</v>
      </c>
      <c r="G586"/>
      <c r="H586"/>
      <c r="I586" t="s">
        <v>4151</v>
      </c>
      <c r="J586" t="s">
        <v>133</v>
      </c>
      <c r="K586"/>
      <c r="L586"/>
      <c r="M586"/>
      <c r="N586" t="s">
        <v>325</v>
      </c>
      <c r="O586"/>
      <c r="P586"/>
      <c r="Q586"/>
      <c r="R586"/>
      <c r="S586"/>
      <c r="T586" t="s">
        <v>4152</v>
      </c>
      <c r="U586" t="s">
        <v>4153</v>
      </c>
      <c r="V586"/>
      <c r="W586"/>
      <c r="X586"/>
      <c r="Y586"/>
      <c r="Z586"/>
      <c r="AA586"/>
      <c r="AB586"/>
      <c r="AC586"/>
      <c r="AD586"/>
      <c r="AE586"/>
      <c r="AF586"/>
      <c r="AG586"/>
      <c r="AH586">
        <v>11</v>
      </c>
      <c r="AI586">
        <v>13</v>
      </c>
      <c r="AJ586"/>
      <c r="AK586"/>
      <c r="AL586"/>
      <c r="AM586"/>
      <c r="AN586"/>
      <c r="AO586" t="s">
        <v>136</v>
      </c>
      <c r="AP586" t="s">
        <v>137</v>
      </c>
      <c r="AQ586"/>
      <c r="AR586"/>
      <c r="AS586"/>
      <c r="AT586" t="s">
        <v>3424</v>
      </c>
      <c r="AU586">
        <v>2021</v>
      </c>
      <c r="AV586">
        <v>25</v>
      </c>
      <c r="AW586">
        <v>4</v>
      </c>
      <c r="AX586"/>
      <c r="AY586"/>
      <c r="AZ586"/>
      <c r="BA586"/>
      <c r="BB586">
        <v>961</v>
      </c>
      <c r="BC586">
        <v>978</v>
      </c>
      <c r="BD586"/>
      <c r="BE586" t="s">
        <v>4154</v>
      </c>
      <c r="BF586" t="str">
        <f>HYPERLINK("http://dx.doi.org/10.1111/jiec.13110","http://dx.doi.org/10.1111/jiec.13110")</f>
        <v>http://dx.doi.org/10.1111/jiec.13110</v>
      </c>
      <c r="BG586"/>
      <c r="BH586" t="s">
        <v>2111</v>
      </c>
      <c r="BI586"/>
      <c r="BJ586" t="s">
        <v>139</v>
      </c>
      <c r="BK586"/>
      <c r="BL586"/>
      <c r="BM586"/>
      <c r="BN586"/>
      <c r="BO586"/>
      <c r="BP586"/>
      <c r="BQ586"/>
      <c r="BR586"/>
      <c r="BS586"/>
      <c r="BT586" t="str">
        <f>HYPERLINK("https%3A%2F%2Fwww.webofscience.com%2Fwos%2Fwoscc%2Ffull-record%2F","View Full Record in Web of Science")</f>
        <v>View Full Record in Web of Science</v>
      </c>
    </row>
    <row r="587" spans="1:72" customHeight="1" ht="12.75">
      <c r="A587" t="s">
        <v>72</v>
      </c>
      <c r="B587" t="s">
        <v>4155</v>
      </c>
      <c r="C587"/>
      <c r="D587"/>
      <c r="E587"/>
      <c r="F587" t="s">
        <v>4156</v>
      </c>
      <c r="G587"/>
      <c r="H587"/>
      <c r="I587" t="s">
        <v>4157</v>
      </c>
      <c r="J587" t="s">
        <v>457</v>
      </c>
      <c r="K587"/>
      <c r="L587"/>
      <c r="M587"/>
      <c r="N587" t="s">
        <v>112</v>
      </c>
      <c r="O587"/>
      <c r="P587"/>
      <c r="Q587"/>
      <c r="R587"/>
      <c r="S587"/>
      <c r="T587" t="s">
        <v>4158</v>
      </c>
      <c r="U587" t="s">
        <v>4159</v>
      </c>
      <c r="V587"/>
      <c r="W587"/>
      <c r="X587"/>
      <c r="Y587"/>
      <c r="Z587"/>
      <c r="AA587"/>
      <c r="AB587"/>
      <c r="AC587"/>
      <c r="AD587"/>
      <c r="AE587"/>
      <c r="AF587"/>
      <c r="AG587"/>
      <c r="AH587">
        <v>9</v>
      </c>
      <c r="AI587">
        <v>9</v>
      </c>
      <c r="AJ587"/>
      <c r="AK587"/>
      <c r="AL587"/>
      <c r="AM587"/>
      <c r="AN587"/>
      <c r="AO587"/>
      <c r="AP587" t="s">
        <v>458</v>
      </c>
      <c r="AQ587"/>
      <c r="AR587"/>
      <c r="AS587"/>
      <c r="AT587" t="s">
        <v>352</v>
      </c>
      <c r="AU587">
        <v>2020</v>
      </c>
      <c r="AV587">
        <v>12</v>
      </c>
      <c r="AW587">
        <v>17</v>
      </c>
      <c r="AX587"/>
      <c r="AY587"/>
      <c r="AZ587"/>
      <c r="BA587"/>
      <c r="BB587"/>
      <c r="BC587"/>
      <c r="BD587">
        <v>6975</v>
      </c>
      <c r="BE587" t="s">
        <v>4160</v>
      </c>
      <c r="BF587" t="str">
        <f>HYPERLINK("http://dx.doi.org/10.3390/su12176975","http://dx.doi.org/10.3390/su12176975")</f>
        <v>http://dx.doi.org/10.3390/su12176975</v>
      </c>
      <c r="BG587"/>
      <c r="BH587"/>
      <c r="BI587"/>
      <c r="BJ587" t="s">
        <v>460</v>
      </c>
      <c r="BK587"/>
      <c r="BL587"/>
      <c r="BM587"/>
      <c r="BN587"/>
      <c r="BO587"/>
      <c r="BP587"/>
      <c r="BQ587"/>
      <c r="BR587"/>
      <c r="BS587"/>
      <c r="BT587" t="str">
        <f>HYPERLINK("https%3A%2F%2Fwww.webofscience.com%2Fwos%2Fwoscc%2Ffull-record%2F","View Full Record in Web of Science")</f>
        <v>View Full Record in Web of Science</v>
      </c>
    </row>
    <row r="588" spans="1:72" customHeight="1" ht="12.75">
      <c r="A588" t="s">
        <v>72</v>
      </c>
      <c r="B588" t="s">
        <v>4161</v>
      </c>
      <c r="C588"/>
      <c r="D588"/>
      <c r="E588"/>
      <c r="F588" t="s">
        <v>4162</v>
      </c>
      <c r="G588"/>
      <c r="H588"/>
      <c r="I588" t="s">
        <v>4163</v>
      </c>
      <c r="J588" t="s">
        <v>457</v>
      </c>
      <c r="K588"/>
      <c r="L588"/>
      <c r="M588"/>
      <c r="N588" t="s">
        <v>112</v>
      </c>
      <c r="O588"/>
      <c r="P588"/>
      <c r="Q588"/>
      <c r="R588"/>
      <c r="S588"/>
      <c r="T588" t="s">
        <v>4164</v>
      </c>
      <c r="U588" t="s">
        <v>4165</v>
      </c>
      <c r="V588"/>
      <c r="W588"/>
      <c r="X588"/>
      <c r="Y588"/>
      <c r="Z588"/>
      <c r="AA588"/>
      <c r="AB588"/>
      <c r="AC588"/>
      <c r="AD588"/>
      <c r="AE588"/>
      <c r="AF588"/>
      <c r="AG588"/>
      <c r="AH588">
        <v>7</v>
      </c>
      <c r="AI588">
        <v>8</v>
      </c>
      <c r="AJ588"/>
      <c r="AK588"/>
      <c r="AL588"/>
      <c r="AM588"/>
      <c r="AN588"/>
      <c r="AO588"/>
      <c r="AP588" t="s">
        <v>458</v>
      </c>
      <c r="AQ588"/>
      <c r="AR588"/>
      <c r="AS588"/>
      <c r="AT588" t="s">
        <v>4166</v>
      </c>
      <c r="AU588">
        <v>2019</v>
      </c>
      <c r="AV588">
        <v>11</v>
      </c>
      <c r="AW588">
        <v>12</v>
      </c>
      <c r="AX588"/>
      <c r="AY588"/>
      <c r="AZ588"/>
      <c r="BA588"/>
      <c r="BB588"/>
      <c r="BC588"/>
      <c r="BD588">
        <v>3246</v>
      </c>
      <c r="BE588" t="s">
        <v>4167</v>
      </c>
      <c r="BF588" t="str">
        <f>HYPERLINK("http://dx.doi.org/10.3390/su11123246","http://dx.doi.org/10.3390/su11123246")</f>
        <v>http://dx.doi.org/10.3390/su11123246</v>
      </c>
      <c r="BG588"/>
      <c r="BH588"/>
      <c r="BI588"/>
      <c r="BJ588" t="s">
        <v>460</v>
      </c>
      <c r="BK588"/>
      <c r="BL588"/>
      <c r="BM588"/>
      <c r="BN588"/>
      <c r="BO588"/>
      <c r="BP588"/>
      <c r="BQ588"/>
      <c r="BR588"/>
      <c r="BS588"/>
      <c r="BT588" t="str">
        <f>HYPERLINK("https%3A%2F%2Fwww.webofscience.com%2Fwos%2Fwoscc%2Ffull-record%2F","View Full Record in Web of Science")</f>
        <v>View Full Record in Web of Science</v>
      </c>
    </row>
    <row r="589" spans="1:72" customHeight="1" ht="12.75">
      <c r="A589" t="s">
        <v>72</v>
      </c>
      <c r="B589" t="s">
        <v>4168</v>
      </c>
      <c r="C589"/>
      <c r="D589"/>
      <c r="E589"/>
      <c r="F589" t="s">
        <v>4169</v>
      </c>
      <c r="G589"/>
      <c r="H589"/>
      <c r="I589" t="s">
        <v>4170</v>
      </c>
      <c r="J589" t="s">
        <v>4171</v>
      </c>
      <c r="K589"/>
      <c r="L589"/>
      <c r="M589"/>
      <c r="N589" t="s">
        <v>325</v>
      </c>
      <c r="O589"/>
      <c r="P589"/>
      <c r="Q589"/>
      <c r="R589"/>
      <c r="S589"/>
      <c r="T589" t="s">
        <v>4172</v>
      </c>
      <c r="U589" t="s">
        <v>4173</v>
      </c>
      <c r="V589"/>
      <c r="W589"/>
      <c r="X589"/>
      <c r="Y589"/>
      <c r="Z589"/>
      <c r="AA589"/>
      <c r="AB589"/>
      <c r="AC589"/>
      <c r="AD589"/>
      <c r="AE589"/>
      <c r="AF589"/>
      <c r="AG589"/>
      <c r="AH589">
        <v>28</v>
      </c>
      <c r="AI589">
        <v>29</v>
      </c>
      <c r="AJ589"/>
      <c r="AK589"/>
      <c r="AL589"/>
      <c r="AM589"/>
      <c r="AN589"/>
      <c r="AO589" t="s">
        <v>4174</v>
      </c>
      <c r="AP589" t="s">
        <v>4175</v>
      </c>
      <c r="AQ589"/>
      <c r="AR589"/>
      <c r="AS589"/>
      <c r="AT589" t="s">
        <v>2930</v>
      </c>
      <c r="AU589">
        <v>2021</v>
      </c>
      <c r="AV589">
        <v>88</v>
      </c>
      <c r="AW589"/>
      <c r="AX589"/>
      <c r="AY589"/>
      <c r="AZ589"/>
      <c r="BA589"/>
      <c r="BB589"/>
      <c r="BC589"/>
      <c r="BD589">
        <v>101647</v>
      </c>
      <c r="BE589" t="s">
        <v>4176</v>
      </c>
      <c r="BF589" t="str">
        <f>HYPERLINK("http://dx.doi.org/10.1016/j.compenvurbsys.2021.101647","http://dx.doi.org/10.1016/j.compenvurbsys.2021.101647")</f>
        <v>http://dx.doi.org/10.1016/j.compenvurbsys.2021.101647</v>
      </c>
      <c r="BG589"/>
      <c r="BH589" t="s">
        <v>2932</v>
      </c>
      <c r="BI589"/>
      <c r="BJ589" t="s">
        <v>4177</v>
      </c>
      <c r="BK589"/>
      <c r="BL589"/>
      <c r="BM589"/>
      <c r="BN589"/>
      <c r="BO589"/>
      <c r="BP589"/>
      <c r="BQ589"/>
      <c r="BR589"/>
      <c r="BS589"/>
      <c r="BT589" t="str">
        <f>HYPERLINK("https%3A%2F%2Fwww.webofscience.com%2Fwos%2Fwoscc%2Ffull-record%2F","View Full Record in Web of Science")</f>
        <v>View Full Record in Web of Science</v>
      </c>
    </row>
    <row r="590" spans="1:72" customHeight="1" ht="12.75">
      <c r="A590" t="s">
        <v>72</v>
      </c>
      <c r="B590" t="s">
        <v>4178</v>
      </c>
      <c r="C590"/>
      <c r="D590"/>
      <c r="E590"/>
      <c r="F590" t="s">
        <v>4179</v>
      </c>
      <c r="G590"/>
      <c r="H590"/>
      <c r="I590" t="s">
        <v>4180</v>
      </c>
      <c r="J590" t="s">
        <v>133</v>
      </c>
      <c r="K590"/>
      <c r="L590"/>
      <c r="M590"/>
      <c r="N590" t="s">
        <v>112</v>
      </c>
      <c r="O590"/>
      <c r="P590"/>
      <c r="Q590"/>
      <c r="R590"/>
      <c r="S590"/>
      <c r="T590" t="s">
        <v>4181</v>
      </c>
      <c r="U590" t="s">
        <v>4182</v>
      </c>
      <c r="V590"/>
      <c r="W590"/>
      <c r="X590"/>
      <c r="Y590"/>
      <c r="Z590"/>
      <c r="AA590"/>
      <c r="AB590"/>
      <c r="AC590"/>
      <c r="AD590"/>
      <c r="AE590"/>
      <c r="AF590"/>
      <c r="AG590"/>
      <c r="AH590">
        <v>117</v>
      </c>
      <c r="AI590">
        <v>125</v>
      </c>
      <c r="AJ590"/>
      <c r="AK590"/>
      <c r="AL590"/>
      <c r="AM590"/>
      <c r="AN590"/>
      <c r="AO590" t="s">
        <v>136</v>
      </c>
      <c r="AP590" t="s">
        <v>137</v>
      </c>
      <c r="AQ590"/>
      <c r="AR590"/>
      <c r="AS590"/>
      <c r="AT590" t="s">
        <v>145</v>
      </c>
      <c r="AU590">
        <v>2017</v>
      </c>
      <c r="AV590">
        <v>21</v>
      </c>
      <c r="AW590">
        <v>2</v>
      </c>
      <c r="AX590"/>
      <c r="AY590"/>
      <c r="AZ590"/>
      <c r="BA590"/>
      <c r="BB590">
        <v>368</v>
      </c>
      <c r="BC590">
        <v>380</v>
      </c>
      <c r="BD590"/>
      <c r="BE590" t="s">
        <v>4183</v>
      </c>
      <c r="BF590" t="str">
        <f>HYPERLINK("http://dx.doi.org/10.1111/jiec.12446","http://dx.doi.org/10.1111/jiec.12446")</f>
        <v>http://dx.doi.org/10.1111/jiec.12446</v>
      </c>
      <c r="BG590"/>
      <c r="BH590"/>
      <c r="BI590"/>
      <c r="BJ590" t="s">
        <v>139</v>
      </c>
      <c r="BK590"/>
      <c r="BL590"/>
      <c r="BM590"/>
      <c r="BN590"/>
      <c r="BO590"/>
      <c r="BP590"/>
      <c r="BQ590"/>
      <c r="BR590"/>
      <c r="BS590"/>
      <c r="BT590" t="str">
        <f>HYPERLINK("https%3A%2F%2Fwww.webofscience.com%2Fwos%2Fwoscc%2Ffull-record%2F","View Full Record in Web of Science")</f>
        <v>View Full Record in Web of Science</v>
      </c>
    </row>
    <row r="591" spans="1:72" customHeight="1" ht="12.75">
      <c r="A591" t="s">
        <v>72</v>
      </c>
      <c r="B591" t="s">
        <v>4184</v>
      </c>
      <c r="C591"/>
      <c r="D591"/>
      <c r="E591"/>
      <c r="F591" t="s">
        <v>4185</v>
      </c>
      <c r="G591"/>
      <c r="H591"/>
      <c r="I591" t="s">
        <v>4186</v>
      </c>
      <c r="J591" t="s">
        <v>4187</v>
      </c>
      <c r="K591"/>
      <c r="L591"/>
      <c r="M591"/>
      <c r="N591" t="s">
        <v>112</v>
      </c>
      <c r="O591"/>
      <c r="P591"/>
      <c r="Q591"/>
      <c r="R591"/>
      <c r="S591"/>
      <c r="T591" t="s">
        <v>4188</v>
      </c>
      <c r="U591" t="s">
        <v>4189</v>
      </c>
      <c r="V591"/>
      <c r="W591"/>
      <c r="X591"/>
      <c r="Y591"/>
      <c r="Z591"/>
      <c r="AA591"/>
      <c r="AB591"/>
      <c r="AC591"/>
      <c r="AD591"/>
      <c r="AE591"/>
      <c r="AF591"/>
      <c r="AG591"/>
      <c r="AH591">
        <v>6</v>
      </c>
      <c r="AI591">
        <v>6</v>
      </c>
      <c r="AJ591"/>
      <c r="AK591"/>
      <c r="AL591"/>
      <c r="AM591"/>
      <c r="AN591"/>
      <c r="AO591" t="s">
        <v>4190</v>
      </c>
      <c r="AP591"/>
      <c r="AQ591"/>
      <c r="AR591"/>
      <c r="AS591"/>
      <c r="AT591" t="s">
        <v>1668</v>
      </c>
      <c r="AU591">
        <v>2019</v>
      </c>
      <c r="AV591">
        <v>7</v>
      </c>
      <c r="AW591"/>
      <c r="AX591"/>
      <c r="AY591"/>
      <c r="AZ591"/>
      <c r="BA591"/>
      <c r="BB591"/>
      <c r="BC591"/>
      <c r="BD591" t="s">
        <v>4191</v>
      </c>
      <c r="BE591" t="s">
        <v>4192</v>
      </c>
      <c r="BF591" t="str">
        <f>HYPERLINK("http://dx.doi.org/10.7717/peerj.6869","http://dx.doi.org/10.7717/peerj.6869")</f>
        <v>http://dx.doi.org/10.7717/peerj.6869</v>
      </c>
      <c r="BG591"/>
      <c r="BH591"/>
      <c r="BI591"/>
      <c r="BJ591" t="s">
        <v>1579</v>
      </c>
      <c r="BK591"/>
      <c r="BL591"/>
      <c r="BM591"/>
      <c r="BN591"/>
      <c r="BO591"/>
      <c r="BP591"/>
      <c r="BQ591"/>
      <c r="BR591"/>
      <c r="BS591"/>
      <c r="BT591" t="str">
        <f>HYPERLINK("https%3A%2F%2Fwww.webofscience.com%2Fwos%2Fwoscc%2Ffull-record%2F","View Full Record in Web of Science")</f>
        <v>View Full Record in Web of Science</v>
      </c>
    </row>
    <row r="592" spans="1:72" customHeight="1" ht="12.75">
      <c r="A592" t="s">
        <v>72</v>
      </c>
      <c r="B592" t="s">
        <v>4193</v>
      </c>
      <c r="C592"/>
      <c r="D592"/>
      <c r="E592"/>
      <c r="F592" t="s">
        <v>4194</v>
      </c>
      <c r="G592"/>
      <c r="H592"/>
      <c r="I592" t="s">
        <v>4195</v>
      </c>
      <c r="J592" t="s">
        <v>1680</v>
      </c>
      <c r="K592"/>
      <c r="L592"/>
      <c r="M592"/>
      <c r="N592" t="s">
        <v>325</v>
      </c>
      <c r="O592"/>
      <c r="P592"/>
      <c r="Q592"/>
      <c r="R592"/>
      <c r="S592"/>
      <c r="T592" t="s">
        <v>4196</v>
      </c>
      <c r="U592" t="s">
        <v>4197</v>
      </c>
      <c r="V592"/>
      <c r="W592"/>
      <c r="X592"/>
      <c r="Y592"/>
      <c r="Z592"/>
      <c r="AA592"/>
      <c r="AB592"/>
      <c r="AC592"/>
      <c r="AD592"/>
      <c r="AE592"/>
      <c r="AF592"/>
      <c r="AG592"/>
      <c r="AH592">
        <v>2</v>
      </c>
      <c r="AI592">
        <v>2</v>
      </c>
      <c r="AJ592"/>
      <c r="AK592"/>
      <c r="AL592"/>
      <c r="AM592"/>
      <c r="AN592"/>
      <c r="AO592" t="s">
        <v>1683</v>
      </c>
      <c r="AP592" t="s">
        <v>1684</v>
      </c>
      <c r="AQ592"/>
      <c r="AR592"/>
      <c r="AS592"/>
      <c r="AT592" t="s">
        <v>4198</v>
      </c>
      <c r="AU592">
        <v>2022</v>
      </c>
      <c r="AV592">
        <v>315</v>
      </c>
      <c r="AW592"/>
      <c r="AX592"/>
      <c r="AY592"/>
      <c r="AZ592"/>
      <c r="BA592"/>
      <c r="BB592"/>
      <c r="BC592"/>
      <c r="BD592">
        <v>115095</v>
      </c>
      <c r="BE592" t="s">
        <v>4199</v>
      </c>
      <c r="BF592" t="str">
        <f>HYPERLINK("http://dx.doi.org/10.1016/j.jenvman.2022.115095","http://dx.doi.org/10.1016/j.jenvman.2022.115095")</f>
        <v>http://dx.doi.org/10.1016/j.jenvman.2022.115095</v>
      </c>
      <c r="BG592"/>
      <c r="BH592" t="s">
        <v>1109</v>
      </c>
      <c r="BI592"/>
      <c r="BJ592" t="s">
        <v>224</v>
      </c>
      <c r="BK592"/>
      <c r="BL592"/>
      <c r="BM592"/>
      <c r="BN592"/>
      <c r="BO592"/>
      <c r="BP592"/>
      <c r="BQ592"/>
      <c r="BR592"/>
      <c r="BS592"/>
      <c r="BT592" t="str">
        <f>HYPERLINK("https%3A%2F%2Fwww.webofscience.com%2Fwos%2Fwoscc%2Ffull-record%2F","View Full Record in Web of Science")</f>
        <v>View Full Record in Web of Science</v>
      </c>
    </row>
    <row r="593" spans="1:72" customHeight="1" ht="12.75">
      <c r="A593" t="s">
        <v>72</v>
      </c>
      <c r="B593" t="s">
        <v>4200</v>
      </c>
      <c r="C593"/>
      <c r="D593"/>
      <c r="E593"/>
      <c r="F593" t="s">
        <v>4201</v>
      </c>
      <c r="G593"/>
      <c r="H593"/>
      <c r="I593" t="s">
        <v>4202</v>
      </c>
      <c r="J593" t="s">
        <v>4203</v>
      </c>
      <c r="K593"/>
      <c r="L593"/>
      <c r="M593"/>
      <c r="N593" t="s">
        <v>112</v>
      </c>
      <c r="O593"/>
      <c r="P593"/>
      <c r="Q593"/>
      <c r="R593"/>
      <c r="S593"/>
      <c r="T593" t="s">
        <v>4204</v>
      </c>
      <c r="U593" t="s">
        <v>4205</v>
      </c>
      <c r="V593"/>
      <c r="W593"/>
      <c r="X593"/>
      <c r="Y593"/>
      <c r="Z593"/>
      <c r="AA593"/>
      <c r="AB593"/>
      <c r="AC593"/>
      <c r="AD593"/>
      <c r="AE593"/>
      <c r="AF593"/>
      <c r="AG593"/>
      <c r="AH593">
        <v>25</v>
      </c>
      <c r="AI593">
        <v>25</v>
      </c>
      <c r="AJ593"/>
      <c r="AK593"/>
      <c r="AL593"/>
      <c r="AM593"/>
      <c r="AN593"/>
      <c r="AO593" t="s">
        <v>4206</v>
      </c>
      <c r="AP593" t="s">
        <v>4207</v>
      </c>
      <c r="AQ593"/>
      <c r="AR593"/>
      <c r="AS593"/>
      <c r="AT593" t="s">
        <v>198</v>
      </c>
      <c r="AU593">
        <v>2015</v>
      </c>
      <c r="AV593">
        <v>22</v>
      </c>
      <c r="AW593">
        <v>4</v>
      </c>
      <c r="AX593"/>
      <c r="AY593"/>
      <c r="AZ593"/>
      <c r="BA593"/>
      <c r="BB593">
        <v>350</v>
      </c>
      <c r="BC593">
        <v>367</v>
      </c>
      <c r="BD593"/>
      <c r="BE593" t="s">
        <v>4208</v>
      </c>
      <c r="BF593" t="str">
        <f>HYPERLINK("http://dx.doi.org/10.1177/0969776412474665","http://dx.doi.org/10.1177/0969776412474665")</f>
        <v>http://dx.doi.org/10.1177/0969776412474665</v>
      </c>
      <c r="BG593"/>
      <c r="BH593"/>
      <c r="BI593"/>
      <c r="BJ593" t="s">
        <v>633</v>
      </c>
      <c r="BK593"/>
      <c r="BL593"/>
      <c r="BM593"/>
      <c r="BN593"/>
      <c r="BO593"/>
      <c r="BP593"/>
      <c r="BQ593"/>
      <c r="BR593"/>
      <c r="BS593"/>
      <c r="BT593" t="str">
        <f>HYPERLINK("https%3A%2F%2Fwww.webofscience.com%2Fwos%2Fwoscc%2Ffull-record%2F","View Full Record in Web of Science")</f>
        <v>View Full Record in Web of Science</v>
      </c>
    </row>
    <row r="594" spans="1:72" customHeight="1" ht="12.75">
      <c r="A594" t="s">
        <v>72</v>
      </c>
      <c r="B594" t="s">
        <v>4209</v>
      </c>
      <c r="C594"/>
      <c r="D594"/>
      <c r="E594"/>
      <c r="F594" t="s">
        <v>4210</v>
      </c>
      <c r="G594"/>
      <c r="H594"/>
      <c r="I594" t="s">
        <v>4211</v>
      </c>
      <c r="J594" t="s">
        <v>4212</v>
      </c>
      <c r="K594"/>
      <c r="L594"/>
      <c r="M594"/>
      <c r="N594" t="s">
        <v>325</v>
      </c>
      <c r="O594"/>
      <c r="P594"/>
      <c r="Q594"/>
      <c r="R594"/>
      <c r="S594"/>
      <c r="T594" t="s">
        <v>4213</v>
      </c>
      <c r="U594" t="s">
        <v>4214</v>
      </c>
      <c r="V594"/>
      <c r="W594"/>
      <c r="X594"/>
      <c r="Y594"/>
      <c r="Z594"/>
      <c r="AA594"/>
      <c r="AB594"/>
      <c r="AC594"/>
      <c r="AD594"/>
      <c r="AE594"/>
      <c r="AF594"/>
      <c r="AG594"/>
      <c r="AH594">
        <v>0.0</v>
      </c>
      <c r="AI594">
        <v>0.0</v>
      </c>
      <c r="AJ594"/>
      <c r="AK594"/>
      <c r="AL594"/>
      <c r="AM594"/>
      <c r="AN594"/>
      <c r="AO594" t="s">
        <v>4215</v>
      </c>
      <c r="AP594" t="s">
        <v>4216</v>
      </c>
      <c r="AQ594"/>
      <c r="AR594"/>
      <c r="AS594"/>
      <c r="AT594" t="s">
        <v>4217</v>
      </c>
      <c r="AU594">
        <v>2023</v>
      </c>
      <c r="AV594">
        <v>236</v>
      </c>
      <c r="AW594"/>
      <c r="AX594">
        <v>1</v>
      </c>
      <c r="AY594"/>
      <c r="AZ594"/>
      <c r="BA594"/>
      <c r="BB594"/>
      <c r="BC594"/>
      <c r="BD594">
        <v>116737</v>
      </c>
      <c r="BE594" t="s">
        <v>4218</v>
      </c>
      <c r="BF594" t="str">
        <f>HYPERLINK("http://dx.doi.org/10.1016/j.envres.2023.116737","http://dx.doi.org/10.1016/j.envres.2023.116737")</f>
        <v>http://dx.doi.org/10.1016/j.envres.2023.116737</v>
      </c>
      <c r="BG594"/>
      <c r="BH594" t="s">
        <v>330</v>
      </c>
      <c r="BI594"/>
      <c r="BJ594" t="s">
        <v>492</v>
      </c>
      <c r="BK594"/>
      <c r="BL594"/>
      <c r="BM594"/>
      <c r="BN594"/>
      <c r="BO594"/>
      <c r="BP594"/>
      <c r="BQ594"/>
      <c r="BR594"/>
      <c r="BS594"/>
      <c r="BT594" t="str">
        <f>HYPERLINK("https%3A%2F%2Fwww.webofscience.com%2Fwos%2Fwoscc%2Ffull-record%2F","View Full Record in Web of Science")</f>
        <v>View Full Record in Web of Science</v>
      </c>
    </row>
    <row r="595" spans="1:72" customHeight="1" ht="12.75">
      <c r="A595" t="s">
        <v>72</v>
      </c>
      <c r="B595" t="s">
        <v>4219</v>
      </c>
      <c r="C595"/>
      <c r="D595"/>
      <c r="E595"/>
      <c r="F595" t="s">
        <v>4220</v>
      </c>
      <c r="G595"/>
      <c r="H595"/>
      <c r="I595" t="s">
        <v>4221</v>
      </c>
      <c r="J595" t="s">
        <v>1067</v>
      </c>
      <c r="K595"/>
      <c r="L595"/>
      <c r="M595"/>
      <c r="N595" t="s">
        <v>112</v>
      </c>
      <c r="O595"/>
      <c r="P595"/>
      <c r="Q595"/>
      <c r="R595"/>
      <c r="S595"/>
      <c r="T595" t="s">
        <v>4222</v>
      </c>
      <c r="U595" t="s">
        <v>4223</v>
      </c>
      <c r="V595"/>
      <c r="W595"/>
      <c r="X595"/>
      <c r="Y595"/>
      <c r="Z595"/>
      <c r="AA595"/>
      <c r="AB595"/>
      <c r="AC595"/>
      <c r="AD595"/>
      <c r="AE595"/>
      <c r="AF595"/>
      <c r="AG595"/>
      <c r="AH595">
        <v>28</v>
      </c>
      <c r="AI595">
        <v>30</v>
      </c>
      <c r="AJ595"/>
      <c r="AK595"/>
      <c r="AL595"/>
      <c r="AM595"/>
      <c r="AN595"/>
      <c r="AO595" t="s">
        <v>1070</v>
      </c>
      <c r="AP595" t="s">
        <v>1071</v>
      </c>
      <c r="AQ595"/>
      <c r="AR595"/>
      <c r="AS595"/>
      <c r="AT595" t="s">
        <v>708</v>
      </c>
      <c r="AU595">
        <v>2019</v>
      </c>
      <c r="AV595">
        <v>651</v>
      </c>
      <c r="AW595"/>
      <c r="AX595">
        <v>1</v>
      </c>
      <c r="AY595"/>
      <c r="AZ595"/>
      <c r="BA595"/>
      <c r="BB595">
        <v>1495</v>
      </c>
      <c r="BC595">
        <v>1504</v>
      </c>
      <c r="BD595"/>
      <c r="BE595" t="s">
        <v>4224</v>
      </c>
      <c r="BF595" t="str">
        <f>HYPERLINK("http://dx.doi.org/10.1016/j.scitotenv.2018.09.293","http://dx.doi.org/10.1016/j.scitotenv.2018.09.293")</f>
        <v>http://dx.doi.org/10.1016/j.scitotenv.2018.09.293</v>
      </c>
      <c r="BG595"/>
      <c r="BH595"/>
      <c r="BI595"/>
      <c r="BJ595" t="s">
        <v>224</v>
      </c>
      <c r="BK595"/>
      <c r="BL595"/>
      <c r="BM595"/>
      <c r="BN595"/>
      <c r="BO595"/>
      <c r="BP595"/>
      <c r="BQ595"/>
      <c r="BR595"/>
      <c r="BS595"/>
      <c r="BT595" t="str">
        <f>HYPERLINK("https%3A%2F%2Fwww.webofscience.com%2Fwos%2Fwoscc%2Ffull-record%2F","View Full Record in Web of Science")</f>
        <v>View Full Record in Web of Science</v>
      </c>
    </row>
    <row r="596" spans="1:72" customHeight="1" ht="12.75">
      <c r="A596" t="s">
        <v>72</v>
      </c>
      <c r="B596" t="s">
        <v>4225</v>
      </c>
      <c r="C596"/>
      <c r="D596"/>
      <c r="E596"/>
      <c r="F596" t="s">
        <v>4226</v>
      </c>
      <c r="G596"/>
      <c r="H596"/>
      <c r="I596" t="s">
        <v>4227</v>
      </c>
      <c r="J596" t="s">
        <v>4228</v>
      </c>
      <c r="K596"/>
      <c r="L596"/>
      <c r="M596"/>
      <c r="N596" t="s">
        <v>112</v>
      </c>
      <c r="O596"/>
      <c r="P596"/>
      <c r="Q596"/>
      <c r="R596"/>
      <c r="S596"/>
      <c r="T596"/>
      <c r="U596" t="s">
        <v>4229</v>
      </c>
      <c r="V596"/>
      <c r="W596"/>
      <c r="X596"/>
      <c r="Y596"/>
      <c r="Z596"/>
      <c r="AA596"/>
      <c r="AB596"/>
      <c r="AC596"/>
      <c r="AD596"/>
      <c r="AE596"/>
      <c r="AF596"/>
      <c r="AG596"/>
      <c r="AH596">
        <v>13</v>
      </c>
      <c r="AI596">
        <v>17</v>
      </c>
      <c r="AJ596"/>
      <c r="AK596"/>
      <c r="AL596"/>
      <c r="AM596"/>
      <c r="AN596"/>
      <c r="AO596" t="s">
        <v>4230</v>
      </c>
      <c r="AP596" t="s">
        <v>4231</v>
      </c>
      <c r="AQ596"/>
      <c r="AR596"/>
      <c r="AS596"/>
      <c r="AT596"/>
      <c r="AU596">
        <v>2015</v>
      </c>
      <c r="AV596">
        <v>8</v>
      </c>
      <c r="AW596">
        <v>8</v>
      </c>
      <c r="AX596"/>
      <c r="AY596"/>
      <c r="AZ596"/>
      <c r="BA596"/>
      <c r="BB596">
        <v>3481</v>
      </c>
      <c r="BC596">
        <v>3492</v>
      </c>
      <c r="BD596"/>
      <c r="BE596" t="s">
        <v>4232</v>
      </c>
      <c r="BF596" t="str">
        <f>HYPERLINK("http://dx.doi.org/10.5194/amt-8-3481-2015","http://dx.doi.org/10.5194/amt-8-3481-2015")</f>
        <v>http://dx.doi.org/10.5194/amt-8-3481-2015</v>
      </c>
      <c r="BG596"/>
      <c r="BH596"/>
      <c r="BI596"/>
      <c r="BJ596" t="s">
        <v>2204</v>
      </c>
      <c r="BK596"/>
      <c r="BL596"/>
      <c r="BM596"/>
      <c r="BN596"/>
      <c r="BO596"/>
      <c r="BP596"/>
      <c r="BQ596"/>
      <c r="BR596"/>
      <c r="BS596"/>
      <c r="BT596" t="str">
        <f>HYPERLINK("https%3A%2F%2Fwww.webofscience.com%2Fwos%2Fwoscc%2Ffull-record%2F","View Full Record in Web of Science")</f>
        <v>View Full Record in Web of Science</v>
      </c>
    </row>
    <row r="597" spans="1:72" customHeight="1" ht="12.75">
      <c r="A597" t="s">
        <v>72</v>
      </c>
      <c r="B597" t="s">
        <v>4233</v>
      </c>
      <c r="C597"/>
      <c r="D597"/>
      <c r="E597"/>
      <c r="F597" t="s">
        <v>4234</v>
      </c>
      <c r="G597"/>
      <c r="H597"/>
      <c r="I597" t="s">
        <v>4235</v>
      </c>
      <c r="J597" t="s">
        <v>1957</v>
      </c>
      <c r="K597"/>
      <c r="L597"/>
      <c r="M597"/>
      <c r="N597" t="s">
        <v>325</v>
      </c>
      <c r="O597"/>
      <c r="P597"/>
      <c r="Q597"/>
      <c r="R597"/>
      <c r="S597"/>
      <c r="T597" t="s">
        <v>4236</v>
      </c>
      <c r="U597" t="s">
        <v>4237</v>
      </c>
      <c r="V597"/>
      <c r="W597"/>
      <c r="X597"/>
      <c r="Y597"/>
      <c r="Z597"/>
      <c r="AA597"/>
      <c r="AB597"/>
      <c r="AC597"/>
      <c r="AD597"/>
      <c r="AE597"/>
      <c r="AF597"/>
      <c r="AG597"/>
      <c r="AH597">
        <v>10</v>
      </c>
      <c r="AI597">
        <v>10</v>
      </c>
      <c r="AJ597"/>
      <c r="AK597"/>
      <c r="AL597"/>
      <c r="AM597"/>
      <c r="AN597"/>
      <c r="AO597" t="s">
        <v>1959</v>
      </c>
      <c r="AP597" t="s">
        <v>3003</v>
      </c>
      <c r="AQ597"/>
      <c r="AR597"/>
      <c r="AS597"/>
      <c r="AT597" t="s">
        <v>2225</v>
      </c>
      <c r="AU597">
        <v>2022</v>
      </c>
      <c r="AV597">
        <v>29</v>
      </c>
      <c r="AW597">
        <v>26</v>
      </c>
      <c r="AX597"/>
      <c r="AY597"/>
      <c r="AZ597"/>
      <c r="BA597"/>
      <c r="BB597">
        <v>40213</v>
      </c>
      <c r="BC597">
        <v>40225</v>
      </c>
      <c r="BD597"/>
      <c r="BE597" t="s">
        <v>4238</v>
      </c>
      <c r="BF597" t="str">
        <f>HYPERLINK("http://dx.doi.org/10.1007/s11356-022-18916-6","http://dx.doi.org/10.1007/s11356-022-18916-6")</f>
        <v>http://dx.doi.org/10.1007/s11356-022-18916-6</v>
      </c>
      <c r="BG597"/>
      <c r="BH597" t="s">
        <v>106</v>
      </c>
      <c r="BI597"/>
      <c r="BJ597" t="s">
        <v>224</v>
      </c>
      <c r="BK597"/>
      <c r="BL597"/>
      <c r="BM597"/>
      <c r="BN597"/>
      <c r="BO597"/>
      <c r="BP597"/>
      <c r="BQ597"/>
      <c r="BR597"/>
      <c r="BS597"/>
      <c r="BT597" t="str">
        <f>HYPERLINK("https%3A%2F%2Fwww.webofscience.com%2Fwos%2Fwoscc%2Ffull-record%2F","View Full Record in Web of Science")</f>
        <v>View Full Record in Web of Science</v>
      </c>
    </row>
    <row r="598" spans="1:72" customHeight="1" ht="12.75">
      <c r="A598" t="s">
        <v>72</v>
      </c>
      <c r="B598" t="s">
        <v>4239</v>
      </c>
      <c r="C598"/>
      <c r="D598"/>
      <c r="E598"/>
      <c r="F598" t="s">
        <v>4240</v>
      </c>
      <c r="G598"/>
      <c r="H598"/>
      <c r="I598" t="s">
        <v>4241</v>
      </c>
      <c r="J598" t="s">
        <v>111</v>
      </c>
      <c r="K598"/>
      <c r="L598"/>
      <c r="M598"/>
      <c r="N598" t="s">
        <v>112</v>
      </c>
      <c r="O598"/>
      <c r="P598"/>
      <c r="Q598"/>
      <c r="R598"/>
      <c r="S598"/>
      <c r="T598" t="s">
        <v>4242</v>
      </c>
      <c r="U598" t="s">
        <v>4243</v>
      </c>
      <c r="V598"/>
      <c r="W598"/>
      <c r="X598"/>
      <c r="Y598"/>
      <c r="Z598"/>
      <c r="AA598"/>
      <c r="AB598"/>
      <c r="AC598"/>
      <c r="AD598"/>
      <c r="AE598"/>
      <c r="AF598"/>
      <c r="AG598"/>
      <c r="AH598">
        <v>11</v>
      </c>
      <c r="AI598">
        <v>11</v>
      </c>
      <c r="AJ598"/>
      <c r="AK598"/>
      <c r="AL598"/>
      <c r="AM598"/>
      <c r="AN598"/>
      <c r="AO598" t="s">
        <v>115</v>
      </c>
      <c r="AP598" t="s">
        <v>116</v>
      </c>
      <c r="AQ598"/>
      <c r="AR598"/>
      <c r="AS598"/>
      <c r="AT598" t="s">
        <v>117</v>
      </c>
      <c r="AU598">
        <v>2020</v>
      </c>
      <c r="AV598">
        <v>156</v>
      </c>
      <c r="AW598"/>
      <c r="AX598"/>
      <c r="AY598"/>
      <c r="AZ598"/>
      <c r="BA598"/>
      <c r="BB598"/>
      <c r="BC598"/>
      <c r="BD598">
        <v>104725</v>
      </c>
      <c r="BE598" t="s">
        <v>4244</v>
      </c>
      <c r="BF598" t="str">
        <f>HYPERLINK("http://dx.doi.org/10.1016/j.resconrec.2020.104725","http://dx.doi.org/10.1016/j.resconrec.2020.104725")</f>
        <v>http://dx.doi.org/10.1016/j.resconrec.2020.104725</v>
      </c>
      <c r="BG598"/>
      <c r="BH598"/>
      <c r="BI598"/>
      <c r="BJ598" t="s">
        <v>119</v>
      </c>
      <c r="BK598"/>
      <c r="BL598"/>
      <c r="BM598"/>
      <c r="BN598"/>
      <c r="BO598"/>
      <c r="BP598"/>
      <c r="BQ598"/>
      <c r="BR598"/>
      <c r="BS598"/>
      <c r="BT598" t="str">
        <f>HYPERLINK("https%3A%2F%2Fwww.webofscience.com%2Fwos%2Fwoscc%2Ffull-record%2F","View Full Record in Web of Science")</f>
        <v>View Full Record in Web of Science</v>
      </c>
    </row>
    <row r="599" spans="1:72" customHeight="1" ht="12.75">
      <c r="A599" t="s">
        <v>72</v>
      </c>
      <c r="B599" t="s">
        <v>4245</v>
      </c>
      <c r="C599"/>
      <c r="D599"/>
      <c r="E599"/>
      <c r="F599" t="s">
        <v>4246</v>
      </c>
      <c r="G599"/>
      <c r="H599"/>
      <c r="I599" t="s">
        <v>4247</v>
      </c>
      <c r="J599" t="s">
        <v>4248</v>
      </c>
      <c r="K599"/>
      <c r="L599"/>
      <c r="M599"/>
      <c r="N599" t="s">
        <v>112</v>
      </c>
      <c r="O599"/>
      <c r="P599"/>
      <c r="Q599"/>
      <c r="R599"/>
      <c r="S599"/>
      <c r="T599" t="s">
        <v>4249</v>
      </c>
      <c r="U599" t="s">
        <v>4250</v>
      </c>
      <c r="V599"/>
      <c r="W599"/>
      <c r="X599"/>
      <c r="Y599"/>
      <c r="Z599"/>
      <c r="AA599"/>
      <c r="AB599"/>
      <c r="AC599"/>
      <c r="AD599"/>
      <c r="AE599"/>
      <c r="AF599"/>
      <c r="AG599"/>
      <c r="AH599">
        <v>15</v>
      </c>
      <c r="AI599">
        <v>15</v>
      </c>
      <c r="AJ599"/>
      <c r="AK599"/>
      <c r="AL599"/>
      <c r="AM599"/>
      <c r="AN599"/>
      <c r="AO599"/>
      <c r="AP599" t="s">
        <v>4251</v>
      </c>
      <c r="AQ599"/>
      <c r="AR599"/>
      <c r="AS599"/>
      <c r="AT599" t="s">
        <v>490</v>
      </c>
      <c r="AU599">
        <v>2020</v>
      </c>
      <c r="AV599">
        <v>2</v>
      </c>
      <c r="AW599">
        <v>1</v>
      </c>
      <c r="AX599"/>
      <c r="AY599"/>
      <c r="AZ599"/>
      <c r="BA599"/>
      <c r="BB599">
        <v>188</v>
      </c>
      <c r="BC599">
        <v>213</v>
      </c>
      <c r="BD599"/>
      <c r="BE599" t="s">
        <v>4252</v>
      </c>
      <c r="BF599" t="str">
        <f>HYPERLINK("http://dx.doi.org/10.2166/bgs.2020.929","http://dx.doi.org/10.2166/bgs.2020.929")</f>
        <v>http://dx.doi.org/10.2166/bgs.2020.929</v>
      </c>
      <c r="BG599"/>
      <c r="BH599"/>
      <c r="BI599"/>
      <c r="BJ599" t="s">
        <v>2716</v>
      </c>
      <c r="BK599"/>
      <c r="BL599"/>
      <c r="BM599"/>
      <c r="BN599"/>
      <c r="BO599"/>
      <c r="BP599"/>
      <c r="BQ599"/>
      <c r="BR599"/>
      <c r="BS599"/>
      <c r="BT599" t="str">
        <f>HYPERLINK("https%3A%2F%2Fwww.webofscience.com%2Fwos%2Fwoscc%2Ffull-record%2F","View Full Record in Web of Science")</f>
        <v>View Full Record in Web of Science</v>
      </c>
    </row>
    <row r="600" spans="1:72" customHeight="1" ht="12.75">
      <c r="A600" t="s">
        <v>72</v>
      </c>
      <c r="B600" t="s">
        <v>4253</v>
      </c>
      <c r="C600"/>
      <c r="D600"/>
      <c r="E600"/>
      <c r="F600" t="s">
        <v>4254</v>
      </c>
      <c r="G600"/>
      <c r="H600"/>
      <c r="I600" t="s">
        <v>4255</v>
      </c>
      <c r="J600" t="s">
        <v>4256</v>
      </c>
      <c r="K600"/>
      <c r="L600"/>
      <c r="M600"/>
      <c r="N600" t="s">
        <v>112</v>
      </c>
      <c r="O600"/>
      <c r="P600"/>
      <c r="Q600"/>
      <c r="R600"/>
      <c r="S600"/>
      <c r="T600" t="s">
        <v>4257</v>
      </c>
      <c r="U600" t="s">
        <v>4258</v>
      </c>
      <c r="V600"/>
      <c r="W600"/>
      <c r="X600"/>
      <c r="Y600"/>
      <c r="Z600"/>
      <c r="AA600"/>
      <c r="AB600"/>
      <c r="AC600"/>
      <c r="AD600"/>
      <c r="AE600"/>
      <c r="AF600"/>
      <c r="AG600"/>
      <c r="AH600">
        <v>4</v>
      </c>
      <c r="AI600">
        <v>5</v>
      </c>
      <c r="AJ600"/>
      <c r="AK600"/>
      <c r="AL600"/>
      <c r="AM600"/>
      <c r="AN600"/>
      <c r="AO600" t="s">
        <v>4259</v>
      </c>
      <c r="AP600"/>
      <c r="AQ600"/>
      <c r="AR600"/>
      <c r="AS600"/>
      <c r="AT600" t="s">
        <v>190</v>
      </c>
      <c r="AU600">
        <v>2019</v>
      </c>
      <c r="AV600">
        <v>10</v>
      </c>
      <c r="AW600">
        <v>2</v>
      </c>
      <c r="AX600"/>
      <c r="AY600"/>
      <c r="AZ600"/>
      <c r="BA600"/>
      <c r="BB600">
        <v>564</v>
      </c>
      <c r="BC600">
        <v>570</v>
      </c>
      <c r="BD600"/>
      <c r="BE600" t="s">
        <v>4260</v>
      </c>
      <c r="BF600" t="str">
        <f>HYPERLINK("http://dx.doi.org/10.1016/j.apr.2018.10.009","http://dx.doi.org/10.1016/j.apr.2018.10.009")</f>
        <v>http://dx.doi.org/10.1016/j.apr.2018.10.009</v>
      </c>
      <c r="BG600"/>
      <c r="BH600"/>
      <c r="BI600"/>
      <c r="BJ600" t="s">
        <v>224</v>
      </c>
      <c r="BK600"/>
      <c r="BL600"/>
      <c r="BM600"/>
      <c r="BN600"/>
      <c r="BO600"/>
      <c r="BP600"/>
      <c r="BQ600"/>
      <c r="BR600"/>
      <c r="BS600"/>
      <c r="BT600" t="str">
        <f>HYPERLINK("https%3A%2F%2Fwww.webofscience.com%2Fwos%2Fwoscc%2Ffull-record%2F","View Full Record in Web of Science")</f>
        <v>View Full Record in Web of Science</v>
      </c>
    </row>
    <row r="601" spans="1:72" customHeight="1" ht="12.75">
      <c r="A601" t="s">
        <v>72</v>
      </c>
      <c r="B601" t="s">
        <v>4261</v>
      </c>
      <c r="C601"/>
      <c r="D601"/>
      <c r="E601"/>
      <c r="F601" t="s">
        <v>4262</v>
      </c>
      <c r="G601"/>
      <c r="H601"/>
      <c r="I601" t="s">
        <v>4263</v>
      </c>
      <c r="J601" t="s">
        <v>111</v>
      </c>
      <c r="K601"/>
      <c r="L601"/>
      <c r="M601"/>
      <c r="N601" t="s">
        <v>112</v>
      </c>
      <c r="O601"/>
      <c r="P601"/>
      <c r="Q601"/>
      <c r="R601"/>
      <c r="S601"/>
      <c r="T601" t="s">
        <v>4264</v>
      </c>
      <c r="U601" t="s">
        <v>4265</v>
      </c>
      <c r="V601"/>
      <c r="W601"/>
      <c r="X601"/>
      <c r="Y601"/>
      <c r="Z601"/>
      <c r="AA601"/>
      <c r="AB601"/>
      <c r="AC601"/>
      <c r="AD601"/>
      <c r="AE601"/>
      <c r="AF601"/>
      <c r="AG601"/>
      <c r="AH601">
        <v>130</v>
      </c>
      <c r="AI601">
        <v>133</v>
      </c>
      <c r="AJ601"/>
      <c r="AK601"/>
      <c r="AL601"/>
      <c r="AM601"/>
      <c r="AN601"/>
      <c r="AO601" t="s">
        <v>115</v>
      </c>
      <c r="AP601" t="s">
        <v>116</v>
      </c>
      <c r="AQ601"/>
      <c r="AR601"/>
      <c r="AS601"/>
      <c r="AT601" t="s">
        <v>394</v>
      </c>
      <c r="AU601">
        <v>2018</v>
      </c>
      <c r="AV601">
        <v>129</v>
      </c>
      <c r="AW601"/>
      <c r="AX601"/>
      <c r="AY601"/>
      <c r="AZ601"/>
      <c r="BA601"/>
      <c r="BB601">
        <v>248</v>
      </c>
      <c r="BC601">
        <v>262</v>
      </c>
      <c r="BD601"/>
      <c r="BE601" t="s">
        <v>4266</v>
      </c>
      <c r="BF601" t="str">
        <f>HYPERLINK("http://dx.doi.org/10.1016/j.resconrec.2017.09.022","http://dx.doi.org/10.1016/j.resconrec.2017.09.022")</f>
        <v>http://dx.doi.org/10.1016/j.resconrec.2017.09.022</v>
      </c>
      <c r="BG601"/>
      <c r="BH601"/>
      <c r="BI601"/>
      <c r="BJ601" t="s">
        <v>119</v>
      </c>
      <c r="BK601"/>
      <c r="BL601"/>
      <c r="BM601"/>
      <c r="BN601"/>
      <c r="BO601"/>
      <c r="BP601"/>
      <c r="BQ601"/>
      <c r="BR601"/>
      <c r="BS601"/>
      <c r="BT601" t="str">
        <f>HYPERLINK("https%3A%2F%2Fwww.webofscience.com%2Fwos%2Fwoscc%2Ffull-record%2F","View Full Record in Web of Science")</f>
        <v>View Full Record in Web of Science</v>
      </c>
    </row>
    <row r="602" spans="1:72" customHeight="1" ht="12.75">
      <c r="A602" t="s">
        <v>72</v>
      </c>
      <c r="B602" t="s">
        <v>4267</v>
      </c>
      <c r="C602"/>
      <c r="D602"/>
      <c r="E602"/>
      <c r="F602" t="s">
        <v>4268</v>
      </c>
      <c r="G602"/>
      <c r="H602"/>
      <c r="I602" t="s">
        <v>4269</v>
      </c>
      <c r="J602" t="s">
        <v>3334</v>
      </c>
      <c r="K602"/>
      <c r="L602"/>
      <c r="M602"/>
      <c r="N602" t="s">
        <v>112</v>
      </c>
      <c r="O602"/>
      <c r="P602"/>
      <c r="Q602"/>
      <c r="R602"/>
      <c r="S602"/>
      <c r="T602" t="s">
        <v>4270</v>
      </c>
      <c r="U602" t="s">
        <v>4271</v>
      </c>
      <c r="V602"/>
      <c r="W602"/>
      <c r="X602"/>
      <c r="Y602"/>
      <c r="Z602"/>
      <c r="AA602"/>
      <c r="AB602"/>
      <c r="AC602"/>
      <c r="AD602"/>
      <c r="AE602"/>
      <c r="AF602"/>
      <c r="AG602"/>
      <c r="AH602">
        <v>0.0</v>
      </c>
      <c r="AI602">
        <v>0.0</v>
      </c>
      <c r="AJ602"/>
      <c r="AK602"/>
      <c r="AL602"/>
      <c r="AM602"/>
      <c r="AN602"/>
      <c r="AO602"/>
      <c r="AP602" t="s">
        <v>3337</v>
      </c>
      <c r="AQ602"/>
      <c r="AR602"/>
      <c r="AS602"/>
      <c r="AT602" t="s">
        <v>145</v>
      </c>
      <c r="AU602">
        <v>2023</v>
      </c>
      <c r="AV602">
        <v>12</v>
      </c>
      <c r="AW602">
        <v>4</v>
      </c>
      <c r="AX602"/>
      <c r="AY602"/>
      <c r="AZ602"/>
      <c r="BA602"/>
      <c r="BB602"/>
      <c r="BC602"/>
      <c r="BD602">
        <v>841</v>
      </c>
      <c r="BE602" t="s">
        <v>4272</v>
      </c>
      <c r="BF602" t="str">
        <f>HYPERLINK("http://dx.doi.org/10.3390/land12040841","http://dx.doi.org/10.3390/land12040841")</f>
        <v>http://dx.doi.org/10.3390/land12040841</v>
      </c>
      <c r="BG602"/>
      <c r="BH602"/>
      <c r="BI602"/>
      <c r="BJ602" t="s">
        <v>359</v>
      </c>
      <c r="BK602"/>
      <c r="BL602"/>
      <c r="BM602"/>
      <c r="BN602"/>
      <c r="BO602"/>
      <c r="BP602"/>
      <c r="BQ602"/>
      <c r="BR602"/>
      <c r="BS602"/>
      <c r="BT602" t="str">
        <f>HYPERLINK("https%3A%2F%2Fwww.webofscience.com%2Fwos%2Fwoscc%2Ffull-record%2F","View Full Record in Web of Science")</f>
        <v>View Full Record in Web of Science</v>
      </c>
    </row>
    <row r="603" spans="1:72" customHeight="1" ht="12.75">
      <c r="A603" t="s">
        <v>72</v>
      </c>
      <c r="B603" t="s">
        <v>4273</v>
      </c>
      <c r="C603"/>
      <c r="D603"/>
      <c r="E603"/>
      <c r="F603" t="s">
        <v>4274</v>
      </c>
      <c r="G603"/>
      <c r="H603"/>
      <c r="I603" t="s">
        <v>4275</v>
      </c>
      <c r="J603" t="s">
        <v>587</v>
      </c>
      <c r="K603"/>
      <c r="L603"/>
      <c r="M603"/>
      <c r="N603" t="s">
        <v>112</v>
      </c>
      <c r="O603"/>
      <c r="P603"/>
      <c r="Q603"/>
      <c r="R603"/>
      <c r="S603"/>
      <c r="T603" t="s">
        <v>4276</v>
      </c>
      <c r="U603" t="s">
        <v>4277</v>
      </c>
      <c r="V603"/>
      <c r="W603"/>
      <c r="X603"/>
      <c r="Y603"/>
      <c r="Z603"/>
      <c r="AA603"/>
      <c r="AB603"/>
      <c r="AC603"/>
      <c r="AD603"/>
      <c r="AE603"/>
      <c r="AF603"/>
      <c r="AG603"/>
      <c r="AH603">
        <v>7</v>
      </c>
      <c r="AI603">
        <v>7</v>
      </c>
      <c r="AJ603"/>
      <c r="AK603"/>
      <c r="AL603"/>
      <c r="AM603"/>
      <c r="AN603"/>
      <c r="AO603" t="s">
        <v>590</v>
      </c>
      <c r="AP603" t="s">
        <v>591</v>
      </c>
      <c r="AQ603"/>
      <c r="AR603"/>
      <c r="AS603"/>
      <c r="AT603" t="s">
        <v>592</v>
      </c>
      <c r="AU603">
        <v>2021</v>
      </c>
      <c r="AV603">
        <v>281</v>
      </c>
      <c r="AW603"/>
      <c r="AX603"/>
      <c r="AY603"/>
      <c r="AZ603"/>
      <c r="BA603"/>
      <c r="BB603"/>
      <c r="BC603"/>
      <c r="BD603">
        <v>124694</v>
      </c>
      <c r="BE603" t="s">
        <v>4278</v>
      </c>
      <c r="BF603" t="str">
        <f>HYPERLINK("http://dx.doi.org/10.1016/j.jclepro.2020.124694","http://dx.doi.org/10.1016/j.jclepro.2020.124694")</f>
        <v>http://dx.doi.org/10.1016/j.jclepro.2020.124694</v>
      </c>
      <c r="BG603"/>
      <c r="BH603"/>
      <c r="BI603"/>
      <c r="BJ603" t="s">
        <v>139</v>
      </c>
      <c r="BK603"/>
      <c r="BL603"/>
      <c r="BM603"/>
      <c r="BN603"/>
      <c r="BO603"/>
      <c r="BP603"/>
      <c r="BQ603"/>
      <c r="BR603"/>
      <c r="BS603"/>
      <c r="BT603" t="str">
        <f>HYPERLINK("https%3A%2F%2Fwww.webofscience.com%2Fwos%2Fwoscc%2Ffull-record%2F","View Full Record in Web of Science")</f>
        <v>View Full Record in Web of Science</v>
      </c>
    </row>
    <row r="604" spans="1:72" customHeight="1" ht="12.75">
      <c r="A604" t="s">
        <v>72</v>
      </c>
      <c r="B604" t="s">
        <v>4279</v>
      </c>
      <c r="C604"/>
      <c r="D604"/>
      <c r="E604"/>
      <c r="F604" t="s">
        <v>4280</v>
      </c>
      <c r="G604"/>
      <c r="H604"/>
      <c r="I604" t="s">
        <v>4281</v>
      </c>
      <c r="J604" t="s">
        <v>111</v>
      </c>
      <c r="K604"/>
      <c r="L604"/>
      <c r="M604"/>
      <c r="N604" t="s">
        <v>112</v>
      </c>
      <c r="O604"/>
      <c r="P604"/>
      <c r="Q604"/>
      <c r="R604"/>
      <c r="S604"/>
      <c r="T604" t="s">
        <v>4282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>
        <v>16</v>
      </c>
      <c r="AI604">
        <v>17</v>
      </c>
      <c r="AJ604"/>
      <c r="AK604"/>
      <c r="AL604"/>
      <c r="AM604"/>
      <c r="AN604"/>
      <c r="AO604" t="s">
        <v>115</v>
      </c>
      <c r="AP604" t="s">
        <v>116</v>
      </c>
      <c r="AQ604"/>
      <c r="AR604"/>
      <c r="AS604"/>
      <c r="AT604" t="s">
        <v>352</v>
      </c>
      <c r="AU604">
        <v>2020</v>
      </c>
      <c r="AV604">
        <v>160</v>
      </c>
      <c r="AW604"/>
      <c r="AX604"/>
      <c r="AY604"/>
      <c r="AZ604"/>
      <c r="BA604"/>
      <c r="BB604"/>
      <c r="BC604"/>
      <c r="BD604">
        <v>104909</v>
      </c>
      <c r="BE604" t="s">
        <v>4283</v>
      </c>
      <c r="BF604" t="str">
        <f>HYPERLINK("http://dx.doi.org/10.1016/j.resconrec.2020.104909","http://dx.doi.org/10.1016/j.resconrec.2020.104909")</f>
        <v>http://dx.doi.org/10.1016/j.resconrec.2020.104909</v>
      </c>
      <c r="BG604"/>
      <c r="BH604"/>
      <c r="BI604"/>
      <c r="BJ604" t="s">
        <v>119</v>
      </c>
      <c r="BK604"/>
      <c r="BL604"/>
      <c r="BM604"/>
      <c r="BN604"/>
      <c r="BO604"/>
      <c r="BP604"/>
      <c r="BQ604"/>
      <c r="BR604"/>
      <c r="BS604"/>
      <c r="BT604" t="str">
        <f>HYPERLINK("https%3A%2F%2Fwww.webofscience.com%2Fwos%2Fwoscc%2Ffull-record%2F","View Full Record in Web of Science")</f>
        <v>View Full Record in Web of Science</v>
      </c>
    </row>
    <row r="605" spans="1:72" customHeight="1" ht="12.75">
      <c r="A605" t="s">
        <v>72</v>
      </c>
      <c r="B605" t="s">
        <v>4284</v>
      </c>
      <c r="C605"/>
      <c r="D605"/>
      <c r="E605"/>
      <c r="F605" t="s">
        <v>4285</v>
      </c>
      <c r="G605"/>
      <c r="H605"/>
      <c r="I605" t="s">
        <v>4286</v>
      </c>
      <c r="J605" t="s">
        <v>510</v>
      </c>
      <c r="K605"/>
      <c r="L605"/>
      <c r="M605"/>
      <c r="N605" t="s">
        <v>112</v>
      </c>
      <c r="O605"/>
      <c r="P605"/>
      <c r="Q605"/>
      <c r="R605"/>
      <c r="S605"/>
      <c r="T605" t="s">
        <v>4287</v>
      </c>
      <c r="U605" t="s">
        <v>4288</v>
      </c>
      <c r="V605"/>
      <c r="W605"/>
      <c r="X605"/>
      <c r="Y605"/>
      <c r="Z605"/>
      <c r="AA605"/>
      <c r="AB605"/>
      <c r="AC605"/>
      <c r="AD605"/>
      <c r="AE605"/>
      <c r="AF605"/>
      <c r="AG605"/>
      <c r="AH605">
        <v>10</v>
      </c>
      <c r="AI605">
        <v>10</v>
      </c>
      <c r="AJ605"/>
      <c r="AK605"/>
      <c r="AL605"/>
      <c r="AM605"/>
      <c r="AN605"/>
      <c r="AO605" t="s">
        <v>511</v>
      </c>
      <c r="AP605" t="s">
        <v>512</v>
      </c>
      <c r="AQ605"/>
      <c r="AR605"/>
      <c r="AS605"/>
      <c r="AT605" t="s">
        <v>3331</v>
      </c>
      <c r="AU605">
        <v>2019</v>
      </c>
      <c r="AV605">
        <v>403</v>
      </c>
      <c r="AW605"/>
      <c r="AX605"/>
      <c r="AY605"/>
      <c r="AZ605"/>
      <c r="BA605"/>
      <c r="BB605">
        <v>57</v>
      </c>
      <c r="BC605">
        <v>69</v>
      </c>
      <c r="BD605"/>
      <c r="BE605" t="s">
        <v>4289</v>
      </c>
      <c r="BF605" t="str">
        <f>HYPERLINK("http://dx.doi.org/10.1016/j.ecolmodel.2019.03.025","http://dx.doi.org/10.1016/j.ecolmodel.2019.03.025")</f>
        <v>http://dx.doi.org/10.1016/j.ecolmodel.2019.03.025</v>
      </c>
      <c r="BG605"/>
      <c r="BH605"/>
      <c r="BI605"/>
      <c r="BJ605" t="s">
        <v>181</v>
      </c>
      <c r="BK605"/>
      <c r="BL605"/>
      <c r="BM605"/>
      <c r="BN605"/>
      <c r="BO605"/>
      <c r="BP605"/>
      <c r="BQ605"/>
      <c r="BR605"/>
      <c r="BS605"/>
      <c r="BT605" t="str">
        <f>HYPERLINK("https%3A%2F%2Fwww.webofscience.com%2Fwos%2Fwoscc%2Ffull-record%2F","View Full Record in Web of Science")</f>
        <v>View Full Record in Web of Science</v>
      </c>
    </row>
    <row r="606" spans="1:72" customHeight="1" ht="12.75">
      <c r="A606" t="s">
        <v>72</v>
      </c>
      <c r="B606" t="s">
        <v>4290</v>
      </c>
      <c r="C606"/>
      <c r="D606"/>
      <c r="E606"/>
      <c r="F606" t="s">
        <v>4291</v>
      </c>
      <c r="G606"/>
      <c r="H606"/>
      <c r="I606" t="s">
        <v>4292</v>
      </c>
      <c r="J606" t="s">
        <v>587</v>
      </c>
      <c r="K606"/>
      <c r="L606"/>
      <c r="M606"/>
      <c r="N606" t="s">
        <v>112</v>
      </c>
      <c r="O606"/>
      <c r="P606"/>
      <c r="Q606"/>
      <c r="R606"/>
      <c r="S606"/>
      <c r="T606" t="s">
        <v>4293</v>
      </c>
      <c r="U606" t="s">
        <v>4294</v>
      </c>
      <c r="V606"/>
      <c r="W606"/>
      <c r="X606"/>
      <c r="Y606"/>
      <c r="Z606"/>
      <c r="AA606"/>
      <c r="AB606"/>
      <c r="AC606"/>
      <c r="AD606"/>
      <c r="AE606"/>
      <c r="AF606"/>
      <c r="AG606"/>
      <c r="AH606">
        <v>35</v>
      </c>
      <c r="AI606">
        <v>36</v>
      </c>
      <c r="AJ606"/>
      <c r="AK606"/>
      <c r="AL606"/>
      <c r="AM606"/>
      <c r="AN606"/>
      <c r="AO606" t="s">
        <v>590</v>
      </c>
      <c r="AP606" t="s">
        <v>591</v>
      </c>
      <c r="AQ606"/>
      <c r="AR606"/>
      <c r="AS606"/>
      <c r="AT606" t="s">
        <v>2162</v>
      </c>
      <c r="AU606">
        <v>2016</v>
      </c>
      <c r="AV606">
        <v>112</v>
      </c>
      <c r="AW606"/>
      <c r="AX606">
        <v>5</v>
      </c>
      <c r="AY606"/>
      <c r="AZ606"/>
      <c r="BA606"/>
      <c r="BB606">
        <v>3667</v>
      </c>
      <c r="BC606">
        <v>3675</v>
      </c>
      <c r="BD606"/>
      <c r="BE606" t="s">
        <v>4295</v>
      </c>
      <c r="BF606" t="str">
        <f>HYPERLINK("http://dx.doi.org/10.1016/j.jclepro.2015.08.080","http://dx.doi.org/10.1016/j.jclepro.2015.08.080")</f>
        <v>http://dx.doi.org/10.1016/j.jclepro.2015.08.080</v>
      </c>
      <c r="BG606"/>
      <c r="BH606"/>
      <c r="BI606"/>
      <c r="BJ606" t="s">
        <v>139</v>
      </c>
      <c r="BK606"/>
      <c r="BL606"/>
      <c r="BM606"/>
      <c r="BN606"/>
      <c r="BO606"/>
      <c r="BP606"/>
      <c r="BQ606"/>
      <c r="BR606"/>
      <c r="BS606"/>
      <c r="BT606" t="str">
        <f>HYPERLINK("https%3A%2F%2Fwww.webofscience.com%2Fwos%2Fwoscc%2Ffull-record%2F","View Full Record in Web of Science")</f>
        <v>View Full Record in Web of Science</v>
      </c>
    </row>
    <row r="607" spans="1:72" customHeight="1" ht="12.75">
      <c r="A607" t="s">
        <v>72</v>
      </c>
      <c r="B607" t="s">
        <v>4296</v>
      </c>
      <c r="C607"/>
      <c r="D607"/>
      <c r="E607"/>
      <c r="F607" t="s">
        <v>4297</v>
      </c>
      <c r="G607"/>
      <c r="H607"/>
      <c r="I607" t="s">
        <v>4298</v>
      </c>
      <c r="J607" t="s">
        <v>1067</v>
      </c>
      <c r="K607"/>
      <c r="L607"/>
      <c r="M607"/>
      <c r="N607" t="s">
        <v>112</v>
      </c>
      <c r="O607"/>
      <c r="P607"/>
      <c r="Q607"/>
      <c r="R607"/>
      <c r="S607"/>
      <c r="T607" t="s">
        <v>4299</v>
      </c>
      <c r="U607" t="s">
        <v>4300</v>
      </c>
      <c r="V607"/>
      <c r="W607"/>
      <c r="X607"/>
      <c r="Y607"/>
      <c r="Z607"/>
      <c r="AA607"/>
      <c r="AB607"/>
      <c r="AC607"/>
      <c r="AD607"/>
      <c r="AE607"/>
      <c r="AF607"/>
      <c r="AG607"/>
      <c r="AH607">
        <v>15</v>
      </c>
      <c r="AI607">
        <v>15</v>
      </c>
      <c r="AJ607"/>
      <c r="AK607"/>
      <c r="AL607"/>
      <c r="AM607"/>
      <c r="AN607"/>
      <c r="AO607" t="s">
        <v>1070</v>
      </c>
      <c r="AP607" t="s">
        <v>1071</v>
      </c>
      <c r="AQ607"/>
      <c r="AR607"/>
      <c r="AS607"/>
      <c r="AT607" t="s">
        <v>624</v>
      </c>
      <c r="AU607">
        <v>2018</v>
      </c>
      <c r="AV607">
        <v>618</v>
      </c>
      <c r="AW607"/>
      <c r="AX607"/>
      <c r="AY607"/>
      <c r="AZ607"/>
      <c r="BA607"/>
      <c r="BB607">
        <v>810</v>
      </c>
      <c r="BC607">
        <v>818</v>
      </c>
      <c r="BD607"/>
      <c r="BE607" t="s">
        <v>4301</v>
      </c>
      <c r="BF607" t="str">
        <f>HYPERLINK("http://dx.doi.org/10.1016/j.scitotenv.2017.08.213","http://dx.doi.org/10.1016/j.scitotenv.2017.08.213")</f>
        <v>http://dx.doi.org/10.1016/j.scitotenv.2017.08.213</v>
      </c>
      <c r="BG607"/>
      <c r="BH607"/>
      <c r="BI607"/>
      <c r="BJ607" t="s">
        <v>224</v>
      </c>
      <c r="BK607"/>
      <c r="BL607"/>
      <c r="BM607"/>
      <c r="BN607"/>
      <c r="BO607"/>
      <c r="BP607"/>
      <c r="BQ607"/>
      <c r="BR607"/>
      <c r="BS607"/>
      <c r="BT607" t="str">
        <f>HYPERLINK("https%3A%2F%2Fwww.webofscience.com%2Fwos%2Fwoscc%2Ffull-record%2F","View Full Record in Web of Science")</f>
        <v>View Full Record in Web of Science</v>
      </c>
    </row>
    <row r="608" spans="1:72" customHeight="1" ht="12.75">
      <c r="A608" t="s">
        <v>72</v>
      </c>
      <c r="B608" t="s">
        <v>4302</v>
      </c>
      <c r="C608"/>
      <c r="D608"/>
      <c r="E608"/>
      <c r="F608" t="s">
        <v>4303</v>
      </c>
      <c r="G608"/>
      <c r="H608"/>
      <c r="I608" t="s">
        <v>4304</v>
      </c>
      <c r="J608" t="s">
        <v>587</v>
      </c>
      <c r="K608"/>
      <c r="L608"/>
      <c r="M608"/>
      <c r="N608" t="s">
        <v>77</v>
      </c>
      <c r="O608"/>
      <c r="P608"/>
      <c r="Q608"/>
      <c r="R608"/>
      <c r="S608"/>
      <c r="T608" t="s">
        <v>4305</v>
      </c>
      <c r="U608" t="s">
        <v>4306</v>
      </c>
      <c r="V608"/>
      <c r="W608"/>
      <c r="X608"/>
      <c r="Y608"/>
      <c r="Z608"/>
      <c r="AA608"/>
      <c r="AB608"/>
      <c r="AC608"/>
      <c r="AD608"/>
      <c r="AE608"/>
      <c r="AF608"/>
      <c r="AG608"/>
      <c r="AH608">
        <v>4</v>
      </c>
      <c r="AI608">
        <v>4</v>
      </c>
      <c r="AJ608"/>
      <c r="AK608"/>
      <c r="AL608"/>
      <c r="AM608"/>
      <c r="AN608"/>
      <c r="AO608" t="s">
        <v>590</v>
      </c>
      <c r="AP608" t="s">
        <v>591</v>
      </c>
      <c r="AQ608"/>
      <c r="AR608"/>
      <c r="AS608"/>
      <c r="AT608" t="s">
        <v>1637</v>
      </c>
      <c r="AU608">
        <v>2022</v>
      </c>
      <c r="AV608">
        <v>373</v>
      </c>
      <c r="AW608"/>
      <c r="AX608"/>
      <c r="AY608"/>
      <c r="AZ608"/>
      <c r="BA608"/>
      <c r="BB608"/>
      <c r="BC608"/>
      <c r="BD608"/>
      <c r="BE608" t="s">
        <v>4307</v>
      </c>
      <c r="BF608" t="str">
        <f>HYPERLINK("http://dx.doi.org/10.1016/j.jclepro.2022.133918","http://dx.doi.org/10.1016/j.jclepro.2022.133918")</f>
        <v>http://dx.doi.org/10.1016/j.jclepro.2022.133918</v>
      </c>
      <c r="BG608"/>
      <c r="BH608"/>
      <c r="BI608"/>
      <c r="BJ608" t="s">
        <v>139</v>
      </c>
      <c r="BK608"/>
      <c r="BL608"/>
      <c r="BM608"/>
      <c r="BN608"/>
      <c r="BO608"/>
      <c r="BP608"/>
      <c r="BQ608"/>
      <c r="BR608"/>
      <c r="BS608"/>
      <c r="BT608" t="str">
        <f>HYPERLINK("https%3A%2F%2Fwww.webofscience.com%2Fwos%2Fwoscc%2Ffull-record%2F","View Full Record in Web of Science")</f>
        <v>View Full Record in Web of Science</v>
      </c>
    </row>
    <row r="609" spans="1:72" customHeight="1" ht="12.75">
      <c r="A609" t="s">
        <v>72</v>
      </c>
      <c r="B609" t="s">
        <v>4308</v>
      </c>
      <c r="C609"/>
      <c r="D609"/>
      <c r="E609"/>
      <c r="F609" t="s">
        <v>4309</v>
      </c>
      <c r="G609"/>
      <c r="H609"/>
      <c r="I609" t="s">
        <v>4310</v>
      </c>
      <c r="J609" t="s">
        <v>133</v>
      </c>
      <c r="K609"/>
      <c r="L609"/>
      <c r="M609"/>
      <c r="N609" t="s">
        <v>112</v>
      </c>
      <c r="O609"/>
      <c r="P609"/>
      <c r="Q609"/>
      <c r="R609"/>
      <c r="S609"/>
      <c r="T609" t="s">
        <v>4311</v>
      </c>
      <c r="U609" t="s">
        <v>4312</v>
      </c>
      <c r="V609"/>
      <c r="W609"/>
      <c r="X609"/>
      <c r="Y609"/>
      <c r="Z609"/>
      <c r="AA609"/>
      <c r="AB609"/>
      <c r="AC609"/>
      <c r="AD609"/>
      <c r="AE609"/>
      <c r="AF609"/>
      <c r="AG609"/>
      <c r="AH609">
        <v>26</v>
      </c>
      <c r="AI609">
        <v>29</v>
      </c>
      <c r="AJ609"/>
      <c r="AK609"/>
      <c r="AL609"/>
      <c r="AM609"/>
      <c r="AN609"/>
      <c r="AO609" t="s">
        <v>136</v>
      </c>
      <c r="AP609" t="s">
        <v>137</v>
      </c>
      <c r="AQ609"/>
      <c r="AR609"/>
      <c r="AS609"/>
      <c r="AT609" t="s">
        <v>362</v>
      </c>
      <c r="AU609">
        <v>2014</v>
      </c>
      <c r="AV609">
        <v>18</v>
      </c>
      <c r="AW609">
        <v>3</v>
      </c>
      <c r="AX609"/>
      <c r="AY609"/>
      <c r="AZ609"/>
      <c r="BA609"/>
      <c r="BB609">
        <v>432</v>
      </c>
      <c r="BC609">
        <v>444</v>
      </c>
      <c r="BD609"/>
      <c r="BE609" t="s">
        <v>4313</v>
      </c>
      <c r="BF609" t="str">
        <f>HYPERLINK("http://dx.doi.org/10.1111/jiec.12088","http://dx.doi.org/10.1111/jiec.12088")</f>
        <v>http://dx.doi.org/10.1111/jiec.12088</v>
      </c>
      <c r="BG609"/>
      <c r="BH609"/>
      <c r="BI609"/>
      <c r="BJ609" t="s">
        <v>139</v>
      </c>
      <c r="BK609"/>
      <c r="BL609"/>
      <c r="BM609"/>
      <c r="BN609"/>
      <c r="BO609"/>
      <c r="BP609"/>
      <c r="BQ609"/>
      <c r="BR609"/>
      <c r="BS609"/>
      <c r="BT609" t="str">
        <f>HYPERLINK("https%3A%2F%2Fwww.webofscience.com%2Fwos%2Fwoscc%2Ffull-record%2F","View Full Record in Web of Science")</f>
        <v>View Full Record in Web of Science</v>
      </c>
    </row>
    <row r="610" spans="1:72" customHeight="1" ht="12.75">
      <c r="A610" t="s">
        <v>72</v>
      </c>
      <c r="B610" t="s">
        <v>4314</v>
      </c>
      <c r="C610"/>
      <c r="D610"/>
      <c r="E610"/>
      <c r="F610" t="s">
        <v>4315</v>
      </c>
      <c r="G610"/>
      <c r="H610"/>
      <c r="I610" t="s">
        <v>4316</v>
      </c>
      <c r="J610" t="s">
        <v>4317</v>
      </c>
      <c r="K610"/>
      <c r="L610"/>
      <c r="M610"/>
      <c r="N610" t="s">
        <v>112</v>
      </c>
      <c r="O610"/>
      <c r="P610"/>
      <c r="Q610"/>
      <c r="R610"/>
      <c r="S610"/>
      <c r="T610" t="s">
        <v>4318</v>
      </c>
      <c r="U610" t="s">
        <v>4319</v>
      </c>
      <c r="V610"/>
      <c r="W610"/>
      <c r="X610"/>
      <c r="Y610"/>
      <c r="Z610"/>
      <c r="AA610"/>
      <c r="AB610"/>
      <c r="AC610"/>
      <c r="AD610"/>
      <c r="AE610"/>
      <c r="AF610"/>
      <c r="AG610"/>
      <c r="AH610">
        <v>13</v>
      </c>
      <c r="AI610">
        <v>16</v>
      </c>
      <c r="AJ610"/>
      <c r="AK610"/>
      <c r="AL610"/>
      <c r="AM610"/>
      <c r="AN610"/>
      <c r="AO610" t="s">
        <v>4320</v>
      </c>
      <c r="AP610" t="s">
        <v>4321</v>
      </c>
      <c r="AQ610"/>
      <c r="AR610"/>
      <c r="AS610"/>
      <c r="AT610" t="s">
        <v>198</v>
      </c>
      <c r="AU610">
        <v>2013</v>
      </c>
      <c r="AV610">
        <v>7</v>
      </c>
      <c r="AW610">
        <v>5</v>
      </c>
      <c r="AX610"/>
      <c r="AY610"/>
      <c r="AZ610"/>
      <c r="BA610"/>
      <c r="BB610">
        <v>640</v>
      </c>
      <c r="BC610">
        <v>657</v>
      </c>
      <c r="BD610"/>
      <c r="BE610" t="s">
        <v>4322</v>
      </c>
      <c r="BF610" t="str">
        <f>HYPERLINK("http://dx.doi.org/10.1007/s11783-013-0549-5","http://dx.doi.org/10.1007/s11783-013-0549-5")</f>
        <v>http://dx.doi.org/10.1007/s11783-013-0549-5</v>
      </c>
      <c r="BG610"/>
      <c r="BH610"/>
      <c r="BI610"/>
      <c r="BJ610" t="s">
        <v>119</v>
      </c>
      <c r="BK610"/>
      <c r="BL610"/>
      <c r="BM610"/>
      <c r="BN610"/>
      <c r="BO610"/>
      <c r="BP610"/>
      <c r="BQ610"/>
      <c r="BR610"/>
      <c r="BS610"/>
      <c r="BT610" t="str">
        <f>HYPERLINK("https%3A%2F%2Fwww.webofscience.com%2Fwos%2Fwoscc%2Ffull-record%2F","View Full Record in Web of Science")</f>
        <v>View Full Record in Web of Science</v>
      </c>
    </row>
    <row r="611" spans="1:72" customHeight="1" ht="12.75">
      <c r="A611" t="s">
        <v>72</v>
      </c>
      <c r="B611" t="s">
        <v>4323</v>
      </c>
      <c r="C611"/>
      <c r="D611"/>
      <c r="E611"/>
      <c r="F611" t="s">
        <v>4324</v>
      </c>
      <c r="G611"/>
      <c r="H611"/>
      <c r="I611" t="s">
        <v>4325</v>
      </c>
      <c r="J611" t="s">
        <v>510</v>
      </c>
      <c r="K611"/>
      <c r="L611"/>
      <c r="M611"/>
      <c r="N611" t="s">
        <v>112</v>
      </c>
      <c r="O611"/>
      <c r="P611"/>
      <c r="Q611"/>
      <c r="R611"/>
      <c r="S611"/>
      <c r="T611" t="s">
        <v>4326</v>
      </c>
      <c r="U611" t="s">
        <v>4327</v>
      </c>
      <c r="V611"/>
      <c r="W611"/>
      <c r="X611"/>
      <c r="Y611"/>
      <c r="Z611"/>
      <c r="AA611"/>
      <c r="AB611"/>
      <c r="AC611"/>
      <c r="AD611"/>
      <c r="AE611"/>
      <c r="AF611"/>
      <c r="AG611"/>
      <c r="AH611">
        <v>9</v>
      </c>
      <c r="AI611">
        <v>12</v>
      </c>
      <c r="AJ611"/>
      <c r="AK611"/>
      <c r="AL611"/>
      <c r="AM611"/>
      <c r="AN611"/>
      <c r="AO611" t="s">
        <v>511</v>
      </c>
      <c r="AP611" t="s">
        <v>512</v>
      </c>
      <c r="AQ611"/>
      <c r="AR611"/>
      <c r="AS611"/>
      <c r="AT611" t="s">
        <v>2441</v>
      </c>
      <c r="AU611">
        <v>2013</v>
      </c>
      <c r="AV611">
        <v>252</v>
      </c>
      <c r="AW611"/>
      <c r="AX611"/>
      <c r="AY611"/>
      <c r="AZ611" t="s">
        <v>222</v>
      </c>
      <c r="BA611"/>
      <c r="BB611">
        <v>273</v>
      </c>
      <c r="BC611">
        <v>279</v>
      </c>
      <c r="BD611"/>
      <c r="BE611" t="s">
        <v>4328</v>
      </c>
      <c r="BF611" t="str">
        <f>HYPERLINK("http://dx.doi.org/10.1016/j.ecolmodel.2013.01.002","http://dx.doi.org/10.1016/j.ecolmodel.2013.01.002")</f>
        <v>http://dx.doi.org/10.1016/j.ecolmodel.2013.01.002</v>
      </c>
      <c r="BG611"/>
      <c r="BH611"/>
      <c r="BI611"/>
      <c r="BJ611" t="s">
        <v>181</v>
      </c>
      <c r="BK611"/>
      <c r="BL611"/>
      <c r="BM611"/>
      <c r="BN611"/>
      <c r="BO611"/>
      <c r="BP611"/>
      <c r="BQ611"/>
      <c r="BR611"/>
      <c r="BS611"/>
      <c r="BT611" t="str">
        <f>HYPERLINK("https%3A%2F%2Fwww.webofscience.com%2Fwos%2Fwoscc%2Ffull-record%2F","View Full Record in Web of Science")</f>
        <v>View Full Record in Web of Science</v>
      </c>
    </row>
    <row r="612" spans="1:72" customHeight="1" ht="12.75">
      <c r="A612" t="s">
        <v>72</v>
      </c>
      <c r="B612" t="s">
        <v>4329</v>
      </c>
      <c r="C612"/>
      <c r="D612"/>
      <c r="E612"/>
      <c r="F612" t="s">
        <v>4330</v>
      </c>
      <c r="G612"/>
      <c r="H612"/>
      <c r="I612" t="s">
        <v>4331</v>
      </c>
      <c r="J612" t="s">
        <v>2925</v>
      </c>
      <c r="K612"/>
      <c r="L612"/>
      <c r="M612"/>
      <c r="N612" t="s">
        <v>325</v>
      </c>
      <c r="O612"/>
      <c r="P612"/>
      <c r="Q612"/>
      <c r="R612"/>
      <c r="S612"/>
      <c r="T612" t="s">
        <v>4332</v>
      </c>
      <c r="U612" t="s">
        <v>4333</v>
      </c>
      <c r="V612"/>
      <c r="W612"/>
      <c r="X612"/>
      <c r="Y612"/>
      <c r="Z612"/>
      <c r="AA612"/>
      <c r="AB612"/>
      <c r="AC612"/>
      <c r="AD612"/>
      <c r="AE612"/>
      <c r="AF612"/>
      <c r="AG612"/>
      <c r="AH612">
        <v>33</v>
      </c>
      <c r="AI612">
        <v>33</v>
      </c>
      <c r="AJ612"/>
      <c r="AK612"/>
      <c r="AL612"/>
      <c r="AM612"/>
      <c r="AN612"/>
      <c r="AO612" t="s">
        <v>2928</v>
      </c>
      <c r="AP612" t="s">
        <v>2929</v>
      </c>
      <c r="AQ612"/>
      <c r="AR612"/>
      <c r="AS612"/>
      <c r="AT612" t="s">
        <v>3511</v>
      </c>
      <c r="AU612">
        <v>2021</v>
      </c>
      <c r="AV612">
        <v>58</v>
      </c>
      <c r="AW612"/>
      <c r="AX612"/>
      <c r="AY612"/>
      <c r="AZ612"/>
      <c r="BA612"/>
      <c r="BB612"/>
      <c r="BC612"/>
      <c r="BD612">
        <v>126934</v>
      </c>
      <c r="BE612" t="s">
        <v>4334</v>
      </c>
      <c r="BF612" t="str">
        <f>HYPERLINK("http://dx.doi.org/10.1016/j.ufug.2020.126934","http://dx.doi.org/10.1016/j.ufug.2020.126934")</f>
        <v>http://dx.doi.org/10.1016/j.ufug.2020.126934</v>
      </c>
      <c r="BG612"/>
      <c r="BH612" t="s">
        <v>583</v>
      </c>
      <c r="BI612"/>
      <c r="BJ612" t="s">
        <v>2933</v>
      </c>
      <c r="BK612"/>
      <c r="BL612"/>
      <c r="BM612"/>
      <c r="BN612"/>
      <c r="BO612"/>
      <c r="BP612"/>
      <c r="BQ612"/>
      <c r="BR612"/>
      <c r="BS612"/>
      <c r="BT612" t="str">
        <f>HYPERLINK("https%3A%2F%2Fwww.webofscience.com%2Fwos%2Fwoscc%2Ffull-record%2F","View Full Record in Web of Science")</f>
        <v>View Full Record in Web of Science</v>
      </c>
    </row>
    <row r="613" spans="1:72" customHeight="1" ht="12.75">
      <c r="A613" t="s">
        <v>72</v>
      </c>
      <c r="B613" t="s">
        <v>4335</v>
      </c>
      <c r="C613"/>
      <c r="D613"/>
      <c r="E613"/>
      <c r="F613" t="s">
        <v>4336</v>
      </c>
      <c r="G613"/>
      <c r="H613"/>
      <c r="I613" t="s">
        <v>4337</v>
      </c>
      <c r="J613" t="s">
        <v>4338</v>
      </c>
      <c r="K613"/>
      <c r="L613"/>
      <c r="M613"/>
      <c r="N613" t="s">
        <v>112</v>
      </c>
      <c r="O613"/>
      <c r="P613"/>
      <c r="Q613"/>
      <c r="R613"/>
      <c r="S613"/>
      <c r="T613" t="s">
        <v>4339</v>
      </c>
      <c r="U613" t="s">
        <v>4340</v>
      </c>
      <c r="V613"/>
      <c r="W613"/>
      <c r="X613"/>
      <c r="Y613"/>
      <c r="Z613"/>
      <c r="AA613"/>
      <c r="AB613"/>
      <c r="AC613"/>
      <c r="AD613"/>
      <c r="AE613"/>
      <c r="AF613"/>
      <c r="AG613"/>
      <c r="AH613">
        <v>29</v>
      </c>
      <c r="AI613">
        <v>29</v>
      </c>
      <c r="AJ613"/>
      <c r="AK613"/>
      <c r="AL613"/>
      <c r="AM613"/>
      <c r="AN613"/>
      <c r="AO613" t="s">
        <v>4341</v>
      </c>
      <c r="AP613" t="s">
        <v>4342</v>
      </c>
      <c r="AQ613"/>
      <c r="AR613"/>
      <c r="AS613"/>
      <c r="AT613" t="s">
        <v>117</v>
      </c>
      <c r="AU613">
        <v>2013</v>
      </c>
      <c r="AV613">
        <v>139</v>
      </c>
      <c r="AW613">
        <v>5</v>
      </c>
      <c r="AX613"/>
      <c r="AY613"/>
      <c r="AZ613"/>
      <c r="BA613"/>
      <c r="BB613">
        <v>738</v>
      </c>
      <c r="BC613">
        <v>745</v>
      </c>
      <c r="BD613"/>
      <c r="BE613" t="s">
        <v>4343</v>
      </c>
      <c r="BF613" t="str">
        <f>HYPERLINK("http://dx.doi.org/10.1061/(ASCE)EE.1943-7870.0000661","http://dx.doi.org/10.1061/(ASCE)EE.1943-7870.0000661")</f>
        <v>http://dx.doi.org/10.1061/(ASCE)EE.1943-7870.0000661</v>
      </c>
      <c r="BG613"/>
      <c r="BH613"/>
      <c r="BI613"/>
      <c r="BJ613" t="s">
        <v>4344</v>
      </c>
      <c r="BK613"/>
      <c r="BL613"/>
      <c r="BM613"/>
      <c r="BN613"/>
      <c r="BO613"/>
      <c r="BP613"/>
      <c r="BQ613"/>
      <c r="BR613"/>
      <c r="BS613"/>
      <c r="BT613" t="str">
        <f>HYPERLINK("https%3A%2F%2Fwww.webofscience.com%2Fwos%2Fwoscc%2Ffull-record%2F","View Full Record in Web of Science")</f>
        <v>View Full Record in Web of Science</v>
      </c>
    </row>
    <row r="614" spans="1:72" customHeight="1" ht="12.75">
      <c r="A614" t="s">
        <v>72</v>
      </c>
      <c r="B614" t="s">
        <v>4345</v>
      </c>
      <c r="C614"/>
      <c r="D614"/>
      <c r="E614"/>
      <c r="F614" t="s">
        <v>4346</v>
      </c>
      <c r="G614"/>
      <c r="H614"/>
      <c r="I614" t="s">
        <v>4347</v>
      </c>
      <c r="J614" t="s">
        <v>587</v>
      </c>
      <c r="K614"/>
      <c r="L614"/>
      <c r="M614"/>
      <c r="N614" t="s">
        <v>325</v>
      </c>
      <c r="O614"/>
      <c r="P614"/>
      <c r="Q614"/>
      <c r="R614"/>
      <c r="S614"/>
      <c r="T614" t="s">
        <v>4348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>
        <v>28</v>
      </c>
      <c r="AI614">
        <v>28</v>
      </c>
      <c r="AJ614"/>
      <c r="AK614"/>
      <c r="AL614"/>
      <c r="AM614"/>
      <c r="AN614"/>
      <c r="AO614" t="s">
        <v>590</v>
      </c>
      <c r="AP614" t="s">
        <v>591</v>
      </c>
      <c r="AQ614"/>
      <c r="AR614"/>
      <c r="AS614"/>
      <c r="AT614" t="s">
        <v>4349</v>
      </c>
      <c r="AU614">
        <v>2021</v>
      </c>
      <c r="AV614">
        <v>293</v>
      </c>
      <c r="AW614"/>
      <c r="AX614"/>
      <c r="AY614"/>
      <c r="AZ614"/>
      <c r="BA614"/>
      <c r="BB614"/>
      <c r="BC614"/>
      <c r="BD614">
        <v>125856</v>
      </c>
      <c r="BE614" t="s">
        <v>4350</v>
      </c>
      <c r="BF614" t="str">
        <f>HYPERLINK("http://dx.doi.org/10.1016/j.jclepro.2021.125856","http://dx.doi.org/10.1016/j.jclepro.2021.125856")</f>
        <v>http://dx.doi.org/10.1016/j.jclepro.2021.125856</v>
      </c>
      <c r="BG614"/>
      <c r="BH614" t="s">
        <v>2111</v>
      </c>
      <c r="BI614"/>
      <c r="BJ614" t="s">
        <v>139</v>
      </c>
      <c r="BK614"/>
      <c r="BL614"/>
      <c r="BM614"/>
      <c r="BN614"/>
      <c r="BO614"/>
      <c r="BP614"/>
      <c r="BQ614"/>
      <c r="BR614"/>
      <c r="BS614"/>
      <c r="BT614" t="str">
        <f>HYPERLINK("https%3A%2F%2Fwww.webofscience.com%2Fwos%2Fwoscc%2Ffull-record%2F","View Full Record in Web of Science")</f>
        <v>View Full Record in Web of Science</v>
      </c>
    </row>
    <row r="615" spans="1:72" customHeight="1" ht="12.75">
      <c r="A615" t="s">
        <v>72</v>
      </c>
      <c r="B615" t="s">
        <v>4351</v>
      </c>
      <c r="C615"/>
      <c r="D615"/>
      <c r="E615"/>
      <c r="F615" t="s">
        <v>4352</v>
      </c>
      <c r="G615"/>
      <c r="H615"/>
      <c r="I615" t="s">
        <v>4353</v>
      </c>
      <c r="J615" t="s">
        <v>792</v>
      </c>
      <c r="K615"/>
      <c r="L615"/>
      <c r="M615"/>
      <c r="N615" t="s">
        <v>112</v>
      </c>
      <c r="O615"/>
      <c r="P615"/>
      <c r="Q615"/>
      <c r="R615"/>
      <c r="S615"/>
      <c r="T615" t="s">
        <v>4354</v>
      </c>
      <c r="U615" t="s">
        <v>4355</v>
      </c>
      <c r="V615"/>
      <c r="W615"/>
      <c r="X615"/>
      <c r="Y615"/>
      <c r="Z615"/>
      <c r="AA615"/>
      <c r="AB615"/>
      <c r="AC615"/>
      <c r="AD615"/>
      <c r="AE615"/>
      <c r="AF615"/>
      <c r="AG615"/>
      <c r="AH615">
        <v>20</v>
      </c>
      <c r="AI615">
        <v>21</v>
      </c>
      <c r="AJ615"/>
      <c r="AK615"/>
      <c r="AL615"/>
      <c r="AM615"/>
      <c r="AN615"/>
      <c r="AO615" t="s">
        <v>795</v>
      </c>
      <c r="AP615"/>
      <c r="AQ615"/>
      <c r="AR615"/>
      <c r="AS615"/>
      <c r="AT615" t="s">
        <v>394</v>
      </c>
      <c r="AU615">
        <v>2020</v>
      </c>
      <c r="AV615">
        <v>5</v>
      </c>
      <c r="AW615"/>
      <c r="AX615"/>
      <c r="AY615"/>
      <c r="AZ615"/>
      <c r="BA615"/>
      <c r="BB615"/>
      <c r="BC615"/>
      <c r="BD615">
        <v>100023</v>
      </c>
      <c r="BE615" t="s">
        <v>4356</v>
      </c>
      <c r="BF615" t="str">
        <f>HYPERLINK("http://dx.doi.org/10.1016/j.indic.2020.100023","http://dx.doi.org/10.1016/j.indic.2020.100023")</f>
        <v>http://dx.doi.org/10.1016/j.indic.2020.100023</v>
      </c>
      <c r="BG615"/>
      <c r="BH615"/>
      <c r="BI615"/>
      <c r="BJ615" t="s">
        <v>799</v>
      </c>
      <c r="BK615"/>
      <c r="BL615"/>
      <c r="BM615"/>
      <c r="BN615"/>
      <c r="BO615"/>
      <c r="BP615"/>
      <c r="BQ615"/>
      <c r="BR615"/>
      <c r="BS615"/>
      <c r="BT615" t="str">
        <f>HYPERLINK("https%3A%2F%2Fwww.webofscience.com%2Fwos%2Fwoscc%2Ffull-record%2F","View Full Record in Web of Science")</f>
        <v>View Full Record in Web of Science</v>
      </c>
    </row>
    <row r="616" spans="1:72" customHeight="1" ht="12.75">
      <c r="A616" t="s">
        <v>72</v>
      </c>
      <c r="B616" t="s">
        <v>4357</v>
      </c>
      <c r="C616"/>
      <c r="D616"/>
      <c r="E616"/>
      <c r="F616" t="s">
        <v>4358</v>
      </c>
      <c r="G616"/>
      <c r="H616"/>
      <c r="I616" t="s">
        <v>4359</v>
      </c>
      <c r="J616" t="s">
        <v>4360</v>
      </c>
      <c r="K616"/>
      <c r="L616"/>
      <c r="M616"/>
      <c r="N616" t="s">
        <v>112</v>
      </c>
      <c r="O616"/>
      <c r="P616"/>
      <c r="Q616"/>
      <c r="R616"/>
      <c r="S616"/>
      <c r="T616" t="s">
        <v>4361</v>
      </c>
      <c r="U616" t="s">
        <v>4362</v>
      </c>
      <c r="V616"/>
      <c r="W616"/>
      <c r="X616"/>
      <c r="Y616"/>
      <c r="Z616"/>
      <c r="AA616"/>
      <c r="AB616"/>
      <c r="AC616"/>
      <c r="AD616"/>
      <c r="AE616"/>
      <c r="AF616"/>
      <c r="AG616"/>
      <c r="AH616">
        <v>0.0</v>
      </c>
      <c r="AI616">
        <v>0.0</v>
      </c>
      <c r="AJ616"/>
      <c r="AK616"/>
      <c r="AL616"/>
      <c r="AM616"/>
      <c r="AN616"/>
      <c r="AO616"/>
      <c r="AP616" t="s">
        <v>4363</v>
      </c>
      <c r="AQ616"/>
      <c r="AR616"/>
      <c r="AS616"/>
      <c r="AT616" t="s">
        <v>394</v>
      </c>
      <c r="AU616">
        <v>2024</v>
      </c>
      <c r="AV616">
        <v>51</v>
      </c>
      <c r="AW616"/>
      <c r="AX616"/>
      <c r="AY616"/>
      <c r="AZ616"/>
      <c r="BA616"/>
      <c r="BB616"/>
      <c r="BC616"/>
      <c r="BD616">
        <v>101631</v>
      </c>
      <c r="BE616" t="s">
        <v>4364</v>
      </c>
      <c r="BF616" t="str">
        <f>HYPERLINK("http://dx.doi.org/10.1016/j.ejrh.2023.101631","http://dx.doi.org/10.1016/j.ejrh.2023.101631")</f>
        <v>http://dx.doi.org/10.1016/j.ejrh.2023.101631</v>
      </c>
      <c r="BG616"/>
      <c r="BH616"/>
      <c r="BI616"/>
      <c r="BJ616" t="s">
        <v>1211</v>
      </c>
      <c r="BK616"/>
      <c r="BL616"/>
      <c r="BM616"/>
      <c r="BN616"/>
      <c r="BO616"/>
      <c r="BP616"/>
      <c r="BQ616"/>
      <c r="BR616"/>
      <c r="BS616"/>
      <c r="BT616" t="str">
        <f>HYPERLINK("https%3A%2F%2Fwww.webofscience.com%2Fwos%2Fwoscc%2Ffull-record%2F","View Full Record in Web of Science")</f>
        <v>View Full Record in Web of Science</v>
      </c>
    </row>
    <row r="617" spans="1:72" customHeight="1" ht="12.75">
      <c r="A617" t="s">
        <v>72</v>
      </c>
      <c r="B617" t="s">
        <v>4365</v>
      </c>
      <c r="C617"/>
      <c r="D617"/>
      <c r="E617"/>
      <c r="F617" t="s">
        <v>4366</v>
      </c>
      <c r="G617"/>
      <c r="H617"/>
      <c r="I617" t="s">
        <v>4367</v>
      </c>
      <c r="J617" t="s">
        <v>1699</v>
      </c>
      <c r="K617"/>
      <c r="L617"/>
      <c r="M617"/>
      <c r="N617" t="s">
        <v>325</v>
      </c>
      <c r="O617"/>
      <c r="P617"/>
      <c r="Q617"/>
      <c r="R617"/>
      <c r="S617"/>
      <c r="T617" t="s">
        <v>4368</v>
      </c>
      <c r="U617" t="s">
        <v>4369</v>
      </c>
      <c r="V617"/>
      <c r="W617"/>
      <c r="X617"/>
      <c r="Y617"/>
      <c r="Z617"/>
      <c r="AA617"/>
      <c r="AB617"/>
      <c r="AC617"/>
      <c r="AD617"/>
      <c r="AE617"/>
      <c r="AF617"/>
      <c r="AG617"/>
      <c r="AH617">
        <v>16</v>
      </c>
      <c r="AI617">
        <v>16</v>
      </c>
      <c r="AJ617"/>
      <c r="AK617"/>
      <c r="AL617"/>
      <c r="AM617"/>
      <c r="AN617"/>
      <c r="AO617" t="s">
        <v>1702</v>
      </c>
      <c r="AP617" t="s">
        <v>1703</v>
      </c>
      <c r="AQ617"/>
      <c r="AR617"/>
      <c r="AS617"/>
      <c r="AT617" t="s">
        <v>3496</v>
      </c>
      <c r="AU617">
        <v>2022</v>
      </c>
      <c r="AV617">
        <v>162</v>
      </c>
      <c r="AW617"/>
      <c r="AX617"/>
      <c r="AY617"/>
      <c r="AZ617"/>
      <c r="BA617"/>
      <c r="BB617"/>
      <c r="BC617"/>
      <c r="BD617">
        <v>112418</v>
      </c>
      <c r="BE617" t="s">
        <v>4370</v>
      </c>
      <c r="BF617" t="str">
        <f>HYPERLINK("http://dx.doi.org/10.1016/j.rser.2022.112418","http://dx.doi.org/10.1016/j.rser.2022.112418")</f>
        <v>http://dx.doi.org/10.1016/j.rser.2022.112418</v>
      </c>
      <c r="BG617"/>
      <c r="BH617" t="s">
        <v>869</v>
      </c>
      <c r="BI617"/>
      <c r="BJ617" t="s">
        <v>1705</v>
      </c>
      <c r="BK617"/>
      <c r="BL617"/>
      <c r="BM617"/>
      <c r="BN617"/>
      <c r="BO617"/>
      <c r="BP617"/>
      <c r="BQ617"/>
      <c r="BR617"/>
      <c r="BS617"/>
      <c r="BT617" t="str">
        <f>HYPERLINK("https%3A%2F%2Fwww.webofscience.com%2Fwos%2Fwoscc%2Ffull-record%2F","View Full Record in Web of Science")</f>
        <v>View Full Record in Web of Science</v>
      </c>
    </row>
    <row r="618" spans="1:72" customHeight="1" ht="12.75">
      <c r="A618" t="s">
        <v>72</v>
      </c>
      <c r="B618" t="s">
        <v>4371</v>
      </c>
      <c r="C618"/>
      <c r="D618"/>
      <c r="E618"/>
      <c r="F618" t="s">
        <v>4372</v>
      </c>
      <c r="G618"/>
      <c r="H618"/>
      <c r="I618" t="s">
        <v>4373</v>
      </c>
      <c r="J618" t="s">
        <v>642</v>
      </c>
      <c r="K618"/>
      <c r="L618"/>
      <c r="M618"/>
      <c r="N618" t="s">
        <v>112</v>
      </c>
      <c r="O618"/>
      <c r="P618"/>
      <c r="Q618"/>
      <c r="R618"/>
      <c r="S618"/>
      <c r="T618" t="s">
        <v>4374</v>
      </c>
      <c r="U618" t="s">
        <v>4375</v>
      </c>
      <c r="V618"/>
      <c r="W618"/>
      <c r="X618"/>
      <c r="Y618"/>
      <c r="Z618"/>
      <c r="AA618"/>
      <c r="AB618"/>
      <c r="AC618"/>
      <c r="AD618"/>
      <c r="AE618"/>
      <c r="AF618"/>
      <c r="AG618"/>
      <c r="AH618">
        <v>28</v>
      </c>
      <c r="AI618">
        <v>34</v>
      </c>
      <c r="AJ618"/>
      <c r="AK618"/>
      <c r="AL618"/>
      <c r="AM618"/>
      <c r="AN618"/>
      <c r="AO618" t="s">
        <v>643</v>
      </c>
      <c r="AP618" t="s">
        <v>913</v>
      </c>
      <c r="AQ618"/>
      <c r="AR618"/>
      <c r="AS618"/>
      <c r="AT618" t="s">
        <v>4376</v>
      </c>
      <c r="AU618">
        <v>2019</v>
      </c>
      <c r="AV618">
        <v>40</v>
      </c>
      <c r="AW618">
        <v>3</v>
      </c>
      <c r="AX618"/>
      <c r="AY618"/>
      <c r="AZ618" t="s">
        <v>222</v>
      </c>
      <c r="BA618"/>
      <c r="BB618">
        <v>352</v>
      </c>
      <c r="BC618">
        <v>377</v>
      </c>
      <c r="BD618"/>
      <c r="BE618" t="s">
        <v>4377</v>
      </c>
      <c r="BF618" t="str">
        <f>HYPERLINK("http://dx.doi.org/10.1080/02723638.2017.1388733","http://dx.doi.org/10.1080/02723638.2017.1388733")</f>
        <v>http://dx.doi.org/10.1080/02723638.2017.1388733</v>
      </c>
      <c r="BG618"/>
      <c r="BH618"/>
      <c r="BI618"/>
      <c r="BJ618" t="s">
        <v>646</v>
      </c>
      <c r="BK618"/>
      <c r="BL618"/>
      <c r="BM618"/>
      <c r="BN618"/>
      <c r="BO618"/>
      <c r="BP618"/>
      <c r="BQ618"/>
      <c r="BR618"/>
      <c r="BS618"/>
      <c r="BT618" t="str">
        <f>HYPERLINK("https%3A%2F%2Fwww.webofscience.com%2Fwos%2Fwoscc%2Ffull-record%2F","View Full Record in Web of Science")</f>
        <v>View Full Record in Web of Science</v>
      </c>
    </row>
    <row r="619" spans="1:72" customHeight="1" ht="12.75">
      <c r="A619" t="s">
        <v>72</v>
      </c>
      <c r="B619" t="s">
        <v>4378</v>
      </c>
      <c r="C619"/>
      <c r="D619"/>
      <c r="E619"/>
      <c r="F619" t="s">
        <v>4379</v>
      </c>
      <c r="G619"/>
      <c r="H619"/>
      <c r="I619" t="s">
        <v>4380</v>
      </c>
      <c r="J619" t="s">
        <v>457</v>
      </c>
      <c r="K619"/>
      <c r="L619"/>
      <c r="M619"/>
      <c r="N619" t="s">
        <v>112</v>
      </c>
      <c r="O619"/>
      <c r="P619"/>
      <c r="Q619"/>
      <c r="R619"/>
      <c r="S619"/>
      <c r="T619" t="s">
        <v>4381</v>
      </c>
      <c r="U619" t="s">
        <v>4382</v>
      </c>
      <c r="V619"/>
      <c r="W619"/>
      <c r="X619"/>
      <c r="Y619"/>
      <c r="Z619"/>
      <c r="AA619"/>
      <c r="AB619"/>
      <c r="AC619"/>
      <c r="AD619"/>
      <c r="AE619"/>
      <c r="AF619"/>
      <c r="AG619"/>
      <c r="AH619">
        <v>12</v>
      </c>
      <c r="AI619">
        <v>12</v>
      </c>
      <c r="AJ619"/>
      <c r="AK619"/>
      <c r="AL619"/>
      <c r="AM619"/>
      <c r="AN619"/>
      <c r="AO619" t="s">
        <v>458</v>
      </c>
      <c r="AP619"/>
      <c r="AQ619"/>
      <c r="AR619"/>
      <c r="AS619"/>
      <c r="AT619" t="s">
        <v>145</v>
      </c>
      <c r="AU619">
        <v>2016</v>
      </c>
      <c r="AV619">
        <v>8</v>
      </c>
      <c r="AW619">
        <v>4</v>
      </c>
      <c r="AX619"/>
      <c r="AY619"/>
      <c r="AZ619"/>
      <c r="BA619"/>
      <c r="BB619"/>
      <c r="BC619"/>
      <c r="BD619">
        <v>329</v>
      </c>
      <c r="BE619" t="s">
        <v>4383</v>
      </c>
      <c r="BF619" t="str">
        <f>HYPERLINK("http://dx.doi.org/10.3390/su8040329","http://dx.doi.org/10.3390/su8040329")</f>
        <v>http://dx.doi.org/10.3390/su8040329</v>
      </c>
      <c r="BG619"/>
      <c r="BH619"/>
      <c r="BI619"/>
      <c r="BJ619" t="s">
        <v>460</v>
      </c>
      <c r="BK619"/>
      <c r="BL619"/>
      <c r="BM619"/>
      <c r="BN619"/>
      <c r="BO619"/>
      <c r="BP619"/>
      <c r="BQ619"/>
      <c r="BR619"/>
      <c r="BS619"/>
      <c r="BT619" t="str">
        <f>HYPERLINK("https%3A%2F%2Fwww.webofscience.com%2Fwos%2Fwoscc%2Ffull-record%2F","View Full Record in Web of Science")</f>
        <v>View Full Record in Web of Science</v>
      </c>
    </row>
    <row r="620" spans="1:72" customHeight="1" ht="12.75">
      <c r="A620" t="s">
        <v>72</v>
      </c>
      <c r="B620" t="s">
        <v>4384</v>
      </c>
      <c r="C620"/>
      <c r="D620"/>
      <c r="E620"/>
      <c r="F620" t="s">
        <v>4385</v>
      </c>
      <c r="G620"/>
      <c r="H620"/>
      <c r="I620" t="s">
        <v>4386</v>
      </c>
      <c r="J620" t="s">
        <v>587</v>
      </c>
      <c r="K620"/>
      <c r="L620"/>
      <c r="M620"/>
      <c r="N620" t="s">
        <v>112</v>
      </c>
      <c r="O620"/>
      <c r="P620"/>
      <c r="Q620"/>
      <c r="R620"/>
      <c r="S620"/>
      <c r="T620" t="s">
        <v>4387</v>
      </c>
      <c r="U620" t="s">
        <v>4388</v>
      </c>
      <c r="V620"/>
      <c r="W620"/>
      <c r="X620"/>
      <c r="Y620"/>
      <c r="Z620"/>
      <c r="AA620"/>
      <c r="AB620"/>
      <c r="AC620"/>
      <c r="AD620"/>
      <c r="AE620"/>
      <c r="AF620"/>
      <c r="AG620"/>
      <c r="AH620">
        <v>36</v>
      </c>
      <c r="AI620">
        <v>38</v>
      </c>
      <c r="AJ620"/>
      <c r="AK620"/>
      <c r="AL620"/>
      <c r="AM620"/>
      <c r="AN620"/>
      <c r="AO620" t="s">
        <v>590</v>
      </c>
      <c r="AP620" t="s">
        <v>591</v>
      </c>
      <c r="AQ620"/>
      <c r="AR620"/>
      <c r="AS620"/>
      <c r="AT620" t="s">
        <v>1585</v>
      </c>
      <c r="AU620">
        <v>2017</v>
      </c>
      <c r="AV620">
        <v>161</v>
      </c>
      <c r="AW620"/>
      <c r="AX620"/>
      <c r="AY620"/>
      <c r="AZ620"/>
      <c r="BA620"/>
      <c r="BB620">
        <v>188</v>
      </c>
      <c r="BC620">
        <v>199</v>
      </c>
      <c r="BD620"/>
      <c r="BE620" t="s">
        <v>4389</v>
      </c>
      <c r="BF620" t="str">
        <f>HYPERLINK("http://dx.doi.org/10.1016/j.jclepro.2017.05.024","http://dx.doi.org/10.1016/j.jclepro.2017.05.024")</f>
        <v>http://dx.doi.org/10.1016/j.jclepro.2017.05.024</v>
      </c>
      <c r="BG620"/>
      <c r="BH620"/>
      <c r="BI620"/>
      <c r="BJ620" t="s">
        <v>139</v>
      </c>
      <c r="BK620"/>
      <c r="BL620"/>
      <c r="BM620"/>
      <c r="BN620"/>
      <c r="BO620"/>
      <c r="BP620"/>
      <c r="BQ620"/>
      <c r="BR620"/>
      <c r="BS620"/>
      <c r="BT620" t="str">
        <f>HYPERLINK("https%3A%2F%2Fwww.webofscience.com%2Fwos%2Fwoscc%2Ffull-record%2F","View Full Record in Web of Science")</f>
        <v>View Full Record in Web of Science</v>
      </c>
    </row>
    <row r="621" spans="1:72" customHeight="1" ht="12.75">
      <c r="A621" t="s">
        <v>72</v>
      </c>
      <c r="B621" t="s">
        <v>4390</v>
      </c>
      <c r="C621"/>
      <c r="D621"/>
      <c r="E621"/>
      <c r="F621" t="s">
        <v>4390</v>
      </c>
      <c r="G621"/>
      <c r="H621"/>
      <c r="I621" t="s">
        <v>4391</v>
      </c>
      <c r="J621" t="s">
        <v>185</v>
      </c>
      <c r="K621"/>
      <c r="L621"/>
      <c r="M621"/>
      <c r="N621" t="s">
        <v>215</v>
      </c>
      <c r="O621"/>
      <c r="P621"/>
      <c r="Q621"/>
      <c r="R621"/>
      <c r="S621"/>
      <c r="T621" t="s">
        <v>4392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>
        <v>74</v>
      </c>
      <c r="AI621">
        <v>82</v>
      </c>
      <c r="AJ621"/>
      <c r="AK621"/>
      <c r="AL621"/>
      <c r="AM621"/>
      <c r="AN621"/>
      <c r="AO621" t="s">
        <v>188</v>
      </c>
      <c r="AP621"/>
      <c r="AQ621"/>
      <c r="AR621"/>
      <c r="AS621"/>
      <c r="AT621" t="s">
        <v>117</v>
      </c>
      <c r="AU621">
        <v>2002</v>
      </c>
      <c r="AV621">
        <v>41</v>
      </c>
      <c r="AW621">
        <v>2</v>
      </c>
      <c r="AX621"/>
      <c r="AY621"/>
      <c r="AZ621"/>
      <c r="BA621"/>
      <c r="BB621">
        <v>235</v>
      </c>
      <c r="BC621">
        <v>255</v>
      </c>
      <c r="BD621" t="s">
        <v>4393</v>
      </c>
      <c r="BE621" t="s">
        <v>4394</v>
      </c>
      <c r="BF621" t="str">
        <f>HYPERLINK("http://dx.doi.org/10.1016/S0921-8009(02)00029-0","http://dx.doi.org/10.1016/S0921-8009(02)00029-0")</f>
        <v>http://dx.doi.org/10.1016/S0921-8009(02)00029-0</v>
      </c>
      <c r="BG621"/>
      <c r="BH621"/>
      <c r="BI621"/>
      <c r="BJ621" t="s">
        <v>192</v>
      </c>
      <c r="BK621"/>
      <c r="BL621"/>
      <c r="BM621"/>
      <c r="BN621"/>
      <c r="BO621"/>
      <c r="BP621"/>
      <c r="BQ621"/>
      <c r="BR621"/>
      <c r="BS621"/>
      <c r="BT621" t="str">
        <f>HYPERLINK("https%3A%2F%2Fwww.webofscience.com%2Fwos%2Fwoscc%2Ffull-record%2F","View Full Record in Web of Science")</f>
        <v>View Full Record in Web of Science</v>
      </c>
    </row>
    <row r="622" spans="1:72" customHeight="1" ht="12.75">
      <c r="A622" t="s">
        <v>72</v>
      </c>
      <c r="B622" t="s">
        <v>4395</v>
      </c>
      <c r="C622"/>
      <c r="D622"/>
      <c r="E622"/>
      <c r="F622" t="s">
        <v>4396</v>
      </c>
      <c r="G622"/>
      <c r="H622"/>
      <c r="I622" t="s">
        <v>4397</v>
      </c>
      <c r="J622" t="s">
        <v>587</v>
      </c>
      <c r="K622"/>
      <c r="L622"/>
      <c r="M622"/>
      <c r="N622" t="s">
        <v>112</v>
      </c>
      <c r="O622"/>
      <c r="P622"/>
      <c r="Q622"/>
      <c r="R622"/>
      <c r="S622"/>
      <c r="T622" t="s">
        <v>4398</v>
      </c>
      <c r="U622" t="s">
        <v>4399</v>
      </c>
      <c r="V622"/>
      <c r="W622"/>
      <c r="X622"/>
      <c r="Y622"/>
      <c r="Z622"/>
      <c r="AA622"/>
      <c r="AB622"/>
      <c r="AC622"/>
      <c r="AD622"/>
      <c r="AE622"/>
      <c r="AF622"/>
      <c r="AG622"/>
      <c r="AH622">
        <v>13</v>
      </c>
      <c r="AI622">
        <v>14</v>
      </c>
      <c r="AJ622"/>
      <c r="AK622"/>
      <c r="AL622"/>
      <c r="AM622"/>
      <c r="AN622"/>
      <c r="AO622" t="s">
        <v>590</v>
      </c>
      <c r="AP622" t="s">
        <v>591</v>
      </c>
      <c r="AQ622"/>
      <c r="AR622"/>
      <c r="AS622"/>
      <c r="AT622" t="s">
        <v>4400</v>
      </c>
      <c r="AU622">
        <v>2017</v>
      </c>
      <c r="AV622">
        <v>162</v>
      </c>
      <c r="AW622"/>
      <c r="AX622"/>
      <c r="AY622"/>
      <c r="AZ622"/>
      <c r="BA622"/>
      <c r="BB622">
        <v>34</v>
      </c>
      <c r="BC622">
        <v>44</v>
      </c>
      <c r="BD622"/>
      <c r="BE622" t="s">
        <v>4401</v>
      </c>
      <c r="BF622" t="str">
        <f>HYPERLINK("http://dx.doi.org/10.1016/j.jclepro.2017.06.030","http://dx.doi.org/10.1016/j.jclepro.2017.06.030")</f>
        <v>http://dx.doi.org/10.1016/j.jclepro.2017.06.030</v>
      </c>
      <c r="BG622"/>
      <c r="BH622"/>
      <c r="BI622"/>
      <c r="BJ622" t="s">
        <v>139</v>
      </c>
      <c r="BK622"/>
      <c r="BL622"/>
      <c r="BM622"/>
      <c r="BN622"/>
      <c r="BO622"/>
      <c r="BP622"/>
      <c r="BQ622"/>
      <c r="BR622"/>
      <c r="BS622"/>
      <c r="BT622" t="str">
        <f>HYPERLINK("https%3A%2F%2Fwww.webofscience.com%2Fwos%2Fwoscc%2Ffull-record%2F","View Full Record in Web of Science")</f>
        <v>View Full Record in Web of Science</v>
      </c>
    </row>
    <row r="623" spans="1:72" customHeight="1" ht="12.75">
      <c r="A623" t="s">
        <v>72</v>
      </c>
      <c r="B623" t="s">
        <v>4402</v>
      </c>
      <c r="C623"/>
      <c r="D623"/>
      <c r="E623"/>
      <c r="F623" t="s">
        <v>4403</v>
      </c>
      <c r="G623"/>
      <c r="H623"/>
      <c r="I623" t="s">
        <v>4404</v>
      </c>
      <c r="J623" t="s">
        <v>87</v>
      </c>
      <c r="K623"/>
      <c r="L623"/>
      <c r="M623"/>
      <c r="N623" t="s">
        <v>112</v>
      </c>
      <c r="O623"/>
      <c r="P623"/>
      <c r="Q623"/>
      <c r="R623"/>
      <c r="S623"/>
      <c r="T623" t="s">
        <v>4405</v>
      </c>
      <c r="U623" t="s">
        <v>4406</v>
      </c>
      <c r="V623"/>
      <c r="W623"/>
      <c r="X623"/>
      <c r="Y623"/>
      <c r="Z623"/>
      <c r="AA623"/>
      <c r="AB623"/>
      <c r="AC623"/>
      <c r="AD623"/>
      <c r="AE623"/>
      <c r="AF623"/>
      <c r="AG623"/>
      <c r="AH623">
        <v>21</v>
      </c>
      <c r="AI623">
        <v>21</v>
      </c>
      <c r="AJ623"/>
      <c r="AK623"/>
      <c r="AL623"/>
      <c r="AM623"/>
      <c r="AN623"/>
      <c r="AO623" t="s">
        <v>90</v>
      </c>
      <c r="AP623" t="s">
        <v>91</v>
      </c>
      <c r="AQ623"/>
      <c r="AR623"/>
      <c r="AS623"/>
      <c r="AT623" t="s">
        <v>198</v>
      </c>
      <c r="AU623">
        <v>2020</v>
      </c>
      <c r="AV623">
        <v>117</v>
      </c>
      <c r="AW623"/>
      <c r="AX623"/>
      <c r="AY623"/>
      <c r="AZ623"/>
      <c r="BA623"/>
      <c r="BB623"/>
      <c r="BC623"/>
      <c r="BD623">
        <v>106687</v>
      </c>
      <c r="BE623" t="s">
        <v>4407</v>
      </c>
      <c r="BF623" t="str">
        <f>HYPERLINK("http://dx.doi.org/10.1016/j.ecolind.2020.106687","http://dx.doi.org/10.1016/j.ecolind.2020.106687")</f>
        <v>http://dx.doi.org/10.1016/j.ecolind.2020.106687</v>
      </c>
      <c r="BG623"/>
      <c r="BH623"/>
      <c r="BI623"/>
      <c r="BJ623" t="s">
        <v>94</v>
      </c>
      <c r="BK623"/>
      <c r="BL623"/>
      <c r="BM623"/>
      <c r="BN623"/>
      <c r="BO623"/>
      <c r="BP623"/>
      <c r="BQ623"/>
      <c r="BR623"/>
      <c r="BS623"/>
      <c r="BT623" t="str">
        <f>HYPERLINK("https%3A%2F%2Fwww.webofscience.com%2Fwos%2Fwoscc%2Ffull-record%2F","View Full Record in Web of Science")</f>
        <v>View Full Record in Web of Science</v>
      </c>
    </row>
    <row r="624" spans="1:72" customHeight="1" ht="12.75">
      <c r="A624" t="s">
        <v>72</v>
      </c>
      <c r="B624" t="s">
        <v>4408</v>
      </c>
      <c r="C624"/>
      <c r="D624"/>
      <c r="E624"/>
      <c r="F624" t="s">
        <v>4409</v>
      </c>
      <c r="G624"/>
      <c r="H624"/>
      <c r="I624" t="s">
        <v>4410</v>
      </c>
      <c r="J624" t="s">
        <v>1067</v>
      </c>
      <c r="K624"/>
      <c r="L624"/>
      <c r="M624"/>
      <c r="N624" t="s">
        <v>325</v>
      </c>
      <c r="O624"/>
      <c r="P624"/>
      <c r="Q624"/>
      <c r="R624"/>
      <c r="S624"/>
      <c r="T624" t="s">
        <v>4411</v>
      </c>
      <c r="U624" t="s">
        <v>4412</v>
      </c>
      <c r="V624"/>
      <c r="W624"/>
      <c r="X624"/>
      <c r="Y624"/>
      <c r="Z624"/>
      <c r="AA624"/>
      <c r="AB624"/>
      <c r="AC624"/>
      <c r="AD624"/>
      <c r="AE624"/>
      <c r="AF624"/>
      <c r="AG624"/>
      <c r="AH624">
        <v>4</v>
      </c>
      <c r="AI624">
        <v>4</v>
      </c>
      <c r="AJ624"/>
      <c r="AK624"/>
      <c r="AL624"/>
      <c r="AM624"/>
      <c r="AN624"/>
      <c r="AO624" t="s">
        <v>1070</v>
      </c>
      <c r="AP624" t="s">
        <v>1071</v>
      </c>
      <c r="AQ624"/>
      <c r="AR624"/>
      <c r="AS624"/>
      <c r="AT624" t="s">
        <v>4413</v>
      </c>
      <c r="AU624">
        <v>2023</v>
      </c>
      <c r="AV624">
        <v>879</v>
      </c>
      <c r="AW624"/>
      <c r="AX624"/>
      <c r="AY624"/>
      <c r="AZ624"/>
      <c r="BA624"/>
      <c r="BB624"/>
      <c r="BC624"/>
      <c r="BD624">
        <v>163077</v>
      </c>
      <c r="BE624" t="s">
        <v>4414</v>
      </c>
      <c r="BF624" t="str">
        <f>HYPERLINK("http://dx.doi.org/10.1016/j.scitotenv.2023.163077","http://dx.doi.org/10.1016/j.scitotenv.2023.163077")</f>
        <v>http://dx.doi.org/10.1016/j.scitotenv.2023.163077</v>
      </c>
      <c r="BG624"/>
      <c r="BH624" t="s">
        <v>4415</v>
      </c>
      <c r="BI624"/>
      <c r="BJ624" t="s">
        <v>224</v>
      </c>
      <c r="BK624"/>
      <c r="BL624"/>
      <c r="BM624"/>
      <c r="BN624"/>
      <c r="BO624"/>
      <c r="BP624"/>
      <c r="BQ624"/>
      <c r="BR624"/>
      <c r="BS624"/>
      <c r="BT624" t="str">
        <f>HYPERLINK("https%3A%2F%2Fwww.webofscience.com%2Fwos%2Fwoscc%2Ffull-record%2F","View Full Record in Web of Science")</f>
        <v>View Full Record in Web of Science</v>
      </c>
    </row>
    <row r="625" spans="1:72" customHeight="1" ht="12.75">
      <c r="A625" t="s">
        <v>72</v>
      </c>
      <c r="B625" t="s">
        <v>4416</v>
      </c>
      <c r="C625"/>
      <c r="D625"/>
      <c r="E625"/>
      <c r="F625" t="s">
        <v>4417</v>
      </c>
      <c r="G625"/>
      <c r="H625"/>
      <c r="I625" t="s">
        <v>4418</v>
      </c>
      <c r="J625" t="s">
        <v>1680</v>
      </c>
      <c r="K625"/>
      <c r="L625"/>
      <c r="M625"/>
      <c r="N625" t="s">
        <v>112</v>
      </c>
      <c r="O625"/>
      <c r="P625"/>
      <c r="Q625"/>
      <c r="R625"/>
      <c r="S625"/>
      <c r="T625" t="s">
        <v>4419</v>
      </c>
      <c r="U625" t="s">
        <v>4420</v>
      </c>
      <c r="V625"/>
      <c r="W625"/>
      <c r="X625"/>
      <c r="Y625"/>
      <c r="Z625"/>
      <c r="AA625"/>
      <c r="AB625"/>
      <c r="AC625"/>
      <c r="AD625"/>
      <c r="AE625"/>
      <c r="AF625"/>
      <c r="AG625"/>
      <c r="AH625">
        <v>11</v>
      </c>
      <c r="AI625">
        <v>12</v>
      </c>
      <c r="AJ625"/>
      <c r="AK625"/>
      <c r="AL625"/>
      <c r="AM625"/>
      <c r="AN625"/>
      <c r="AO625" t="s">
        <v>1683</v>
      </c>
      <c r="AP625" t="s">
        <v>1684</v>
      </c>
      <c r="AQ625"/>
      <c r="AR625"/>
      <c r="AS625"/>
      <c r="AT625" t="s">
        <v>1182</v>
      </c>
      <c r="AU625">
        <v>2015</v>
      </c>
      <c r="AV625">
        <v>154</v>
      </c>
      <c r="AW625"/>
      <c r="AX625"/>
      <c r="AY625"/>
      <c r="AZ625"/>
      <c r="BA625"/>
      <c r="BB625">
        <v>299</v>
      </c>
      <c r="BC625">
        <v>306</v>
      </c>
      <c r="BD625"/>
      <c r="BE625" t="s">
        <v>4421</v>
      </c>
      <c r="BF625" t="str">
        <f>HYPERLINK("http://dx.doi.org/10.1016/j.jenvman.2015.02.042","http://dx.doi.org/10.1016/j.jenvman.2015.02.042")</f>
        <v>http://dx.doi.org/10.1016/j.jenvman.2015.02.042</v>
      </c>
      <c r="BG625"/>
      <c r="BH625"/>
      <c r="BI625"/>
      <c r="BJ625" t="s">
        <v>224</v>
      </c>
      <c r="BK625"/>
      <c r="BL625"/>
      <c r="BM625"/>
      <c r="BN625"/>
      <c r="BO625"/>
      <c r="BP625"/>
      <c r="BQ625"/>
      <c r="BR625"/>
      <c r="BS625"/>
      <c r="BT625" t="str">
        <f>HYPERLINK("https%3A%2F%2Fwww.webofscience.com%2Fwos%2Fwoscc%2Ffull-record%2F","View Full Record in Web of Science")</f>
        <v>View Full Record in Web of Science</v>
      </c>
    </row>
    <row r="626" spans="1:72" customHeight="1" ht="12.75">
      <c r="A626" t="s">
        <v>72</v>
      </c>
      <c r="B626" t="s">
        <v>4422</v>
      </c>
      <c r="C626"/>
      <c r="D626"/>
      <c r="E626"/>
      <c r="F626" t="s">
        <v>4423</v>
      </c>
      <c r="G626"/>
      <c r="H626"/>
      <c r="I626" t="s">
        <v>4424</v>
      </c>
      <c r="J626" t="s">
        <v>697</v>
      </c>
      <c r="K626"/>
      <c r="L626"/>
      <c r="M626"/>
      <c r="N626" t="s">
        <v>325</v>
      </c>
      <c r="O626"/>
      <c r="P626"/>
      <c r="Q626"/>
      <c r="R626"/>
      <c r="S626"/>
      <c r="T626" t="s">
        <v>4425</v>
      </c>
      <c r="U626" t="s">
        <v>4426</v>
      </c>
      <c r="V626"/>
      <c r="W626"/>
      <c r="X626"/>
      <c r="Y626"/>
      <c r="Z626"/>
      <c r="AA626"/>
      <c r="AB626"/>
      <c r="AC626"/>
      <c r="AD626"/>
      <c r="AE626"/>
      <c r="AF626"/>
      <c r="AG626"/>
      <c r="AH626">
        <v>5</v>
      </c>
      <c r="AI626">
        <v>5</v>
      </c>
      <c r="AJ626"/>
      <c r="AK626"/>
      <c r="AL626"/>
      <c r="AM626"/>
      <c r="AN626"/>
      <c r="AO626" t="s">
        <v>699</v>
      </c>
      <c r="AP626" t="s">
        <v>700</v>
      </c>
      <c r="AQ626"/>
      <c r="AR626"/>
      <c r="AS626"/>
      <c r="AT626" t="s">
        <v>3004</v>
      </c>
      <c r="AU626">
        <v>2023</v>
      </c>
      <c r="AV626">
        <v>90</v>
      </c>
      <c r="AW626"/>
      <c r="AX626"/>
      <c r="AY626"/>
      <c r="AZ626"/>
      <c r="BA626"/>
      <c r="BB626"/>
      <c r="BC626"/>
      <c r="BD626">
        <v>104396</v>
      </c>
      <c r="BE626" t="s">
        <v>4427</v>
      </c>
      <c r="BF626" t="str">
        <f>HYPERLINK("http://dx.doi.org/10.1016/j.scs.2023.104396","http://dx.doi.org/10.1016/j.scs.2023.104396")</f>
        <v>http://dx.doi.org/10.1016/j.scs.2023.104396</v>
      </c>
      <c r="BG626"/>
      <c r="BH626" t="s">
        <v>2895</v>
      </c>
      <c r="BI626"/>
      <c r="BJ626" t="s">
        <v>702</v>
      </c>
      <c r="BK626"/>
      <c r="BL626"/>
      <c r="BM626"/>
      <c r="BN626"/>
      <c r="BO626"/>
      <c r="BP626"/>
      <c r="BQ626"/>
      <c r="BR626"/>
      <c r="BS626"/>
      <c r="BT626" t="str">
        <f>HYPERLINK("https%3A%2F%2Fwww.webofscience.com%2Fwos%2Fwoscc%2Ffull-record%2F","View Full Record in Web of Science")</f>
        <v>View Full Record in Web of Science</v>
      </c>
    </row>
    <row r="627" spans="1:72" customHeight="1" ht="12.75">
      <c r="A627" t="s">
        <v>72</v>
      </c>
      <c r="B627" t="s">
        <v>4428</v>
      </c>
      <c r="C627"/>
      <c r="D627"/>
      <c r="E627"/>
      <c r="F627" t="s">
        <v>4429</v>
      </c>
      <c r="G627"/>
      <c r="H627"/>
      <c r="I627" t="s">
        <v>4430</v>
      </c>
      <c r="J627" t="s">
        <v>4431</v>
      </c>
      <c r="K627"/>
      <c r="L627"/>
      <c r="M627"/>
      <c r="N627" t="s">
        <v>112</v>
      </c>
      <c r="O627"/>
      <c r="P627"/>
      <c r="Q627"/>
      <c r="R627"/>
      <c r="S627"/>
      <c r="T627"/>
      <c r="U627" t="s">
        <v>4432</v>
      </c>
      <c r="V627"/>
      <c r="W627"/>
      <c r="X627"/>
      <c r="Y627"/>
      <c r="Z627"/>
      <c r="AA627"/>
      <c r="AB627"/>
      <c r="AC627"/>
      <c r="AD627"/>
      <c r="AE627"/>
      <c r="AF627"/>
      <c r="AG627"/>
      <c r="AH627">
        <v>3</v>
      </c>
      <c r="AI627">
        <v>3</v>
      </c>
      <c r="AJ627"/>
      <c r="AK627"/>
      <c r="AL627"/>
      <c r="AM627"/>
      <c r="AN627"/>
      <c r="AO627" t="s">
        <v>4433</v>
      </c>
      <c r="AP627"/>
      <c r="AQ627"/>
      <c r="AR627"/>
      <c r="AS627"/>
      <c r="AT627"/>
      <c r="AU627">
        <v>2022</v>
      </c>
      <c r="AV627">
        <v>17</v>
      </c>
      <c r="AW627">
        <v>5</v>
      </c>
      <c r="AX627"/>
      <c r="AY627"/>
      <c r="AZ627"/>
      <c r="BA627"/>
      <c r="BB627"/>
      <c r="BC627"/>
      <c r="BD627" t="s">
        <v>4434</v>
      </c>
      <c r="BE627" t="s">
        <v>4435</v>
      </c>
      <c r="BF627" t="str">
        <f>HYPERLINK("http://dx.doi.org/10.1371/journal.pone.0262782","http://dx.doi.org/10.1371/journal.pone.0262782")</f>
        <v>http://dx.doi.org/10.1371/journal.pone.0262782</v>
      </c>
      <c r="BG627"/>
      <c r="BH627"/>
      <c r="BI627"/>
      <c r="BJ627" t="s">
        <v>1579</v>
      </c>
      <c r="BK627"/>
      <c r="BL627"/>
      <c r="BM627"/>
      <c r="BN627"/>
      <c r="BO627"/>
      <c r="BP627"/>
      <c r="BQ627"/>
      <c r="BR627"/>
      <c r="BS627"/>
      <c r="BT627" t="str">
        <f>HYPERLINK("https%3A%2F%2Fwww.webofscience.com%2Fwos%2Fwoscc%2Ffull-record%2F","View Full Record in Web of Science")</f>
        <v>View Full Record in Web of Science</v>
      </c>
    </row>
    <row r="628" spans="1:72" customHeight="1" ht="12.75">
      <c r="A628" t="s">
        <v>72</v>
      </c>
      <c r="B628" t="s">
        <v>4436</v>
      </c>
      <c r="C628"/>
      <c r="D628"/>
      <c r="E628"/>
      <c r="F628" t="s">
        <v>4437</v>
      </c>
      <c r="G628"/>
      <c r="H628"/>
      <c r="I628" t="s">
        <v>4438</v>
      </c>
      <c r="J628" t="s">
        <v>587</v>
      </c>
      <c r="K628"/>
      <c r="L628"/>
      <c r="M628"/>
      <c r="N628" t="s">
        <v>112</v>
      </c>
      <c r="O628"/>
      <c r="P628"/>
      <c r="Q628"/>
      <c r="R628"/>
      <c r="S628"/>
      <c r="T628" t="s">
        <v>4439</v>
      </c>
      <c r="U628" t="s">
        <v>4440</v>
      </c>
      <c r="V628"/>
      <c r="W628"/>
      <c r="X628"/>
      <c r="Y628"/>
      <c r="Z628"/>
      <c r="AA628"/>
      <c r="AB628"/>
      <c r="AC628"/>
      <c r="AD628"/>
      <c r="AE628"/>
      <c r="AF628"/>
      <c r="AG628"/>
      <c r="AH628">
        <v>24</v>
      </c>
      <c r="AI628">
        <v>24</v>
      </c>
      <c r="AJ628"/>
      <c r="AK628"/>
      <c r="AL628"/>
      <c r="AM628"/>
      <c r="AN628"/>
      <c r="AO628" t="s">
        <v>590</v>
      </c>
      <c r="AP628" t="s">
        <v>591</v>
      </c>
      <c r="AQ628"/>
      <c r="AR628"/>
      <c r="AS628"/>
      <c r="AT628" t="s">
        <v>2169</v>
      </c>
      <c r="AU628">
        <v>2020</v>
      </c>
      <c r="AV628">
        <v>273</v>
      </c>
      <c r="AW628"/>
      <c r="AX628"/>
      <c r="AY628"/>
      <c r="AZ628"/>
      <c r="BA628"/>
      <c r="BB628"/>
      <c r="BC628"/>
      <c r="BD628">
        <v>122551</v>
      </c>
      <c r="BE628" t="s">
        <v>4441</v>
      </c>
      <c r="BF628" t="str">
        <f>HYPERLINK("http://dx.doi.org/10.1016/j.jclepro.2020.122551","http://dx.doi.org/10.1016/j.jclepro.2020.122551")</f>
        <v>http://dx.doi.org/10.1016/j.jclepro.2020.122551</v>
      </c>
      <c r="BG628"/>
      <c r="BH628"/>
      <c r="BI628"/>
      <c r="BJ628" t="s">
        <v>139</v>
      </c>
      <c r="BK628"/>
      <c r="BL628"/>
      <c r="BM628"/>
      <c r="BN628"/>
      <c r="BO628"/>
      <c r="BP628"/>
      <c r="BQ628"/>
      <c r="BR628"/>
      <c r="BS628"/>
      <c r="BT628" t="str">
        <f>HYPERLINK("https%3A%2F%2Fwww.webofscience.com%2Fwos%2Fwoscc%2Ffull-record%2F","View Full Record in Web of Science")</f>
        <v>View Full Record in Web of Science</v>
      </c>
    </row>
    <row r="629" spans="1:72" customHeight="1" ht="12.75">
      <c r="A629" t="s">
        <v>72</v>
      </c>
      <c r="B629" t="s">
        <v>4442</v>
      </c>
      <c r="C629"/>
      <c r="D629"/>
      <c r="E629"/>
      <c r="F629" t="s">
        <v>4443</v>
      </c>
      <c r="G629"/>
      <c r="H629"/>
      <c r="I629" t="s">
        <v>4444</v>
      </c>
      <c r="J629" t="s">
        <v>1884</v>
      </c>
      <c r="K629"/>
      <c r="L629"/>
      <c r="M629"/>
      <c r="N629" t="s">
        <v>112</v>
      </c>
      <c r="O629"/>
      <c r="P629"/>
      <c r="Q629"/>
      <c r="R629"/>
      <c r="S629"/>
      <c r="T629" t="s">
        <v>4445</v>
      </c>
      <c r="U629" t="s">
        <v>4446</v>
      </c>
      <c r="V629"/>
      <c r="W629"/>
      <c r="X629"/>
      <c r="Y629"/>
      <c r="Z629"/>
      <c r="AA629"/>
      <c r="AB629"/>
      <c r="AC629"/>
      <c r="AD629"/>
      <c r="AE629"/>
      <c r="AF629"/>
      <c r="AG629"/>
      <c r="AH629">
        <v>19</v>
      </c>
      <c r="AI629">
        <v>19</v>
      </c>
      <c r="AJ629"/>
      <c r="AK629"/>
      <c r="AL629"/>
      <c r="AM629"/>
      <c r="AN629"/>
      <c r="AO629" t="s">
        <v>1887</v>
      </c>
      <c r="AP629" t="s">
        <v>1888</v>
      </c>
      <c r="AQ629"/>
      <c r="AR629"/>
      <c r="AS629"/>
      <c r="AT629" t="s">
        <v>362</v>
      </c>
      <c r="AU629">
        <v>2012</v>
      </c>
      <c r="AV629">
        <v>12</v>
      </c>
      <c r="AW629">
        <v>2</v>
      </c>
      <c r="AX629"/>
      <c r="AY629"/>
      <c r="AZ629" t="s">
        <v>222</v>
      </c>
      <c r="BA629"/>
      <c r="BB629">
        <v>283</v>
      </c>
      <c r="BC629">
        <v>294</v>
      </c>
      <c r="BD629"/>
      <c r="BE629" t="s">
        <v>4447</v>
      </c>
      <c r="BF629" t="str">
        <f>HYPERLINK("http://dx.doi.org/10.1007/s10113-010-0201-x","http://dx.doi.org/10.1007/s10113-010-0201-x")</f>
        <v>http://dx.doi.org/10.1007/s10113-010-0201-x</v>
      </c>
      <c r="BG629"/>
      <c r="BH629"/>
      <c r="BI629"/>
      <c r="BJ629" t="s">
        <v>799</v>
      </c>
      <c r="BK629"/>
      <c r="BL629"/>
      <c r="BM629"/>
      <c r="BN629"/>
      <c r="BO629"/>
      <c r="BP629"/>
      <c r="BQ629"/>
      <c r="BR629"/>
      <c r="BS629"/>
      <c r="BT629" t="str">
        <f>HYPERLINK("https%3A%2F%2Fwww.webofscience.com%2Fwos%2Fwoscc%2Ffull-record%2F","View Full Record in Web of Science")</f>
        <v>View Full Record in Web of Science</v>
      </c>
    </row>
    <row r="630" spans="1:72" customHeight="1" ht="12.75">
      <c r="A630" t="s">
        <v>72</v>
      </c>
      <c r="B630" t="s">
        <v>4448</v>
      </c>
      <c r="C630"/>
      <c r="D630"/>
      <c r="E630"/>
      <c r="F630" t="s">
        <v>4449</v>
      </c>
      <c r="G630"/>
      <c r="H630"/>
      <c r="I630" t="s">
        <v>4450</v>
      </c>
      <c r="J630" t="s">
        <v>510</v>
      </c>
      <c r="K630"/>
      <c r="L630"/>
      <c r="M630"/>
      <c r="N630" t="s">
        <v>112</v>
      </c>
      <c r="O630"/>
      <c r="P630"/>
      <c r="Q630"/>
      <c r="R630"/>
      <c r="S630"/>
      <c r="T630" t="s">
        <v>4451</v>
      </c>
      <c r="U630" t="s">
        <v>4452</v>
      </c>
      <c r="V630"/>
      <c r="W630"/>
      <c r="X630"/>
      <c r="Y630"/>
      <c r="Z630"/>
      <c r="AA630"/>
      <c r="AB630"/>
      <c r="AC630"/>
      <c r="AD630"/>
      <c r="AE630"/>
      <c r="AF630"/>
      <c r="AG630"/>
      <c r="AH630">
        <v>16</v>
      </c>
      <c r="AI630">
        <v>17</v>
      </c>
      <c r="AJ630"/>
      <c r="AK630"/>
      <c r="AL630"/>
      <c r="AM630"/>
      <c r="AN630"/>
      <c r="AO630" t="s">
        <v>511</v>
      </c>
      <c r="AP630" t="s">
        <v>512</v>
      </c>
      <c r="AQ630"/>
      <c r="AR630"/>
      <c r="AS630"/>
      <c r="AT630" t="s">
        <v>1577</v>
      </c>
      <c r="AU630">
        <v>2018</v>
      </c>
      <c r="AV630">
        <v>367</v>
      </c>
      <c r="AW630"/>
      <c r="AX630"/>
      <c r="AY630"/>
      <c r="AZ630"/>
      <c r="BA630"/>
      <c r="BB630">
        <v>58</v>
      </c>
      <c r="BC630">
        <v>67</v>
      </c>
      <c r="BD630"/>
      <c r="BE630" t="s">
        <v>4453</v>
      </c>
      <c r="BF630" t="str">
        <f>HYPERLINK("http://dx.doi.org/10.1016/j.ecolmodel.2017.09.007","http://dx.doi.org/10.1016/j.ecolmodel.2017.09.007")</f>
        <v>http://dx.doi.org/10.1016/j.ecolmodel.2017.09.007</v>
      </c>
      <c r="BG630"/>
      <c r="BH630"/>
      <c r="BI630"/>
      <c r="BJ630" t="s">
        <v>181</v>
      </c>
      <c r="BK630"/>
      <c r="BL630"/>
      <c r="BM630"/>
      <c r="BN630"/>
      <c r="BO630"/>
      <c r="BP630"/>
      <c r="BQ630"/>
      <c r="BR630"/>
      <c r="BS630"/>
      <c r="BT630" t="str">
        <f>HYPERLINK("https%3A%2F%2Fwww.webofscience.com%2Fwos%2Fwoscc%2Ffull-record%2F","View Full Record in Web of Science")</f>
        <v>View Full Record in Web of Science</v>
      </c>
    </row>
    <row r="631" spans="1:72" customHeight="1" ht="12.75">
      <c r="A631" t="s">
        <v>72</v>
      </c>
      <c r="B631" t="s">
        <v>4454</v>
      </c>
      <c r="C631"/>
      <c r="D631"/>
      <c r="E631"/>
      <c r="F631" t="s">
        <v>4455</v>
      </c>
      <c r="G631"/>
      <c r="H631"/>
      <c r="I631" t="s">
        <v>4456</v>
      </c>
      <c r="J631" t="s">
        <v>1360</v>
      </c>
      <c r="K631"/>
      <c r="L631"/>
      <c r="M631"/>
      <c r="N631" t="s">
        <v>215</v>
      </c>
      <c r="O631"/>
      <c r="P631"/>
      <c r="Q631"/>
      <c r="R631"/>
      <c r="S631"/>
      <c r="T631" t="s">
        <v>4457</v>
      </c>
      <c r="U631" t="s">
        <v>4458</v>
      </c>
      <c r="V631"/>
      <c r="W631"/>
      <c r="X631"/>
      <c r="Y631"/>
      <c r="Z631"/>
      <c r="AA631"/>
      <c r="AB631"/>
      <c r="AC631"/>
      <c r="AD631"/>
      <c r="AE631"/>
      <c r="AF631"/>
      <c r="AG631"/>
      <c r="AH631">
        <v>31</v>
      </c>
      <c r="AI631">
        <v>36</v>
      </c>
      <c r="AJ631"/>
      <c r="AK631"/>
      <c r="AL631"/>
      <c r="AM631"/>
      <c r="AN631"/>
      <c r="AO631" t="s">
        <v>1363</v>
      </c>
      <c r="AP631" t="s">
        <v>1364</v>
      </c>
      <c r="AQ631"/>
      <c r="AR631"/>
      <c r="AS631"/>
      <c r="AT631" t="s">
        <v>2210</v>
      </c>
      <c r="AU631">
        <v>2017</v>
      </c>
      <c r="AV631">
        <v>186</v>
      </c>
      <c r="AW631"/>
      <c r="AX631">
        <v>2</v>
      </c>
      <c r="AY631"/>
      <c r="AZ631" t="s">
        <v>222</v>
      </c>
      <c r="BA631"/>
      <c r="BB631">
        <v>167</v>
      </c>
      <c r="BC631">
        <v>174</v>
      </c>
      <c r="BD631"/>
      <c r="BE631" t="s">
        <v>4459</v>
      </c>
      <c r="BF631" t="str">
        <f>HYPERLINK("http://dx.doi.org/10.1016/j.apenergy.2016.05.102","http://dx.doi.org/10.1016/j.apenergy.2016.05.102")</f>
        <v>http://dx.doi.org/10.1016/j.apenergy.2016.05.102</v>
      </c>
      <c r="BG631"/>
      <c r="BH631"/>
      <c r="BI631"/>
      <c r="BJ631" t="s">
        <v>1367</v>
      </c>
      <c r="BK631"/>
      <c r="BL631"/>
      <c r="BM631"/>
      <c r="BN631"/>
      <c r="BO631"/>
      <c r="BP631"/>
      <c r="BQ631"/>
      <c r="BR631"/>
      <c r="BS631"/>
      <c r="BT631" t="str">
        <f>HYPERLINK("https%3A%2F%2Fwww.webofscience.com%2Fwos%2Fwoscc%2Ffull-record%2F","View Full Record in Web of Science")</f>
        <v>View Full Record in Web of Science</v>
      </c>
    </row>
    <row r="632" spans="1:72" customHeight="1" ht="12.75">
      <c r="A632" t="s">
        <v>72</v>
      </c>
      <c r="B632" t="s">
        <v>4460</v>
      </c>
      <c r="C632"/>
      <c r="D632"/>
      <c r="E632"/>
      <c r="F632" t="s">
        <v>4461</v>
      </c>
      <c r="G632"/>
      <c r="H632"/>
      <c r="I632" t="s">
        <v>4462</v>
      </c>
      <c r="J632" t="s">
        <v>510</v>
      </c>
      <c r="K632"/>
      <c r="L632"/>
      <c r="M632"/>
      <c r="N632" t="s">
        <v>99</v>
      </c>
      <c r="O632"/>
      <c r="P632"/>
      <c r="Q632"/>
      <c r="R632"/>
      <c r="S632"/>
      <c r="T632" t="s">
        <v>4463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>
        <v>17</v>
      </c>
      <c r="AI632">
        <v>19</v>
      </c>
      <c r="AJ632"/>
      <c r="AK632"/>
      <c r="AL632"/>
      <c r="AM632"/>
      <c r="AN632"/>
      <c r="AO632" t="s">
        <v>511</v>
      </c>
      <c r="AP632" t="s">
        <v>512</v>
      </c>
      <c r="AQ632"/>
      <c r="AR632"/>
      <c r="AS632"/>
      <c r="AT632" t="s">
        <v>4464</v>
      </c>
      <c r="AU632">
        <v>2021</v>
      </c>
      <c r="AV632">
        <v>443</v>
      </c>
      <c r="AW632"/>
      <c r="AX632"/>
      <c r="AY632"/>
      <c r="AZ632"/>
      <c r="BA632"/>
      <c r="BB632"/>
      <c r="BC632"/>
      <c r="BD632">
        <v>109456</v>
      </c>
      <c r="BE632" t="s">
        <v>4465</v>
      </c>
      <c r="BF632" t="str">
        <f>HYPERLINK("http://dx.doi.org/10.1016/j.ecolmodel.2021.109456","http://dx.doi.org/10.1016/j.ecolmodel.2021.109456")</f>
        <v>http://dx.doi.org/10.1016/j.ecolmodel.2021.109456</v>
      </c>
      <c r="BG632"/>
      <c r="BH632" t="s">
        <v>583</v>
      </c>
      <c r="BI632"/>
      <c r="BJ632" t="s">
        <v>181</v>
      </c>
      <c r="BK632"/>
      <c r="BL632"/>
      <c r="BM632"/>
      <c r="BN632"/>
      <c r="BO632"/>
      <c r="BP632"/>
      <c r="BQ632"/>
      <c r="BR632"/>
      <c r="BS632"/>
      <c r="BT632" t="str">
        <f>HYPERLINK("https%3A%2F%2Fwww.webofscience.com%2Fwos%2Fwoscc%2Ffull-record%2F","View Full Record in Web of Science")</f>
        <v>View Full Record in Web of Science</v>
      </c>
    </row>
    <row r="633" spans="1:72" customHeight="1" ht="12.75">
      <c r="A633" t="s">
        <v>72</v>
      </c>
      <c r="B633" t="s">
        <v>4466</v>
      </c>
      <c r="C633"/>
      <c r="D633"/>
      <c r="E633"/>
      <c r="F633" t="s">
        <v>4467</v>
      </c>
      <c r="G633"/>
      <c r="H633"/>
      <c r="I633" t="s">
        <v>4468</v>
      </c>
      <c r="J633" t="s">
        <v>133</v>
      </c>
      <c r="K633"/>
      <c r="L633"/>
      <c r="M633"/>
      <c r="N633" t="s">
        <v>325</v>
      </c>
      <c r="O633"/>
      <c r="P633"/>
      <c r="Q633"/>
      <c r="R633"/>
      <c r="S633"/>
      <c r="T633" t="s">
        <v>4469</v>
      </c>
      <c r="U633" t="s">
        <v>4470</v>
      </c>
      <c r="V633"/>
      <c r="W633"/>
      <c r="X633"/>
      <c r="Y633"/>
      <c r="Z633"/>
      <c r="AA633"/>
      <c r="AB633"/>
      <c r="AC633"/>
      <c r="AD633"/>
      <c r="AE633"/>
      <c r="AF633"/>
      <c r="AG633"/>
      <c r="AH633">
        <v>17</v>
      </c>
      <c r="AI633">
        <v>17</v>
      </c>
      <c r="AJ633"/>
      <c r="AK633"/>
      <c r="AL633"/>
      <c r="AM633"/>
      <c r="AN633"/>
      <c r="AO633" t="s">
        <v>136</v>
      </c>
      <c r="AP633" t="s">
        <v>137</v>
      </c>
      <c r="AQ633"/>
      <c r="AR633"/>
      <c r="AS633"/>
      <c r="AT633" t="s">
        <v>3668</v>
      </c>
      <c r="AU633">
        <v>2021</v>
      </c>
      <c r="AV633">
        <v>25</v>
      </c>
      <c r="AW633">
        <v>3</v>
      </c>
      <c r="AX633"/>
      <c r="AY633"/>
      <c r="AZ633"/>
      <c r="BA633"/>
      <c r="BB633">
        <v>751</v>
      </c>
      <c r="BC633">
        <v>764</v>
      </c>
      <c r="BD633"/>
      <c r="BE633" t="s">
        <v>4471</v>
      </c>
      <c r="BF633" t="str">
        <f>HYPERLINK("http://dx.doi.org/10.1111/jiec.13070","http://dx.doi.org/10.1111/jiec.13070")</f>
        <v>http://dx.doi.org/10.1111/jiec.13070</v>
      </c>
      <c r="BG633"/>
      <c r="BH633" t="s">
        <v>4472</v>
      </c>
      <c r="BI633"/>
      <c r="BJ633" t="s">
        <v>139</v>
      </c>
      <c r="BK633"/>
      <c r="BL633"/>
      <c r="BM633"/>
      <c r="BN633"/>
      <c r="BO633"/>
      <c r="BP633"/>
      <c r="BQ633"/>
      <c r="BR633"/>
      <c r="BS633"/>
      <c r="BT633" t="str">
        <f>HYPERLINK("https%3A%2F%2Fwww.webofscience.com%2Fwos%2Fwoscc%2Ffull-record%2F","View Full Record in Web of Science")</f>
        <v>View Full Record in Web of Science</v>
      </c>
    </row>
    <row r="634" spans="1:72" customHeight="1" ht="12.75">
      <c r="A634" t="s">
        <v>72</v>
      </c>
      <c r="B634" t="s">
        <v>4473</v>
      </c>
      <c r="C634"/>
      <c r="D634"/>
      <c r="E634"/>
      <c r="F634" t="s">
        <v>4474</v>
      </c>
      <c r="G634"/>
      <c r="H634"/>
      <c r="I634" t="s">
        <v>4475</v>
      </c>
      <c r="J634" t="s">
        <v>4476</v>
      </c>
      <c r="K634"/>
      <c r="L634"/>
      <c r="M634"/>
      <c r="N634" t="s">
        <v>112</v>
      </c>
      <c r="O634"/>
      <c r="P634"/>
      <c r="Q634"/>
      <c r="R634"/>
      <c r="S634"/>
      <c r="T634" t="s">
        <v>4477</v>
      </c>
      <c r="U634" t="s">
        <v>4478</v>
      </c>
      <c r="V634"/>
      <c r="W634"/>
      <c r="X634"/>
      <c r="Y634"/>
      <c r="Z634"/>
      <c r="AA634"/>
      <c r="AB634"/>
      <c r="AC634"/>
      <c r="AD634"/>
      <c r="AE634"/>
      <c r="AF634"/>
      <c r="AG634"/>
      <c r="AH634">
        <v>29</v>
      </c>
      <c r="AI634">
        <v>30</v>
      </c>
      <c r="AJ634"/>
      <c r="AK634"/>
      <c r="AL634"/>
      <c r="AM634"/>
      <c r="AN634"/>
      <c r="AO634" t="s">
        <v>4479</v>
      </c>
      <c r="AP634" t="s">
        <v>4480</v>
      </c>
      <c r="AQ634"/>
      <c r="AR634"/>
      <c r="AS634"/>
      <c r="AT634" t="s">
        <v>362</v>
      </c>
      <c r="AU634">
        <v>2019</v>
      </c>
      <c r="AV634">
        <v>573</v>
      </c>
      <c r="AW634"/>
      <c r="AX634"/>
      <c r="AY634"/>
      <c r="AZ634"/>
      <c r="BA634"/>
      <c r="BB634">
        <v>1028</v>
      </c>
      <c r="BC634">
        <v>1045</v>
      </c>
      <c r="BD634"/>
      <c r="BE634" t="s">
        <v>4481</v>
      </c>
      <c r="BF634" t="str">
        <f>HYPERLINK("http://dx.doi.org/10.1016/j.jhydrol.2018.02.043","http://dx.doi.org/10.1016/j.jhydrol.2018.02.043")</f>
        <v>http://dx.doi.org/10.1016/j.jhydrol.2018.02.043</v>
      </c>
      <c r="BG634"/>
      <c r="BH634"/>
      <c r="BI634"/>
      <c r="BJ634" t="s">
        <v>4482</v>
      </c>
      <c r="BK634"/>
      <c r="BL634"/>
      <c r="BM634"/>
      <c r="BN634"/>
      <c r="BO634"/>
      <c r="BP634"/>
      <c r="BQ634"/>
      <c r="BR634"/>
      <c r="BS634"/>
      <c r="BT634" t="str">
        <f>HYPERLINK("https%3A%2F%2Fwww.webofscience.com%2Fwos%2Fwoscc%2Ffull-record%2F","View Full Record in Web of Science")</f>
        <v>View Full Record in Web of Science</v>
      </c>
    </row>
    <row r="635" spans="1:72" customHeight="1" ht="12.75">
      <c r="A635" t="s">
        <v>72</v>
      </c>
      <c r="B635" t="s">
        <v>4483</v>
      </c>
      <c r="C635"/>
      <c r="D635"/>
      <c r="E635"/>
      <c r="F635" t="s">
        <v>4484</v>
      </c>
      <c r="G635"/>
      <c r="H635"/>
      <c r="I635" t="s">
        <v>4485</v>
      </c>
      <c r="J635" t="s">
        <v>4486</v>
      </c>
      <c r="K635"/>
      <c r="L635"/>
      <c r="M635"/>
      <c r="N635" t="s">
        <v>4487</v>
      </c>
      <c r="O635"/>
      <c r="P635"/>
      <c r="Q635"/>
      <c r="R635"/>
      <c r="S635"/>
      <c r="T635" t="s">
        <v>4488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>
        <v>1</v>
      </c>
      <c r="AI635">
        <v>1</v>
      </c>
      <c r="AJ635"/>
      <c r="AK635"/>
      <c r="AL635"/>
      <c r="AM635"/>
      <c r="AN635"/>
      <c r="AO635" t="s">
        <v>4489</v>
      </c>
      <c r="AP635"/>
      <c r="AQ635"/>
      <c r="AR635"/>
      <c r="AS635"/>
      <c r="AT635" t="s">
        <v>581</v>
      </c>
      <c r="AU635">
        <v>2021</v>
      </c>
      <c r="AV635">
        <v>35</v>
      </c>
      <c r="AW635"/>
      <c r="AX635"/>
      <c r="AY635"/>
      <c r="AZ635"/>
      <c r="BA635"/>
      <c r="BB635"/>
      <c r="BC635"/>
      <c r="BD635">
        <v>106891</v>
      </c>
      <c r="BE635" t="s">
        <v>4490</v>
      </c>
      <c r="BF635" t="str">
        <f>HYPERLINK("http://dx.doi.org/10.1016/j.dib.2021.106891","http://dx.doi.org/10.1016/j.dib.2021.106891")</f>
        <v>http://dx.doi.org/10.1016/j.dib.2021.106891</v>
      </c>
      <c r="BG635"/>
      <c r="BH635" t="s">
        <v>2562</v>
      </c>
      <c r="BI635"/>
      <c r="BJ635" t="s">
        <v>1579</v>
      </c>
      <c r="BK635"/>
      <c r="BL635"/>
      <c r="BM635"/>
      <c r="BN635"/>
      <c r="BO635"/>
      <c r="BP635"/>
      <c r="BQ635"/>
      <c r="BR635"/>
      <c r="BS635"/>
      <c r="BT635" t="str">
        <f>HYPERLINK("https%3A%2F%2Fwww.webofscience.com%2Fwos%2Fwoscc%2Ffull-record%2F","View Full Record in Web of Science")</f>
        <v>View Full Record in Web of Science</v>
      </c>
    </row>
    <row r="636" spans="1:72" customHeight="1" ht="12.75">
      <c r="A636" t="s">
        <v>72</v>
      </c>
      <c r="B636" t="s">
        <v>4491</v>
      </c>
      <c r="C636"/>
      <c r="D636"/>
      <c r="E636"/>
      <c r="F636" t="s">
        <v>4492</v>
      </c>
      <c r="G636"/>
      <c r="H636"/>
      <c r="I636" t="s">
        <v>4493</v>
      </c>
      <c r="J636" t="s">
        <v>1067</v>
      </c>
      <c r="K636"/>
      <c r="L636"/>
      <c r="M636"/>
      <c r="N636" t="s">
        <v>77</v>
      </c>
      <c r="O636"/>
      <c r="P636"/>
      <c r="Q636"/>
      <c r="R636"/>
      <c r="S636"/>
      <c r="T636" t="s">
        <v>4494</v>
      </c>
      <c r="U636" t="s">
        <v>4495</v>
      </c>
      <c r="V636"/>
      <c r="W636"/>
      <c r="X636"/>
      <c r="Y636"/>
      <c r="Z636"/>
      <c r="AA636"/>
      <c r="AB636"/>
      <c r="AC636"/>
      <c r="AD636"/>
      <c r="AE636"/>
      <c r="AF636"/>
      <c r="AG636"/>
      <c r="AH636">
        <v>45</v>
      </c>
      <c r="AI636">
        <v>50</v>
      </c>
      <c r="AJ636"/>
      <c r="AK636"/>
      <c r="AL636"/>
      <c r="AM636"/>
      <c r="AN636"/>
      <c r="AO636" t="s">
        <v>1070</v>
      </c>
      <c r="AP636" t="s">
        <v>1071</v>
      </c>
      <c r="AQ636"/>
      <c r="AR636"/>
      <c r="AS636"/>
      <c r="AT636" t="s">
        <v>1911</v>
      </c>
      <c r="AU636">
        <v>2016</v>
      </c>
      <c r="AV636">
        <v>543</v>
      </c>
      <c r="AW636"/>
      <c r="AX636" t="s">
        <v>2294</v>
      </c>
      <c r="AY636"/>
      <c r="AZ636"/>
      <c r="BA636"/>
      <c r="BB636">
        <v>467</v>
      </c>
      <c r="BC636">
        <v>479</v>
      </c>
      <c r="BD636"/>
      <c r="BE636" t="s">
        <v>4496</v>
      </c>
      <c r="BF636" t="str">
        <f>HYPERLINK("http://dx.doi.org/10.1016/j.scitotenv.2015.11.032","http://dx.doi.org/10.1016/j.scitotenv.2015.11.032")</f>
        <v>http://dx.doi.org/10.1016/j.scitotenv.2015.11.032</v>
      </c>
      <c r="BG636"/>
      <c r="BH636"/>
      <c r="BI636"/>
      <c r="BJ636" t="s">
        <v>224</v>
      </c>
      <c r="BK636"/>
      <c r="BL636"/>
      <c r="BM636"/>
      <c r="BN636"/>
      <c r="BO636"/>
      <c r="BP636"/>
      <c r="BQ636"/>
      <c r="BR636"/>
      <c r="BS636"/>
      <c r="BT636" t="str">
        <f>HYPERLINK("https%3A%2F%2Fwww.webofscience.com%2Fwos%2Fwoscc%2Ffull-record%2F","View Full Record in Web of Science")</f>
        <v>View Full Record in Web of Science</v>
      </c>
    </row>
    <row r="637" spans="1:72" customHeight="1" ht="12.75">
      <c r="A637" t="s">
        <v>72</v>
      </c>
      <c r="B637" t="s">
        <v>4497</v>
      </c>
      <c r="C637"/>
      <c r="D637"/>
      <c r="E637"/>
      <c r="F637" t="s">
        <v>4498</v>
      </c>
      <c r="G637"/>
      <c r="H637"/>
      <c r="I637" t="s">
        <v>4499</v>
      </c>
      <c r="J637" t="s">
        <v>2135</v>
      </c>
      <c r="K637"/>
      <c r="L637"/>
      <c r="M637"/>
      <c r="N637" t="s">
        <v>112</v>
      </c>
      <c r="O637"/>
      <c r="P637"/>
      <c r="Q637"/>
      <c r="R637"/>
      <c r="S637"/>
      <c r="T637" t="s">
        <v>4500</v>
      </c>
      <c r="U637" t="s">
        <v>4501</v>
      </c>
      <c r="V637"/>
      <c r="W637"/>
      <c r="X637"/>
      <c r="Y637"/>
      <c r="Z637"/>
      <c r="AA637"/>
      <c r="AB637"/>
      <c r="AC637"/>
      <c r="AD637"/>
      <c r="AE637"/>
      <c r="AF637"/>
      <c r="AG637"/>
      <c r="AH637">
        <v>46</v>
      </c>
      <c r="AI637">
        <v>48</v>
      </c>
      <c r="AJ637"/>
      <c r="AK637"/>
      <c r="AL637"/>
      <c r="AM637"/>
      <c r="AN637"/>
      <c r="AO637"/>
      <c r="AP637" t="s">
        <v>2139</v>
      </c>
      <c r="AQ637"/>
      <c r="AR637"/>
      <c r="AS637"/>
      <c r="AT637" t="s">
        <v>362</v>
      </c>
      <c r="AU637">
        <v>2014</v>
      </c>
      <c r="AV637">
        <v>6</v>
      </c>
      <c r="AW637">
        <v>6</v>
      </c>
      <c r="AX637"/>
      <c r="AY637"/>
      <c r="AZ637"/>
      <c r="BA637"/>
      <c r="BB637">
        <v>4780</v>
      </c>
      <c r="BC637">
        <v>4800</v>
      </c>
      <c r="BD637"/>
      <c r="BE637" t="s">
        <v>4502</v>
      </c>
      <c r="BF637" t="str">
        <f>HYPERLINK("http://dx.doi.org/10.3390/rs6064780","http://dx.doi.org/10.3390/rs6064780")</f>
        <v>http://dx.doi.org/10.3390/rs6064780</v>
      </c>
      <c r="BG637"/>
      <c r="BH637"/>
      <c r="BI637"/>
      <c r="BJ637" t="s">
        <v>2141</v>
      </c>
      <c r="BK637"/>
      <c r="BL637"/>
      <c r="BM637"/>
      <c r="BN637"/>
      <c r="BO637"/>
      <c r="BP637"/>
      <c r="BQ637"/>
      <c r="BR637"/>
      <c r="BS637"/>
      <c r="BT637" t="str">
        <f>HYPERLINK("https%3A%2F%2Fwww.webofscience.com%2Fwos%2Fwoscc%2Ffull-record%2F","View Full Record in Web of Science")</f>
        <v>View Full Record in Web of Science</v>
      </c>
    </row>
    <row r="638" spans="1:72" customHeight="1" ht="12.75">
      <c r="A638" t="s">
        <v>72</v>
      </c>
      <c r="B638" t="s">
        <v>4503</v>
      </c>
      <c r="C638"/>
      <c r="D638"/>
      <c r="E638"/>
      <c r="F638" t="s">
        <v>4504</v>
      </c>
      <c r="G638"/>
      <c r="H638"/>
      <c r="I638" t="s">
        <v>4505</v>
      </c>
      <c r="J638" t="s">
        <v>4506</v>
      </c>
      <c r="K638"/>
      <c r="L638"/>
      <c r="M638"/>
      <c r="N638" t="s">
        <v>325</v>
      </c>
      <c r="O638"/>
      <c r="P638"/>
      <c r="Q638"/>
      <c r="R638"/>
      <c r="S638"/>
      <c r="T638" t="s">
        <v>4507</v>
      </c>
      <c r="U638" t="s">
        <v>4508</v>
      </c>
      <c r="V638"/>
      <c r="W638"/>
      <c r="X638"/>
      <c r="Y638"/>
      <c r="Z638"/>
      <c r="AA638"/>
      <c r="AB638"/>
      <c r="AC638"/>
      <c r="AD638"/>
      <c r="AE638"/>
      <c r="AF638"/>
      <c r="AG638"/>
      <c r="AH638">
        <v>3</v>
      </c>
      <c r="AI638">
        <v>4</v>
      </c>
      <c r="AJ638"/>
      <c r="AK638"/>
      <c r="AL638"/>
      <c r="AM638"/>
      <c r="AN638"/>
      <c r="AO638" t="s">
        <v>4509</v>
      </c>
      <c r="AP638" t="s">
        <v>4510</v>
      </c>
      <c r="AQ638"/>
      <c r="AR638"/>
      <c r="AS638"/>
      <c r="AT638" t="s">
        <v>888</v>
      </c>
      <c r="AU638">
        <v>2022</v>
      </c>
      <c r="AV638">
        <v>48</v>
      </c>
      <c r="AW638">
        <v>2</v>
      </c>
      <c r="AX638"/>
      <c r="AY638"/>
      <c r="AZ638"/>
      <c r="BA638"/>
      <c r="BB638">
        <v>323</v>
      </c>
      <c r="BC638">
        <v>339</v>
      </c>
      <c r="BD638">
        <v>8.9692052110205E+15</v>
      </c>
      <c r="BE638" t="s">
        <v>4511</v>
      </c>
      <c r="BF638" t="str">
        <f>HYPERLINK("http://dx.doi.org/10.1177/08969205211020502","http://dx.doi.org/10.1177/08969205211020502")</f>
        <v>http://dx.doi.org/10.1177/08969205211020502</v>
      </c>
      <c r="BG638"/>
      <c r="BH638" t="s">
        <v>4512</v>
      </c>
      <c r="BI638"/>
      <c r="BJ638" t="s">
        <v>554</v>
      </c>
      <c r="BK638"/>
      <c r="BL638"/>
      <c r="BM638"/>
      <c r="BN638"/>
      <c r="BO638"/>
      <c r="BP638"/>
      <c r="BQ638"/>
      <c r="BR638"/>
      <c r="BS638"/>
      <c r="BT638" t="str">
        <f>HYPERLINK("https%3A%2F%2Fwww.webofscience.com%2Fwos%2Fwoscc%2Ffull-record%2F","View Full Record in Web of Science")</f>
        <v>View Full Record in Web of Science</v>
      </c>
    </row>
    <row r="639" spans="1:72" customHeight="1" ht="12.75">
      <c r="A639" t="s">
        <v>72</v>
      </c>
      <c r="B639" t="s">
        <v>4513</v>
      </c>
      <c r="C639"/>
      <c r="D639"/>
      <c r="E639"/>
      <c r="F639" t="s">
        <v>4514</v>
      </c>
      <c r="G639"/>
      <c r="H639"/>
      <c r="I639" t="s">
        <v>4515</v>
      </c>
      <c r="J639" t="s">
        <v>1067</v>
      </c>
      <c r="K639"/>
      <c r="L639"/>
      <c r="M639"/>
      <c r="N639" t="s">
        <v>112</v>
      </c>
      <c r="O639"/>
      <c r="P639"/>
      <c r="Q639"/>
      <c r="R639"/>
      <c r="S639"/>
      <c r="T639" t="s">
        <v>4516</v>
      </c>
      <c r="U639" t="s">
        <v>4517</v>
      </c>
      <c r="V639"/>
      <c r="W639"/>
      <c r="X639"/>
      <c r="Y639"/>
      <c r="Z639"/>
      <c r="AA639"/>
      <c r="AB639"/>
      <c r="AC639"/>
      <c r="AD639"/>
      <c r="AE639"/>
      <c r="AF639"/>
      <c r="AG639"/>
      <c r="AH639">
        <v>7</v>
      </c>
      <c r="AI639">
        <v>10</v>
      </c>
      <c r="AJ639"/>
      <c r="AK639"/>
      <c r="AL639"/>
      <c r="AM639"/>
      <c r="AN639"/>
      <c r="AO639" t="s">
        <v>1070</v>
      </c>
      <c r="AP639" t="s">
        <v>1071</v>
      </c>
      <c r="AQ639"/>
      <c r="AR639"/>
      <c r="AS639"/>
      <c r="AT639" t="s">
        <v>4518</v>
      </c>
      <c r="AU639">
        <v>2019</v>
      </c>
      <c r="AV639">
        <v>658</v>
      </c>
      <c r="AW639"/>
      <c r="AX639"/>
      <c r="AY639"/>
      <c r="AZ639"/>
      <c r="BA639"/>
      <c r="BB639">
        <v>590</v>
      </c>
      <c r="BC639">
        <v>601</v>
      </c>
      <c r="BD639"/>
      <c r="BE639" t="s">
        <v>4519</v>
      </c>
      <c r="BF639" t="str">
        <f>HYPERLINK("http://dx.doi.org/10.1016/j.scitotenv.2018.12.022","http://dx.doi.org/10.1016/j.scitotenv.2018.12.022")</f>
        <v>http://dx.doi.org/10.1016/j.scitotenv.2018.12.022</v>
      </c>
      <c r="BG639"/>
      <c r="BH639"/>
      <c r="BI639"/>
      <c r="BJ639" t="s">
        <v>224</v>
      </c>
      <c r="BK639"/>
      <c r="BL639"/>
      <c r="BM639"/>
      <c r="BN639"/>
      <c r="BO639"/>
      <c r="BP639"/>
      <c r="BQ639"/>
      <c r="BR639"/>
      <c r="BS639"/>
      <c r="BT639" t="str">
        <f>HYPERLINK("https%3A%2F%2Fwww.webofscience.com%2Fwos%2Fwoscc%2Ffull-record%2F","View Full Record in Web of Science")</f>
        <v>View Full Record in Web of Science</v>
      </c>
    </row>
    <row r="640" spans="1:72" customHeight="1" ht="12.75">
      <c r="A640" t="s">
        <v>72</v>
      </c>
      <c r="B640" t="s">
        <v>4520</v>
      </c>
      <c r="C640"/>
      <c r="D640"/>
      <c r="E640"/>
      <c r="F640" t="s">
        <v>4521</v>
      </c>
      <c r="G640"/>
      <c r="H640"/>
      <c r="I640" t="s">
        <v>4522</v>
      </c>
      <c r="J640" t="s">
        <v>510</v>
      </c>
      <c r="K640"/>
      <c r="L640"/>
      <c r="M640"/>
      <c r="N640" t="s">
        <v>112</v>
      </c>
      <c r="O640"/>
      <c r="P640"/>
      <c r="Q640"/>
      <c r="R640"/>
      <c r="S640"/>
      <c r="T640" t="s">
        <v>4523</v>
      </c>
      <c r="U640" t="s">
        <v>4524</v>
      </c>
      <c r="V640"/>
      <c r="W640"/>
      <c r="X640"/>
      <c r="Y640"/>
      <c r="Z640"/>
      <c r="AA640"/>
      <c r="AB640"/>
      <c r="AC640"/>
      <c r="AD640"/>
      <c r="AE640"/>
      <c r="AF640"/>
      <c r="AG640"/>
      <c r="AH640">
        <v>14</v>
      </c>
      <c r="AI640">
        <v>17</v>
      </c>
      <c r="AJ640"/>
      <c r="AK640"/>
      <c r="AL640"/>
      <c r="AM640"/>
      <c r="AN640"/>
      <c r="AO640" t="s">
        <v>511</v>
      </c>
      <c r="AP640" t="s">
        <v>512</v>
      </c>
      <c r="AQ640"/>
      <c r="AR640"/>
      <c r="AS640"/>
      <c r="AT640" t="s">
        <v>4525</v>
      </c>
      <c r="AU640">
        <v>2015</v>
      </c>
      <c r="AV640">
        <v>316</v>
      </c>
      <c r="AW640"/>
      <c r="AX640"/>
      <c r="AY640"/>
      <c r="AZ640"/>
      <c r="BA640"/>
      <c r="BB640">
        <v>144</v>
      </c>
      <c r="BC640">
        <v>154</v>
      </c>
      <c r="BD640"/>
      <c r="BE640" t="s">
        <v>4526</v>
      </c>
      <c r="BF640" t="str">
        <f>HYPERLINK("http://dx.doi.org/10.1016/j.ecolmodel.2015.08.008","http://dx.doi.org/10.1016/j.ecolmodel.2015.08.008")</f>
        <v>http://dx.doi.org/10.1016/j.ecolmodel.2015.08.008</v>
      </c>
      <c r="BG640"/>
      <c r="BH640"/>
      <c r="BI640"/>
      <c r="BJ640" t="s">
        <v>181</v>
      </c>
      <c r="BK640"/>
      <c r="BL640"/>
      <c r="BM640"/>
      <c r="BN640"/>
      <c r="BO640"/>
      <c r="BP640"/>
      <c r="BQ640"/>
      <c r="BR640"/>
      <c r="BS640"/>
      <c r="BT640" t="str">
        <f>HYPERLINK("https%3A%2F%2Fwww.webofscience.com%2Fwos%2Fwoscc%2Ffull-record%2F","View Full Record in Web of Science")</f>
        <v>View Full Record in Web of Science</v>
      </c>
    </row>
    <row r="641" spans="1:72" customHeight="1" ht="12.75">
      <c r="A641" t="s">
        <v>72</v>
      </c>
      <c r="B641" t="s">
        <v>4527</v>
      </c>
      <c r="C641"/>
      <c r="D641"/>
      <c r="E641"/>
      <c r="F641" t="s">
        <v>4528</v>
      </c>
      <c r="G641"/>
      <c r="H641"/>
      <c r="I641" t="s">
        <v>4529</v>
      </c>
      <c r="J641" t="s">
        <v>133</v>
      </c>
      <c r="K641"/>
      <c r="L641"/>
      <c r="M641"/>
      <c r="N641" t="s">
        <v>112</v>
      </c>
      <c r="O641"/>
      <c r="P641"/>
      <c r="Q641"/>
      <c r="R641"/>
      <c r="S641"/>
      <c r="T641" t="s">
        <v>4530</v>
      </c>
      <c r="U641" t="s">
        <v>4531</v>
      </c>
      <c r="V641"/>
      <c r="W641"/>
      <c r="X641"/>
      <c r="Y641"/>
      <c r="Z641"/>
      <c r="AA641"/>
      <c r="AB641"/>
      <c r="AC641"/>
      <c r="AD641"/>
      <c r="AE641"/>
      <c r="AF641"/>
      <c r="AG641"/>
      <c r="AH641">
        <v>22</v>
      </c>
      <c r="AI641">
        <v>23</v>
      </c>
      <c r="AJ641"/>
      <c r="AK641"/>
      <c r="AL641"/>
      <c r="AM641"/>
      <c r="AN641"/>
      <c r="AO641" t="s">
        <v>136</v>
      </c>
      <c r="AP641" t="s">
        <v>137</v>
      </c>
      <c r="AQ641"/>
      <c r="AR641"/>
      <c r="AS641"/>
      <c r="AT641" t="s">
        <v>198</v>
      </c>
      <c r="AU641">
        <v>2019</v>
      </c>
      <c r="AV641">
        <v>23</v>
      </c>
      <c r="AW641">
        <v>5</v>
      </c>
      <c r="AX641"/>
      <c r="AY641"/>
      <c r="AZ641"/>
      <c r="BA641"/>
      <c r="BB641">
        <v>1016</v>
      </c>
      <c r="BC641">
        <v>1027</v>
      </c>
      <c r="BD641"/>
      <c r="BE641" t="s">
        <v>4532</v>
      </c>
      <c r="BF641" t="str">
        <f>HYPERLINK("http://dx.doi.org/10.1111/jiec.12890","http://dx.doi.org/10.1111/jiec.12890")</f>
        <v>http://dx.doi.org/10.1111/jiec.12890</v>
      </c>
      <c r="BG641"/>
      <c r="BH641"/>
      <c r="BI641"/>
      <c r="BJ641" t="s">
        <v>139</v>
      </c>
      <c r="BK641"/>
      <c r="BL641"/>
      <c r="BM641"/>
      <c r="BN641"/>
      <c r="BO641"/>
      <c r="BP641"/>
      <c r="BQ641"/>
      <c r="BR641"/>
      <c r="BS641"/>
      <c r="BT641" t="str">
        <f>HYPERLINK("https%3A%2F%2Fwww.webofscience.com%2Fwos%2Fwoscc%2Ffull-record%2F","View Full Record in Web of Science")</f>
        <v>View Full Record in Web of Science</v>
      </c>
    </row>
    <row r="642" spans="1:72" customHeight="1" ht="12.75">
      <c r="A642" t="s">
        <v>72</v>
      </c>
      <c r="B642" t="s">
        <v>4533</v>
      </c>
      <c r="C642"/>
      <c r="D642"/>
      <c r="E642"/>
      <c r="F642" t="s">
        <v>4534</v>
      </c>
      <c r="G642"/>
      <c r="H642"/>
      <c r="I642" t="s">
        <v>4535</v>
      </c>
      <c r="J642" t="s">
        <v>111</v>
      </c>
      <c r="K642"/>
      <c r="L642"/>
      <c r="M642"/>
      <c r="N642" t="s">
        <v>77</v>
      </c>
      <c r="O642"/>
      <c r="P642"/>
      <c r="Q642"/>
      <c r="R642"/>
      <c r="S642"/>
      <c r="T642" t="s">
        <v>4536</v>
      </c>
      <c r="U642" t="s">
        <v>4537</v>
      </c>
      <c r="V642"/>
      <c r="W642"/>
      <c r="X642"/>
      <c r="Y642"/>
      <c r="Z642"/>
      <c r="AA642"/>
      <c r="AB642"/>
      <c r="AC642"/>
      <c r="AD642"/>
      <c r="AE642"/>
      <c r="AF642"/>
      <c r="AG642"/>
      <c r="AH642">
        <v>660</v>
      </c>
      <c r="AI642">
        <v>675</v>
      </c>
      <c r="AJ642"/>
      <c r="AK642"/>
      <c r="AL642"/>
      <c r="AM642"/>
      <c r="AN642"/>
      <c r="AO642" t="s">
        <v>115</v>
      </c>
      <c r="AP642" t="s">
        <v>116</v>
      </c>
      <c r="AQ642"/>
      <c r="AR642"/>
      <c r="AS642"/>
      <c r="AT642" t="s">
        <v>154</v>
      </c>
      <c r="AU642">
        <v>2018</v>
      </c>
      <c r="AV642">
        <v>135</v>
      </c>
      <c r="AW642"/>
      <c r="AX642"/>
      <c r="AY642"/>
      <c r="AZ642" t="s">
        <v>222</v>
      </c>
      <c r="BA642"/>
      <c r="BB642">
        <v>190</v>
      </c>
      <c r="BC642">
        <v>201</v>
      </c>
      <c r="BD642"/>
      <c r="BE642" t="s">
        <v>4538</v>
      </c>
      <c r="BF642" t="str">
        <f>HYPERLINK("http://dx.doi.org/10.1016/j.resconrec.2017.10.034","http://dx.doi.org/10.1016/j.resconrec.2017.10.034")</f>
        <v>http://dx.doi.org/10.1016/j.resconrec.2017.10.034</v>
      </c>
      <c r="BG642"/>
      <c r="BH642"/>
      <c r="BI642"/>
      <c r="BJ642" t="s">
        <v>119</v>
      </c>
      <c r="BK642"/>
      <c r="BL642"/>
      <c r="BM642"/>
      <c r="BN642"/>
      <c r="BO642"/>
      <c r="BP642"/>
      <c r="BQ642"/>
      <c r="BR642"/>
      <c r="BS642"/>
      <c r="BT642" t="str">
        <f>HYPERLINK("https%3A%2F%2Fwww.webofscience.com%2Fwos%2Fwoscc%2Ffull-record%2F","View Full Record in Web of Science")</f>
        <v>View Full Record in Web of Science</v>
      </c>
    </row>
    <row r="643" spans="1:72" customHeight="1" ht="12.75">
      <c r="A643" t="s">
        <v>72</v>
      </c>
      <c r="B643" t="s">
        <v>4539</v>
      </c>
      <c r="C643"/>
      <c r="D643"/>
      <c r="E643"/>
      <c r="F643" t="s">
        <v>4540</v>
      </c>
      <c r="G643"/>
      <c r="H643"/>
      <c r="I643" t="s">
        <v>4541</v>
      </c>
      <c r="J643" t="s">
        <v>111</v>
      </c>
      <c r="K643"/>
      <c r="L643"/>
      <c r="M643"/>
      <c r="N643" t="s">
        <v>112</v>
      </c>
      <c r="O643"/>
      <c r="P643"/>
      <c r="Q643"/>
      <c r="R643"/>
      <c r="S643"/>
      <c r="T643" t="s">
        <v>4542</v>
      </c>
      <c r="U643" t="s">
        <v>4543</v>
      </c>
      <c r="V643"/>
      <c r="W643"/>
      <c r="X643"/>
      <c r="Y643"/>
      <c r="Z643"/>
      <c r="AA643"/>
      <c r="AB643"/>
      <c r="AC643"/>
      <c r="AD643"/>
      <c r="AE643"/>
      <c r="AF643"/>
      <c r="AG643"/>
      <c r="AH643">
        <v>16</v>
      </c>
      <c r="AI643">
        <v>16</v>
      </c>
      <c r="AJ643"/>
      <c r="AK643"/>
      <c r="AL643"/>
      <c r="AM643"/>
      <c r="AN643"/>
      <c r="AO643" t="s">
        <v>115</v>
      </c>
      <c r="AP643" t="s">
        <v>116</v>
      </c>
      <c r="AQ643"/>
      <c r="AR643"/>
      <c r="AS643"/>
      <c r="AT643" t="s">
        <v>145</v>
      </c>
      <c r="AU643">
        <v>2020</v>
      </c>
      <c r="AV643">
        <v>155</v>
      </c>
      <c r="AW643"/>
      <c r="AX643"/>
      <c r="AY643"/>
      <c r="AZ643"/>
      <c r="BA643"/>
      <c r="BB643"/>
      <c r="BC643"/>
      <c r="BD643">
        <v>104632</v>
      </c>
      <c r="BE643" t="s">
        <v>4544</v>
      </c>
      <c r="BF643" t="str">
        <f>HYPERLINK("http://dx.doi.org/10.1016/j.resconrec.2019.104632","http://dx.doi.org/10.1016/j.resconrec.2019.104632")</f>
        <v>http://dx.doi.org/10.1016/j.resconrec.2019.104632</v>
      </c>
      <c r="BG643"/>
      <c r="BH643"/>
      <c r="BI643"/>
      <c r="BJ643" t="s">
        <v>119</v>
      </c>
      <c r="BK643"/>
      <c r="BL643"/>
      <c r="BM643"/>
      <c r="BN643"/>
      <c r="BO643"/>
      <c r="BP643"/>
      <c r="BQ643"/>
      <c r="BR643"/>
      <c r="BS643"/>
      <c r="BT643" t="str">
        <f>HYPERLINK("https%3A%2F%2Fwww.webofscience.com%2Fwos%2Fwoscc%2Ffull-record%2F","View Full Record in Web of Science")</f>
        <v>View Full Record in Web of Science</v>
      </c>
    </row>
    <row r="644" spans="1:72" customHeight="1" ht="12.75">
      <c r="A644" t="s">
        <v>72</v>
      </c>
      <c r="B644" t="s">
        <v>4545</v>
      </c>
      <c r="C644"/>
      <c r="D644"/>
      <c r="E644"/>
      <c r="F644" t="s">
        <v>4546</v>
      </c>
      <c r="G644"/>
      <c r="H644"/>
      <c r="I644" t="s">
        <v>4547</v>
      </c>
      <c r="J644" t="s">
        <v>1360</v>
      </c>
      <c r="K644"/>
      <c r="L644"/>
      <c r="M644"/>
      <c r="N644" t="s">
        <v>112</v>
      </c>
      <c r="O644"/>
      <c r="P644"/>
      <c r="Q644"/>
      <c r="R644"/>
      <c r="S644"/>
      <c r="T644" t="s">
        <v>4548</v>
      </c>
      <c r="U644" t="s">
        <v>4549</v>
      </c>
      <c r="V644"/>
      <c r="W644"/>
      <c r="X644"/>
      <c r="Y644"/>
      <c r="Z644"/>
      <c r="AA644"/>
      <c r="AB644"/>
      <c r="AC644"/>
      <c r="AD644"/>
      <c r="AE644"/>
      <c r="AF644"/>
      <c r="AG644"/>
      <c r="AH644">
        <v>113</v>
      </c>
      <c r="AI644">
        <v>122</v>
      </c>
      <c r="AJ644"/>
      <c r="AK644"/>
      <c r="AL644"/>
      <c r="AM644"/>
      <c r="AN644"/>
      <c r="AO644" t="s">
        <v>1363</v>
      </c>
      <c r="AP644" t="s">
        <v>1364</v>
      </c>
      <c r="AQ644"/>
      <c r="AR644"/>
      <c r="AS644"/>
      <c r="AT644" t="s">
        <v>4550</v>
      </c>
      <c r="AU644">
        <v>2017</v>
      </c>
      <c r="AV644">
        <v>196</v>
      </c>
      <c r="AW644"/>
      <c r="AX644"/>
      <c r="AY644"/>
      <c r="AZ644"/>
      <c r="BA644"/>
      <c r="BB644">
        <v>208</v>
      </c>
      <c r="BC644">
        <v>217</v>
      </c>
      <c r="BD644"/>
      <c r="BE644" t="s">
        <v>4551</v>
      </c>
      <c r="BF644" t="str">
        <f>HYPERLINK("http://dx.doi.org/10.1016/j.apenergy.2017.02.011","http://dx.doi.org/10.1016/j.apenergy.2017.02.011")</f>
        <v>http://dx.doi.org/10.1016/j.apenergy.2017.02.011</v>
      </c>
      <c r="BG644"/>
      <c r="BH644"/>
      <c r="BI644"/>
      <c r="BJ644" t="s">
        <v>1367</v>
      </c>
      <c r="BK644"/>
      <c r="BL644"/>
      <c r="BM644"/>
      <c r="BN644"/>
      <c r="BO644"/>
      <c r="BP644"/>
      <c r="BQ644"/>
      <c r="BR644"/>
      <c r="BS644"/>
      <c r="BT644" t="str">
        <f>HYPERLINK("https%3A%2F%2Fwww.webofscience.com%2Fwos%2Fwoscc%2Ffull-record%2F","View Full Record in Web of Science")</f>
        <v>View Full Record in Web of Science</v>
      </c>
    </row>
    <row r="645" spans="1:72" customHeight="1" ht="12.75">
      <c r="A645" t="s">
        <v>72</v>
      </c>
      <c r="B645" t="s">
        <v>4552</v>
      </c>
      <c r="C645"/>
      <c r="D645"/>
      <c r="E645"/>
      <c r="F645" t="s">
        <v>4553</v>
      </c>
      <c r="G645"/>
      <c r="H645"/>
      <c r="I645" t="s">
        <v>4554</v>
      </c>
      <c r="J645" t="s">
        <v>1699</v>
      </c>
      <c r="K645"/>
      <c r="L645"/>
      <c r="M645"/>
      <c r="N645" t="s">
        <v>112</v>
      </c>
      <c r="O645"/>
      <c r="P645"/>
      <c r="Q645"/>
      <c r="R645"/>
      <c r="S645"/>
      <c r="T645" t="s">
        <v>4555</v>
      </c>
      <c r="U645" t="s">
        <v>4556</v>
      </c>
      <c r="V645"/>
      <c r="W645"/>
      <c r="X645"/>
      <c r="Y645"/>
      <c r="Z645"/>
      <c r="AA645"/>
      <c r="AB645"/>
      <c r="AC645"/>
      <c r="AD645"/>
      <c r="AE645"/>
      <c r="AF645"/>
      <c r="AG645"/>
      <c r="AH645">
        <v>176</v>
      </c>
      <c r="AI645">
        <v>183</v>
      </c>
      <c r="AJ645"/>
      <c r="AK645"/>
      <c r="AL645"/>
      <c r="AM645"/>
      <c r="AN645"/>
      <c r="AO645" t="s">
        <v>1702</v>
      </c>
      <c r="AP645" t="s">
        <v>1703</v>
      </c>
      <c r="AQ645"/>
      <c r="AR645"/>
      <c r="AS645"/>
      <c r="AT645" t="s">
        <v>352</v>
      </c>
      <c r="AU645">
        <v>2020</v>
      </c>
      <c r="AV645">
        <v>130</v>
      </c>
      <c r="AW645"/>
      <c r="AX645"/>
      <c r="AY645"/>
      <c r="AZ645"/>
      <c r="BA645"/>
      <c r="BB645"/>
      <c r="BC645"/>
      <c r="BD645">
        <v>109948</v>
      </c>
      <c r="BE645" t="s">
        <v>4557</v>
      </c>
      <c r="BF645" t="str">
        <f>HYPERLINK("http://dx.doi.org/10.1016/j.rser.2020.109948","http://dx.doi.org/10.1016/j.rser.2020.109948")</f>
        <v>http://dx.doi.org/10.1016/j.rser.2020.109948</v>
      </c>
      <c r="BG645"/>
      <c r="BH645"/>
      <c r="BI645"/>
      <c r="BJ645" t="s">
        <v>1705</v>
      </c>
      <c r="BK645"/>
      <c r="BL645"/>
      <c r="BM645"/>
      <c r="BN645"/>
      <c r="BO645"/>
      <c r="BP645"/>
      <c r="BQ645"/>
      <c r="BR645"/>
      <c r="BS645"/>
      <c r="BT645" t="str">
        <f>HYPERLINK("https%3A%2F%2Fwww.webofscience.com%2Fwos%2Fwoscc%2Ffull-record%2F","View Full Record in Web of Science")</f>
        <v>View Full Record in Web of Science</v>
      </c>
    </row>
    <row r="646" spans="1:72" customHeight="1" ht="12.75">
      <c r="A646" t="s">
        <v>72</v>
      </c>
      <c r="B646" t="s">
        <v>4558</v>
      </c>
      <c r="C646"/>
      <c r="D646"/>
      <c r="E646"/>
      <c r="F646" t="s">
        <v>4559</v>
      </c>
      <c r="G646"/>
      <c r="H646"/>
      <c r="I646" t="s">
        <v>4560</v>
      </c>
      <c r="J646" t="s">
        <v>1067</v>
      </c>
      <c r="K646"/>
      <c r="L646"/>
      <c r="M646"/>
      <c r="N646" t="s">
        <v>112</v>
      </c>
      <c r="O646"/>
      <c r="P646"/>
      <c r="Q646"/>
      <c r="R646"/>
      <c r="S646"/>
      <c r="T646" t="s">
        <v>4561</v>
      </c>
      <c r="U646" t="s">
        <v>4562</v>
      </c>
      <c r="V646"/>
      <c r="W646"/>
      <c r="X646"/>
      <c r="Y646"/>
      <c r="Z646"/>
      <c r="AA646"/>
      <c r="AB646"/>
      <c r="AC646"/>
      <c r="AD646"/>
      <c r="AE646"/>
      <c r="AF646"/>
      <c r="AG646"/>
      <c r="AH646">
        <v>51</v>
      </c>
      <c r="AI646">
        <v>54</v>
      </c>
      <c r="AJ646"/>
      <c r="AK646"/>
      <c r="AL646"/>
      <c r="AM646"/>
      <c r="AN646"/>
      <c r="AO646" t="s">
        <v>1070</v>
      </c>
      <c r="AP646" t="s">
        <v>1071</v>
      </c>
      <c r="AQ646"/>
      <c r="AR646"/>
      <c r="AS646"/>
      <c r="AT646" t="s">
        <v>624</v>
      </c>
      <c r="AU646">
        <v>2019</v>
      </c>
      <c r="AV646">
        <v>656</v>
      </c>
      <c r="AW646"/>
      <c r="AX646"/>
      <c r="AY646"/>
      <c r="AZ646"/>
      <c r="BA646"/>
      <c r="BB646">
        <v>174</v>
      </c>
      <c r="BC646">
        <v>183</v>
      </c>
      <c r="BD646"/>
      <c r="BE646" t="s">
        <v>4563</v>
      </c>
      <c r="BF646" t="str">
        <f>HYPERLINK("http://dx.doi.org/10.1016/j.scitotenv.2018.11.350","http://dx.doi.org/10.1016/j.scitotenv.2018.11.350")</f>
        <v>http://dx.doi.org/10.1016/j.scitotenv.2018.11.350</v>
      </c>
      <c r="BG646"/>
      <c r="BH646"/>
      <c r="BI646"/>
      <c r="BJ646" t="s">
        <v>224</v>
      </c>
      <c r="BK646"/>
      <c r="BL646"/>
      <c r="BM646"/>
      <c r="BN646"/>
      <c r="BO646"/>
      <c r="BP646"/>
      <c r="BQ646"/>
      <c r="BR646"/>
      <c r="BS646"/>
      <c r="BT646" t="str">
        <f>HYPERLINK("https%3A%2F%2Fwww.webofscience.com%2Fwos%2Fwoscc%2Ffull-record%2F","View Full Record in Web of Science")</f>
        <v>View Full Record in Web of Science</v>
      </c>
    </row>
    <row r="647" spans="1:72" customHeight="1" ht="12.75">
      <c r="A647" t="s">
        <v>72</v>
      </c>
      <c r="B647" t="s">
        <v>4564</v>
      </c>
      <c r="C647"/>
      <c r="D647"/>
      <c r="E647"/>
      <c r="F647" t="s">
        <v>4565</v>
      </c>
      <c r="G647"/>
      <c r="H647"/>
      <c r="I647" t="s">
        <v>4566</v>
      </c>
      <c r="J647" t="s">
        <v>486</v>
      </c>
      <c r="K647"/>
      <c r="L647"/>
      <c r="M647"/>
      <c r="N647" t="s">
        <v>112</v>
      </c>
      <c r="O647"/>
      <c r="P647"/>
      <c r="Q647"/>
      <c r="R647"/>
      <c r="S647"/>
      <c r="T647" t="s">
        <v>4567</v>
      </c>
      <c r="U647" t="s">
        <v>4568</v>
      </c>
      <c r="V647"/>
      <c r="W647"/>
      <c r="X647"/>
      <c r="Y647"/>
      <c r="Z647"/>
      <c r="AA647"/>
      <c r="AB647"/>
      <c r="AC647"/>
      <c r="AD647"/>
      <c r="AE647"/>
      <c r="AF647"/>
      <c r="AG647"/>
      <c r="AH647">
        <v>45</v>
      </c>
      <c r="AI647">
        <v>46</v>
      </c>
      <c r="AJ647"/>
      <c r="AK647"/>
      <c r="AL647"/>
      <c r="AM647"/>
      <c r="AN647"/>
      <c r="AO647"/>
      <c r="AP647" t="s">
        <v>489</v>
      </c>
      <c r="AQ647"/>
      <c r="AR647"/>
      <c r="AS647"/>
      <c r="AT647" t="s">
        <v>92</v>
      </c>
      <c r="AU647">
        <v>2020</v>
      </c>
      <c r="AV647">
        <v>17</v>
      </c>
      <c r="AW647">
        <v>21</v>
      </c>
      <c r="AX647"/>
      <c r="AY647"/>
      <c r="AZ647"/>
      <c r="BA647"/>
      <c r="BB647"/>
      <c r="BC647"/>
      <c r="BD647">
        <v>7847</v>
      </c>
      <c r="BE647" t="s">
        <v>4569</v>
      </c>
      <c r="BF647" t="str">
        <f>HYPERLINK("http://dx.doi.org/10.3390/ijerph17217847","http://dx.doi.org/10.3390/ijerph17217847")</f>
        <v>http://dx.doi.org/10.3390/ijerph17217847</v>
      </c>
      <c r="BG647"/>
      <c r="BH647"/>
      <c r="BI647"/>
      <c r="BJ647" t="s">
        <v>492</v>
      </c>
      <c r="BK647"/>
      <c r="BL647"/>
      <c r="BM647"/>
      <c r="BN647"/>
      <c r="BO647"/>
      <c r="BP647"/>
      <c r="BQ647"/>
      <c r="BR647"/>
      <c r="BS647"/>
      <c r="BT647" t="str">
        <f>HYPERLINK("https%3A%2F%2Fwww.webofscience.com%2Fwos%2Fwoscc%2Ffull-record%2F","View Full Record in Web of Science")</f>
        <v>View Full Record in Web of Science</v>
      </c>
    </row>
    <row r="648" spans="1:72" customHeight="1" ht="12.75">
      <c r="A648" t="s">
        <v>72</v>
      </c>
      <c r="B648" t="s">
        <v>4570</v>
      </c>
      <c r="C648"/>
      <c r="D648"/>
      <c r="E648"/>
      <c r="F648" t="s">
        <v>4571</v>
      </c>
      <c r="G648"/>
      <c r="H648"/>
      <c r="I648" t="s">
        <v>4572</v>
      </c>
      <c r="J648" t="s">
        <v>111</v>
      </c>
      <c r="K648"/>
      <c r="L648"/>
      <c r="M648"/>
      <c r="N648" t="s">
        <v>112</v>
      </c>
      <c r="O648"/>
      <c r="P648"/>
      <c r="Q648"/>
      <c r="R648"/>
      <c r="S648"/>
      <c r="T648" t="s">
        <v>4573</v>
      </c>
      <c r="U648" t="s">
        <v>4574</v>
      </c>
      <c r="V648"/>
      <c r="W648"/>
      <c r="X648"/>
      <c r="Y648"/>
      <c r="Z648"/>
      <c r="AA648"/>
      <c r="AB648"/>
      <c r="AC648"/>
      <c r="AD648"/>
      <c r="AE648"/>
      <c r="AF648"/>
      <c r="AG648"/>
      <c r="AH648">
        <v>12</v>
      </c>
      <c r="AI648">
        <v>15</v>
      </c>
      <c r="AJ648"/>
      <c r="AK648"/>
      <c r="AL648"/>
      <c r="AM648"/>
      <c r="AN648"/>
      <c r="AO648" t="s">
        <v>115</v>
      </c>
      <c r="AP648" t="s">
        <v>116</v>
      </c>
      <c r="AQ648"/>
      <c r="AR648"/>
      <c r="AS648"/>
      <c r="AT648" t="s">
        <v>145</v>
      </c>
      <c r="AU648">
        <v>2020</v>
      </c>
      <c r="AV648">
        <v>155</v>
      </c>
      <c r="AW648"/>
      <c r="AX648"/>
      <c r="AY648"/>
      <c r="AZ648"/>
      <c r="BA648"/>
      <c r="BB648"/>
      <c r="BC648"/>
      <c r="BD648">
        <v>104667</v>
      </c>
      <c r="BE648" t="s">
        <v>4575</v>
      </c>
      <c r="BF648" t="str">
        <f>HYPERLINK("http://dx.doi.org/10.1016/j.resconrec.2019.104667","http://dx.doi.org/10.1016/j.resconrec.2019.104667")</f>
        <v>http://dx.doi.org/10.1016/j.resconrec.2019.104667</v>
      </c>
      <c r="BG648"/>
      <c r="BH648"/>
      <c r="BI648"/>
      <c r="BJ648" t="s">
        <v>119</v>
      </c>
      <c r="BK648"/>
      <c r="BL648"/>
      <c r="BM648"/>
      <c r="BN648"/>
      <c r="BO648"/>
      <c r="BP648"/>
      <c r="BQ648"/>
      <c r="BR648"/>
      <c r="BS648"/>
      <c r="BT648" t="str">
        <f>HYPERLINK("https%3A%2F%2Fwww.webofscience.com%2Fwos%2Fwoscc%2Ffull-record%2F","View Full Record in Web of Science")</f>
        <v>View Full Record in Web of Science</v>
      </c>
    </row>
    <row r="649" spans="1:72" customHeight="1" ht="12.75">
      <c r="A649" t="s">
        <v>72</v>
      </c>
      <c r="B649" t="s">
        <v>4576</v>
      </c>
      <c r="C649"/>
      <c r="D649"/>
      <c r="E649"/>
      <c r="F649" t="s">
        <v>4577</v>
      </c>
      <c r="G649"/>
      <c r="H649"/>
      <c r="I649" t="s">
        <v>4578</v>
      </c>
      <c r="J649" t="s">
        <v>1067</v>
      </c>
      <c r="K649"/>
      <c r="L649"/>
      <c r="M649"/>
      <c r="N649" t="s">
        <v>112</v>
      </c>
      <c r="O649"/>
      <c r="P649"/>
      <c r="Q649"/>
      <c r="R649"/>
      <c r="S649"/>
      <c r="T649" t="s">
        <v>4579</v>
      </c>
      <c r="U649" t="s">
        <v>4580</v>
      </c>
      <c r="V649"/>
      <c r="W649"/>
      <c r="X649"/>
      <c r="Y649"/>
      <c r="Z649"/>
      <c r="AA649"/>
      <c r="AB649"/>
      <c r="AC649"/>
      <c r="AD649"/>
      <c r="AE649"/>
      <c r="AF649"/>
      <c r="AG649"/>
      <c r="AH649">
        <v>43</v>
      </c>
      <c r="AI649">
        <v>46</v>
      </c>
      <c r="AJ649"/>
      <c r="AK649"/>
      <c r="AL649"/>
      <c r="AM649"/>
      <c r="AN649"/>
      <c r="AO649" t="s">
        <v>1070</v>
      </c>
      <c r="AP649" t="s">
        <v>1071</v>
      </c>
      <c r="AQ649"/>
      <c r="AR649"/>
      <c r="AS649"/>
      <c r="AT649" t="s">
        <v>4581</v>
      </c>
      <c r="AU649">
        <v>2019</v>
      </c>
      <c r="AV649">
        <v>670</v>
      </c>
      <c r="AW649"/>
      <c r="AX649"/>
      <c r="AY649"/>
      <c r="AZ649"/>
      <c r="BA649"/>
      <c r="BB649">
        <v>369</v>
      </c>
      <c r="BC649">
        <v>378</v>
      </c>
      <c r="BD649"/>
      <c r="BE649" t="s">
        <v>4582</v>
      </c>
      <c r="BF649" t="str">
        <f>HYPERLINK("http://dx.doi.org/10.1016/j.scitotenv.2019.03.132","http://dx.doi.org/10.1016/j.scitotenv.2019.03.132")</f>
        <v>http://dx.doi.org/10.1016/j.scitotenv.2019.03.132</v>
      </c>
      <c r="BG649"/>
      <c r="BH649"/>
      <c r="BI649"/>
      <c r="BJ649" t="s">
        <v>224</v>
      </c>
      <c r="BK649"/>
      <c r="BL649"/>
      <c r="BM649"/>
      <c r="BN649"/>
      <c r="BO649"/>
      <c r="BP649"/>
      <c r="BQ649"/>
      <c r="BR649"/>
      <c r="BS649"/>
      <c r="BT649" t="str">
        <f>HYPERLINK("https%3A%2F%2Fwww.webofscience.com%2Fwos%2Fwoscc%2Ffull-record%2F","View Full Record in Web of Science")</f>
        <v>View Full Record in Web of Science</v>
      </c>
    </row>
    <row r="650" spans="1:72" customHeight="1" ht="12.75">
      <c r="A650" t="s">
        <v>72</v>
      </c>
      <c r="B650" t="s">
        <v>4583</v>
      </c>
      <c r="C650"/>
      <c r="D650"/>
      <c r="E650"/>
      <c r="F650" t="s">
        <v>4584</v>
      </c>
      <c r="G650"/>
      <c r="H650"/>
      <c r="I650" t="s">
        <v>4585</v>
      </c>
      <c r="J650" t="s">
        <v>4586</v>
      </c>
      <c r="K650"/>
      <c r="L650"/>
      <c r="M650"/>
      <c r="N650" t="s">
        <v>112</v>
      </c>
      <c r="O650"/>
      <c r="P650"/>
      <c r="Q650"/>
      <c r="R650"/>
      <c r="S650"/>
      <c r="T650" t="s">
        <v>4587</v>
      </c>
      <c r="U650" t="s">
        <v>4588</v>
      </c>
      <c r="V650"/>
      <c r="W650"/>
      <c r="X650"/>
      <c r="Y650"/>
      <c r="Z650"/>
      <c r="AA650"/>
      <c r="AB650"/>
      <c r="AC650"/>
      <c r="AD650"/>
      <c r="AE650"/>
      <c r="AF650"/>
      <c r="AG650"/>
      <c r="AH650">
        <v>6</v>
      </c>
      <c r="AI650">
        <v>6</v>
      </c>
      <c r="AJ650"/>
      <c r="AK650"/>
      <c r="AL650"/>
      <c r="AM650"/>
      <c r="AN650"/>
      <c r="AO650" t="s">
        <v>4589</v>
      </c>
      <c r="AP650" t="s">
        <v>4590</v>
      </c>
      <c r="AQ650"/>
      <c r="AR650"/>
      <c r="AS650"/>
      <c r="AT650"/>
      <c r="AU650">
        <v>2019</v>
      </c>
      <c r="AV650">
        <v>17</v>
      </c>
      <c r="AW650">
        <v>3</v>
      </c>
      <c r="AX650"/>
      <c r="AY650"/>
      <c r="AZ650"/>
      <c r="BA650"/>
      <c r="BB650">
        <v>6051</v>
      </c>
      <c r="BC650">
        <v>6067</v>
      </c>
      <c r="BD650"/>
      <c r="BE650" t="s">
        <v>4591</v>
      </c>
      <c r="BF650" t="str">
        <f>HYPERLINK("http://dx.doi.org/10.15666/aeer/1703_60516067","http://dx.doi.org/10.15666/aeer/1703_60516067")</f>
        <v>http://dx.doi.org/10.15666/aeer/1703_60516067</v>
      </c>
      <c r="BG650"/>
      <c r="BH650"/>
      <c r="BI650"/>
      <c r="BJ650" t="s">
        <v>3361</v>
      </c>
      <c r="BK650"/>
      <c r="BL650"/>
      <c r="BM650"/>
      <c r="BN650"/>
      <c r="BO650"/>
      <c r="BP650"/>
      <c r="BQ650"/>
      <c r="BR650"/>
      <c r="BS650"/>
      <c r="BT650" t="str">
        <f>HYPERLINK("https%3A%2F%2Fwww.webofscience.com%2Fwos%2Fwoscc%2Ffull-record%2F","View Full Record in Web of Science")</f>
        <v>View Full Record in Web of Science</v>
      </c>
    </row>
    <row r="651" spans="1:72" customHeight="1" ht="12.75">
      <c r="A651" t="s">
        <v>72</v>
      </c>
      <c r="B651" t="s">
        <v>4592</v>
      </c>
      <c r="C651"/>
      <c r="D651"/>
      <c r="E651"/>
      <c r="F651" t="s">
        <v>4593</v>
      </c>
      <c r="G651"/>
      <c r="H651"/>
      <c r="I651" t="s">
        <v>4594</v>
      </c>
      <c r="J651" t="s">
        <v>111</v>
      </c>
      <c r="K651"/>
      <c r="L651"/>
      <c r="M651"/>
      <c r="N651" t="s">
        <v>112</v>
      </c>
      <c r="O651"/>
      <c r="P651"/>
      <c r="Q651"/>
      <c r="R651"/>
      <c r="S651"/>
      <c r="T651" t="s">
        <v>4595</v>
      </c>
      <c r="U651" t="s">
        <v>4596</v>
      </c>
      <c r="V651"/>
      <c r="W651"/>
      <c r="X651"/>
      <c r="Y651"/>
      <c r="Z651"/>
      <c r="AA651"/>
      <c r="AB651"/>
      <c r="AC651"/>
      <c r="AD651"/>
      <c r="AE651"/>
      <c r="AF651"/>
      <c r="AG651"/>
      <c r="AH651">
        <v>16</v>
      </c>
      <c r="AI651">
        <v>17</v>
      </c>
      <c r="AJ651"/>
      <c r="AK651"/>
      <c r="AL651"/>
      <c r="AM651"/>
      <c r="AN651"/>
      <c r="AO651" t="s">
        <v>115</v>
      </c>
      <c r="AP651" t="s">
        <v>116</v>
      </c>
      <c r="AQ651"/>
      <c r="AR651"/>
      <c r="AS651"/>
      <c r="AT651" t="s">
        <v>198</v>
      </c>
      <c r="AU651">
        <v>2018</v>
      </c>
      <c r="AV651">
        <v>137</v>
      </c>
      <c r="AW651"/>
      <c r="AX651"/>
      <c r="AY651"/>
      <c r="AZ651"/>
      <c r="BA651"/>
      <c r="BB651">
        <v>200</v>
      </c>
      <c r="BC651">
        <v>213</v>
      </c>
      <c r="BD651"/>
      <c r="BE651" t="s">
        <v>4597</v>
      </c>
      <c r="BF651" t="str">
        <f>HYPERLINK("http://dx.doi.org/10.1016/j.resconrec.2018.06.007","http://dx.doi.org/10.1016/j.resconrec.2018.06.007")</f>
        <v>http://dx.doi.org/10.1016/j.resconrec.2018.06.007</v>
      </c>
      <c r="BG651"/>
      <c r="BH651"/>
      <c r="BI651"/>
      <c r="BJ651" t="s">
        <v>119</v>
      </c>
      <c r="BK651"/>
      <c r="BL651"/>
      <c r="BM651"/>
      <c r="BN651"/>
      <c r="BO651"/>
      <c r="BP651"/>
      <c r="BQ651"/>
      <c r="BR651"/>
      <c r="BS651"/>
      <c r="BT651" t="str">
        <f>HYPERLINK("https%3A%2F%2Fwww.webofscience.com%2Fwos%2Fwoscc%2Ffull-record%2F","View Full Record in Web of Science")</f>
        <v>View Full Record in Web of Science</v>
      </c>
    </row>
    <row r="652" spans="1:72" customHeight="1" ht="12.75">
      <c r="A652" t="s">
        <v>72</v>
      </c>
      <c r="B652" t="s">
        <v>4598</v>
      </c>
      <c r="C652"/>
      <c r="D652"/>
      <c r="E652"/>
      <c r="F652" t="s">
        <v>4599</v>
      </c>
      <c r="G652"/>
      <c r="H652"/>
      <c r="I652" t="s">
        <v>4600</v>
      </c>
      <c r="J652" t="s">
        <v>133</v>
      </c>
      <c r="K652"/>
      <c r="L652"/>
      <c r="M652"/>
      <c r="N652" t="s">
        <v>325</v>
      </c>
      <c r="O652"/>
      <c r="P652"/>
      <c r="Q652"/>
      <c r="R652"/>
      <c r="S652"/>
      <c r="T652" t="s">
        <v>4601</v>
      </c>
      <c r="U652" t="s">
        <v>4602</v>
      </c>
      <c r="V652"/>
      <c r="W652"/>
      <c r="X652"/>
      <c r="Y652"/>
      <c r="Z652"/>
      <c r="AA652"/>
      <c r="AB652"/>
      <c r="AC652"/>
      <c r="AD652"/>
      <c r="AE652"/>
      <c r="AF652"/>
      <c r="AG652"/>
      <c r="AH652">
        <v>12</v>
      </c>
      <c r="AI652">
        <v>12</v>
      </c>
      <c r="AJ652"/>
      <c r="AK652"/>
      <c r="AL652"/>
      <c r="AM652"/>
      <c r="AN652"/>
      <c r="AO652" t="s">
        <v>136</v>
      </c>
      <c r="AP652" t="s">
        <v>137</v>
      </c>
      <c r="AQ652"/>
      <c r="AR652"/>
      <c r="AS652"/>
      <c r="AT652" t="s">
        <v>4603</v>
      </c>
      <c r="AU652">
        <v>2022</v>
      </c>
      <c r="AV652">
        <v>26</v>
      </c>
      <c r="AW652">
        <v>2</v>
      </c>
      <c r="AX652"/>
      <c r="AY652"/>
      <c r="AZ652"/>
      <c r="BA652"/>
      <c r="BB652">
        <v>577</v>
      </c>
      <c r="BC652">
        <v>591</v>
      </c>
      <c r="BD652"/>
      <c r="BE652" t="s">
        <v>4604</v>
      </c>
      <c r="BF652" t="str">
        <f>HYPERLINK("http://dx.doi.org/10.1111/jiec.13206","http://dx.doi.org/10.1111/jiec.13206")</f>
        <v>http://dx.doi.org/10.1111/jiec.13206</v>
      </c>
      <c r="BG652"/>
      <c r="BH652" t="s">
        <v>1074</v>
      </c>
      <c r="BI652"/>
      <c r="BJ652" t="s">
        <v>139</v>
      </c>
      <c r="BK652"/>
      <c r="BL652"/>
      <c r="BM652"/>
      <c r="BN652"/>
      <c r="BO652"/>
      <c r="BP652"/>
      <c r="BQ652"/>
      <c r="BR652"/>
      <c r="BS652"/>
      <c r="BT652" t="str">
        <f>HYPERLINK("https%3A%2F%2Fwww.webofscience.com%2Fwos%2Fwoscc%2Ffull-record%2F","View Full Record in Web of Science")</f>
        <v>View Full Record in Web of Science</v>
      </c>
    </row>
    <row r="653" spans="1:72" customHeight="1" ht="12.75">
      <c r="A653" t="s">
        <v>72</v>
      </c>
      <c r="B653" t="s">
        <v>4605</v>
      </c>
      <c r="C653"/>
      <c r="D653"/>
      <c r="E653"/>
      <c r="F653" t="s">
        <v>4606</v>
      </c>
      <c r="G653"/>
      <c r="H653"/>
      <c r="I653" t="s">
        <v>4607</v>
      </c>
      <c r="J653" t="s">
        <v>111</v>
      </c>
      <c r="K653"/>
      <c r="L653"/>
      <c r="M653"/>
      <c r="N653" t="s">
        <v>77</v>
      </c>
      <c r="O653"/>
      <c r="P653"/>
      <c r="Q653"/>
      <c r="R653"/>
      <c r="S653"/>
      <c r="T653" t="s">
        <v>4608</v>
      </c>
      <c r="U653" t="s">
        <v>4609</v>
      </c>
      <c r="V653"/>
      <c r="W653"/>
      <c r="X653"/>
      <c r="Y653"/>
      <c r="Z653"/>
      <c r="AA653"/>
      <c r="AB653"/>
      <c r="AC653"/>
      <c r="AD653"/>
      <c r="AE653"/>
      <c r="AF653"/>
      <c r="AG653"/>
      <c r="AH653">
        <v>139</v>
      </c>
      <c r="AI653">
        <v>149</v>
      </c>
      <c r="AJ653"/>
      <c r="AK653"/>
      <c r="AL653"/>
      <c r="AM653"/>
      <c r="AN653"/>
      <c r="AO653" t="s">
        <v>115</v>
      </c>
      <c r="AP653" t="s">
        <v>116</v>
      </c>
      <c r="AQ653"/>
      <c r="AR653"/>
      <c r="AS653"/>
      <c r="AT653" t="s">
        <v>154</v>
      </c>
      <c r="AU653">
        <v>2017</v>
      </c>
      <c r="AV653">
        <v>123</v>
      </c>
      <c r="AW653"/>
      <c r="AX653"/>
      <c r="AY653"/>
      <c r="AZ653"/>
      <c r="BA653"/>
      <c r="BB653">
        <v>153</v>
      </c>
      <c r="BC653">
        <v>164</v>
      </c>
      <c r="BD653"/>
      <c r="BE653" t="s">
        <v>4610</v>
      </c>
      <c r="BF653" t="str">
        <f>HYPERLINK("http://dx.doi.org/10.1016/j.resconrec.2016.09.002","http://dx.doi.org/10.1016/j.resconrec.2016.09.002")</f>
        <v>http://dx.doi.org/10.1016/j.resconrec.2016.09.002</v>
      </c>
      <c r="BG653"/>
      <c r="BH653"/>
      <c r="BI653"/>
      <c r="BJ653" t="s">
        <v>119</v>
      </c>
      <c r="BK653"/>
      <c r="BL653"/>
      <c r="BM653"/>
      <c r="BN653"/>
      <c r="BO653"/>
      <c r="BP653"/>
      <c r="BQ653"/>
      <c r="BR653"/>
      <c r="BS653"/>
      <c r="BT653" t="str">
        <f>HYPERLINK("https%3A%2F%2Fwww.webofscience.com%2Fwos%2Fwoscc%2Ffull-record%2F","View Full Record in Web of Science")</f>
        <v>View Full Record in Web of Science</v>
      </c>
    </row>
    <row r="654" spans="1:72" customHeight="1" ht="12.75">
      <c r="A654" t="s">
        <v>72</v>
      </c>
      <c r="B654" t="s">
        <v>4611</v>
      </c>
      <c r="C654"/>
      <c r="D654"/>
      <c r="E654"/>
      <c r="F654" t="s">
        <v>4612</v>
      </c>
      <c r="G654"/>
      <c r="H654"/>
      <c r="I654" t="s">
        <v>4613</v>
      </c>
      <c r="J654" t="s">
        <v>4614</v>
      </c>
      <c r="K654"/>
      <c r="L654"/>
      <c r="M654"/>
      <c r="N654" t="s">
        <v>112</v>
      </c>
      <c r="O654"/>
      <c r="P654"/>
      <c r="Q654"/>
      <c r="R654"/>
      <c r="S654"/>
      <c r="T654" t="s">
        <v>4615</v>
      </c>
      <c r="U654" t="s">
        <v>4616</v>
      </c>
      <c r="V654"/>
      <c r="W654"/>
      <c r="X654"/>
      <c r="Y654"/>
      <c r="Z654"/>
      <c r="AA654"/>
      <c r="AB654"/>
      <c r="AC654"/>
      <c r="AD654"/>
      <c r="AE654"/>
      <c r="AF654"/>
      <c r="AG654"/>
      <c r="AH654">
        <v>204</v>
      </c>
      <c r="AI654">
        <v>229</v>
      </c>
      <c r="AJ654"/>
      <c r="AK654"/>
      <c r="AL654"/>
      <c r="AM654"/>
      <c r="AN654"/>
      <c r="AO654" t="s">
        <v>4617</v>
      </c>
      <c r="AP654"/>
      <c r="AQ654"/>
      <c r="AR654"/>
      <c r="AS654"/>
      <c r="AT654"/>
      <c r="AU654">
        <v>2009</v>
      </c>
      <c r="AV654">
        <v>37</v>
      </c>
      <c r="AW654" t="s">
        <v>4618</v>
      </c>
      <c r="AX654"/>
      <c r="AY654"/>
      <c r="AZ654"/>
      <c r="BA654"/>
      <c r="BB654">
        <v>483</v>
      </c>
      <c r="BC654">
        <v>502</v>
      </c>
      <c r="BD654" t="s">
        <v>4619</v>
      </c>
      <c r="BE654" t="s">
        <v>4620</v>
      </c>
      <c r="BF654" t="str">
        <f>HYPERLINK("http://dx.doi.org/10.1080/09613210903169394","http://dx.doi.org/10.1080/09613210903169394")</f>
        <v>http://dx.doi.org/10.1080/09613210903169394</v>
      </c>
      <c r="BG654"/>
      <c r="BH654"/>
      <c r="BI654"/>
      <c r="BJ654" t="s">
        <v>4621</v>
      </c>
      <c r="BK654"/>
      <c r="BL654"/>
      <c r="BM654"/>
      <c r="BN654"/>
      <c r="BO654"/>
      <c r="BP654"/>
      <c r="BQ654"/>
      <c r="BR654"/>
      <c r="BS654"/>
      <c r="BT654" t="str">
        <f>HYPERLINK("https%3A%2F%2Fwww.webofscience.com%2Fwos%2Fwoscc%2Ffull-record%2F","View Full Record in Web of Science")</f>
        <v>View Full Record in Web of Science</v>
      </c>
    </row>
    <row r="655" spans="1:72" customHeight="1" ht="12.75">
      <c r="A655" t="s">
        <v>72</v>
      </c>
      <c r="B655" t="s">
        <v>4622</v>
      </c>
      <c r="C655"/>
      <c r="D655"/>
      <c r="E655"/>
      <c r="F655" t="s">
        <v>4623</v>
      </c>
      <c r="G655"/>
      <c r="H655"/>
      <c r="I655" t="s">
        <v>4624</v>
      </c>
      <c r="J655" t="s">
        <v>111</v>
      </c>
      <c r="K655"/>
      <c r="L655"/>
      <c r="M655"/>
      <c r="N655" t="s">
        <v>112</v>
      </c>
      <c r="O655"/>
      <c r="P655"/>
      <c r="Q655"/>
      <c r="R655"/>
      <c r="S655"/>
      <c r="T655" t="s">
        <v>4625</v>
      </c>
      <c r="U655" t="s">
        <v>4626</v>
      </c>
      <c r="V655"/>
      <c r="W655"/>
      <c r="X655"/>
      <c r="Y655"/>
      <c r="Z655"/>
      <c r="AA655"/>
      <c r="AB655"/>
      <c r="AC655"/>
      <c r="AD655"/>
      <c r="AE655"/>
      <c r="AF655"/>
      <c r="AG655"/>
      <c r="AH655">
        <v>73</v>
      </c>
      <c r="AI655">
        <v>80</v>
      </c>
      <c r="AJ655"/>
      <c r="AK655"/>
      <c r="AL655"/>
      <c r="AM655"/>
      <c r="AN655"/>
      <c r="AO655" t="s">
        <v>115</v>
      </c>
      <c r="AP655" t="s">
        <v>116</v>
      </c>
      <c r="AQ655"/>
      <c r="AR655"/>
      <c r="AS655"/>
      <c r="AT655" t="s">
        <v>190</v>
      </c>
      <c r="AU655">
        <v>2019</v>
      </c>
      <c r="AV655">
        <v>142</v>
      </c>
      <c r="AW655"/>
      <c r="AX655"/>
      <c r="AY655"/>
      <c r="AZ655"/>
      <c r="BA655"/>
      <c r="BB655">
        <v>245</v>
      </c>
      <c r="BC655">
        <v>256</v>
      </c>
      <c r="BD655"/>
      <c r="BE655" t="s">
        <v>4627</v>
      </c>
      <c r="BF655" t="str">
        <f>HYPERLINK("http://dx.doi.org/10.1016/j.resconrec.2018.12.011","http://dx.doi.org/10.1016/j.resconrec.2018.12.011")</f>
        <v>http://dx.doi.org/10.1016/j.resconrec.2018.12.011</v>
      </c>
      <c r="BG655"/>
      <c r="BH655"/>
      <c r="BI655"/>
      <c r="BJ655" t="s">
        <v>119</v>
      </c>
      <c r="BK655"/>
      <c r="BL655"/>
      <c r="BM655"/>
      <c r="BN655"/>
      <c r="BO655"/>
      <c r="BP655"/>
      <c r="BQ655"/>
      <c r="BR655"/>
      <c r="BS655"/>
      <c r="BT655" t="str">
        <f>HYPERLINK("https%3A%2F%2Fwww.webofscience.com%2Fwos%2Fwoscc%2Ffull-record%2F","View Full Record in Web of Science")</f>
        <v>View Full Record in Web of Science</v>
      </c>
    </row>
    <row r="656" spans="1:72" customHeight="1" ht="12.75">
      <c r="A656" t="s">
        <v>72</v>
      </c>
      <c r="B656" t="s">
        <v>4628</v>
      </c>
      <c r="C656"/>
      <c r="D656"/>
      <c r="E656"/>
      <c r="F656" t="s">
        <v>4629</v>
      </c>
      <c r="G656"/>
      <c r="H656"/>
      <c r="I656" t="s">
        <v>4630</v>
      </c>
      <c r="J656" t="s">
        <v>254</v>
      </c>
      <c r="K656"/>
      <c r="L656"/>
      <c r="M656"/>
      <c r="N656" t="s">
        <v>167</v>
      </c>
      <c r="O656"/>
      <c r="P656"/>
      <c r="Q656"/>
      <c r="R656"/>
      <c r="S656"/>
      <c r="T656" t="s">
        <v>4631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>
        <v>28</v>
      </c>
      <c r="AI656">
        <v>28</v>
      </c>
      <c r="AJ656"/>
      <c r="AK656"/>
      <c r="AL656"/>
      <c r="AM656"/>
      <c r="AN656"/>
      <c r="AO656" t="s">
        <v>257</v>
      </c>
      <c r="AP656"/>
      <c r="AQ656"/>
      <c r="AR656"/>
      <c r="AS656"/>
      <c r="AT656"/>
      <c r="AU656">
        <v>2019</v>
      </c>
      <c r="AV656">
        <v>4</v>
      </c>
      <c r="AW656">
        <v>3</v>
      </c>
      <c r="AX656"/>
      <c r="AY656"/>
      <c r="AZ656"/>
      <c r="BA656"/>
      <c r="BB656">
        <v>1</v>
      </c>
      <c r="BC656">
        <v>4</v>
      </c>
      <c r="BD656"/>
      <c r="BE656" t="s">
        <v>4632</v>
      </c>
      <c r="BF656" t="str">
        <f>HYPERLINK("http://dx.doi.org/10.17645/up.v4i3.2484","http://dx.doi.org/10.17645/up.v4i3.2484")</f>
        <v>http://dx.doi.org/10.17645/up.v4i3.2484</v>
      </c>
      <c r="BG656"/>
      <c r="BH656"/>
      <c r="BI656"/>
      <c r="BJ656" t="s">
        <v>243</v>
      </c>
      <c r="BK656"/>
      <c r="BL656"/>
      <c r="BM656"/>
      <c r="BN656"/>
      <c r="BO656"/>
      <c r="BP656"/>
      <c r="BQ656"/>
      <c r="BR656"/>
      <c r="BS656"/>
      <c r="BT656" t="str">
        <f>HYPERLINK("https%3A%2F%2Fwww.webofscience.com%2Fwos%2Fwoscc%2Ffull-record%2F","View Full Record in Web of Science")</f>
        <v>View Full Record in Web of Science</v>
      </c>
    </row>
    <row r="657" spans="1:72" customHeight="1" ht="12.75">
      <c r="A657" t="s">
        <v>72</v>
      </c>
      <c r="B657" t="s">
        <v>4633</v>
      </c>
      <c r="C657"/>
      <c r="D657"/>
      <c r="E657"/>
      <c r="F657" t="s">
        <v>4634</v>
      </c>
      <c r="G657"/>
      <c r="H657"/>
      <c r="I657" t="s">
        <v>4635</v>
      </c>
      <c r="J657" t="s">
        <v>457</v>
      </c>
      <c r="K657"/>
      <c r="L657"/>
      <c r="M657"/>
      <c r="N657" t="s">
        <v>112</v>
      </c>
      <c r="O657"/>
      <c r="P657"/>
      <c r="Q657"/>
      <c r="R657"/>
      <c r="S657"/>
      <c r="T657" t="s">
        <v>4636</v>
      </c>
      <c r="U657" t="s">
        <v>4637</v>
      </c>
      <c r="V657"/>
      <c r="W657"/>
      <c r="X657"/>
      <c r="Y657"/>
      <c r="Z657"/>
      <c r="AA657"/>
      <c r="AB657"/>
      <c r="AC657"/>
      <c r="AD657"/>
      <c r="AE657"/>
      <c r="AF657"/>
      <c r="AG657"/>
      <c r="AH657">
        <v>33</v>
      </c>
      <c r="AI657">
        <v>33</v>
      </c>
      <c r="AJ657"/>
      <c r="AK657"/>
      <c r="AL657"/>
      <c r="AM657"/>
      <c r="AN657"/>
      <c r="AO657"/>
      <c r="AP657" t="s">
        <v>458</v>
      </c>
      <c r="AQ657"/>
      <c r="AR657"/>
      <c r="AS657"/>
      <c r="AT657" t="s">
        <v>128</v>
      </c>
      <c r="AU657">
        <v>2018</v>
      </c>
      <c r="AV657">
        <v>10</v>
      </c>
      <c r="AW657">
        <v>12</v>
      </c>
      <c r="AX657"/>
      <c r="AY657"/>
      <c r="AZ657"/>
      <c r="BA657"/>
      <c r="BB657"/>
      <c r="BC657"/>
      <c r="BD657">
        <v>4740</v>
      </c>
      <c r="BE657" t="s">
        <v>4638</v>
      </c>
      <c r="BF657" t="str">
        <f>HYPERLINK("http://dx.doi.org/10.3390/su10124740","http://dx.doi.org/10.3390/su10124740")</f>
        <v>http://dx.doi.org/10.3390/su10124740</v>
      </c>
      <c r="BG657"/>
      <c r="BH657"/>
      <c r="BI657"/>
      <c r="BJ657" t="s">
        <v>460</v>
      </c>
      <c r="BK657"/>
      <c r="BL657"/>
      <c r="BM657"/>
      <c r="BN657"/>
      <c r="BO657"/>
      <c r="BP657"/>
      <c r="BQ657"/>
      <c r="BR657"/>
      <c r="BS657"/>
      <c r="BT657" t="str">
        <f>HYPERLINK("https%3A%2F%2Fwww.webofscience.com%2Fwos%2Fwoscc%2Ffull-record%2F","View Full Record in Web of Science")</f>
        <v>View Full Record in Web of Science</v>
      </c>
    </row>
    <row r="658" spans="1:72" customHeight="1" ht="12.75">
      <c r="A658" t="s">
        <v>72</v>
      </c>
      <c r="B658" t="s">
        <v>4639</v>
      </c>
      <c r="C658"/>
      <c r="D658"/>
      <c r="E658"/>
      <c r="F658" t="s">
        <v>4640</v>
      </c>
      <c r="G658"/>
      <c r="H658"/>
      <c r="I658" t="s">
        <v>4641</v>
      </c>
      <c r="J658" t="s">
        <v>1067</v>
      </c>
      <c r="K658"/>
      <c r="L658"/>
      <c r="M658"/>
      <c r="N658" t="s">
        <v>325</v>
      </c>
      <c r="O658"/>
      <c r="P658"/>
      <c r="Q658"/>
      <c r="R658"/>
      <c r="S658"/>
      <c r="T658" t="s">
        <v>4642</v>
      </c>
      <c r="U658" t="s">
        <v>4643</v>
      </c>
      <c r="V658"/>
      <c r="W658"/>
      <c r="X658"/>
      <c r="Y658"/>
      <c r="Z658"/>
      <c r="AA658"/>
      <c r="AB658"/>
      <c r="AC658"/>
      <c r="AD658"/>
      <c r="AE658"/>
      <c r="AF658"/>
      <c r="AG658"/>
      <c r="AH658">
        <v>8</v>
      </c>
      <c r="AI658">
        <v>8</v>
      </c>
      <c r="AJ658"/>
      <c r="AK658"/>
      <c r="AL658"/>
      <c r="AM658"/>
      <c r="AN658"/>
      <c r="AO658" t="s">
        <v>1070</v>
      </c>
      <c r="AP658" t="s">
        <v>1071</v>
      </c>
      <c r="AQ658"/>
      <c r="AR658"/>
      <c r="AS658"/>
      <c r="AT658" t="s">
        <v>4644</v>
      </c>
      <c r="AU658">
        <v>2023</v>
      </c>
      <c r="AV658">
        <v>857</v>
      </c>
      <c r="AW658"/>
      <c r="AX658">
        <v>2</v>
      </c>
      <c r="AY658"/>
      <c r="AZ658"/>
      <c r="BA658"/>
      <c r="BB658"/>
      <c r="BC658"/>
      <c r="BD658">
        <v>159502</v>
      </c>
      <c r="BE658" t="s">
        <v>4645</v>
      </c>
      <c r="BF658" t="str">
        <f>HYPERLINK("http://dx.doi.org/10.1016/j.scitotenv.2022.159502","http://dx.doi.org/10.1016/j.scitotenv.2022.159502")</f>
        <v>http://dx.doi.org/10.1016/j.scitotenv.2022.159502</v>
      </c>
      <c r="BG658"/>
      <c r="BH658" t="s">
        <v>2195</v>
      </c>
      <c r="BI658"/>
      <c r="BJ658" t="s">
        <v>224</v>
      </c>
      <c r="BK658"/>
      <c r="BL658"/>
      <c r="BM658"/>
      <c r="BN658"/>
      <c r="BO658"/>
      <c r="BP658"/>
      <c r="BQ658"/>
      <c r="BR658"/>
      <c r="BS658"/>
      <c r="BT658" t="str">
        <f>HYPERLINK("https%3A%2F%2Fwww.webofscience.com%2Fwos%2Fwoscc%2Ffull-record%2F","View Full Record in Web of Science")</f>
        <v>View Full Record in Web of Science</v>
      </c>
    </row>
    <row r="659" spans="1:72" customHeight="1" ht="12.75">
      <c r="A659" t="s">
        <v>72</v>
      </c>
      <c r="B659" t="s">
        <v>4646</v>
      </c>
      <c r="C659"/>
      <c r="D659"/>
      <c r="E659"/>
      <c r="F659" t="s">
        <v>4647</v>
      </c>
      <c r="G659"/>
      <c r="H659"/>
      <c r="I659" t="s">
        <v>4648</v>
      </c>
      <c r="J659" t="s">
        <v>111</v>
      </c>
      <c r="K659"/>
      <c r="L659"/>
      <c r="M659"/>
      <c r="N659" t="s">
        <v>112</v>
      </c>
      <c r="O659"/>
      <c r="P659"/>
      <c r="Q659"/>
      <c r="R659"/>
      <c r="S659"/>
      <c r="T659" t="s">
        <v>4649</v>
      </c>
      <c r="U659" t="s">
        <v>4650</v>
      </c>
      <c r="V659"/>
      <c r="W659"/>
      <c r="X659"/>
      <c r="Y659"/>
      <c r="Z659"/>
      <c r="AA659"/>
      <c r="AB659"/>
      <c r="AC659"/>
      <c r="AD659"/>
      <c r="AE659"/>
      <c r="AF659"/>
      <c r="AG659"/>
      <c r="AH659">
        <v>47</v>
      </c>
      <c r="AI659">
        <v>50</v>
      </c>
      <c r="AJ659"/>
      <c r="AK659"/>
      <c r="AL659"/>
      <c r="AM659"/>
      <c r="AN659"/>
      <c r="AO659" t="s">
        <v>115</v>
      </c>
      <c r="AP659" t="s">
        <v>116</v>
      </c>
      <c r="AQ659"/>
      <c r="AR659"/>
      <c r="AS659"/>
      <c r="AT659" t="s">
        <v>190</v>
      </c>
      <c r="AU659">
        <v>2020</v>
      </c>
      <c r="AV659">
        <v>154</v>
      </c>
      <c r="AW659"/>
      <c r="AX659"/>
      <c r="AY659"/>
      <c r="AZ659"/>
      <c r="BA659"/>
      <c r="BB659"/>
      <c r="BC659"/>
      <c r="BD659">
        <v>104581</v>
      </c>
      <c r="BE659" t="s">
        <v>4651</v>
      </c>
      <c r="BF659" t="str">
        <f>HYPERLINK("http://dx.doi.org/10.1016/j.resconrec.2019.104581","http://dx.doi.org/10.1016/j.resconrec.2019.104581")</f>
        <v>http://dx.doi.org/10.1016/j.resconrec.2019.104581</v>
      </c>
      <c r="BG659"/>
      <c r="BH659"/>
      <c r="BI659"/>
      <c r="BJ659" t="s">
        <v>119</v>
      </c>
      <c r="BK659"/>
      <c r="BL659"/>
      <c r="BM659"/>
      <c r="BN659"/>
      <c r="BO659"/>
      <c r="BP659"/>
      <c r="BQ659"/>
      <c r="BR659"/>
      <c r="BS659"/>
      <c r="BT659" t="str">
        <f>HYPERLINK("https%3A%2F%2Fwww.webofscience.com%2Fwos%2Fwoscc%2Ffull-record%2F","View Full Record in Web of Science")</f>
        <v>View Full Record in Web of Science</v>
      </c>
    </row>
    <row r="660" spans="1:72" customHeight="1" ht="12.75">
      <c r="A660" t="s">
        <v>72</v>
      </c>
      <c r="B660" t="s">
        <v>4652</v>
      </c>
      <c r="C660"/>
      <c r="D660"/>
      <c r="E660"/>
      <c r="F660" t="s">
        <v>4653</v>
      </c>
      <c r="G660"/>
      <c r="H660"/>
      <c r="I660" t="s">
        <v>4654</v>
      </c>
      <c r="J660" t="s">
        <v>1067</v>
      </c>
      <c r="K660"/>
      <c r="L660"/>
      <c r="M660"/>
      <c r="N660" t="s">
        <v>325</v>
      </c>
      <c r="O660"/>
      <c r="P660"/>
      <c r="Q660"/>
      <c r="R660"/>
      <c r="S660"/>
      <c r="T660" t="s">
        <v>4655</v>
      </c>
      <c r="U660" t="s">
        <v>4656</v>
      </c>
      <c r="V660"/>
      <c r="W660"/>
      <c r="X660"/>
      <c r="Y660"/>
      <c r="Z660"/>
      <c r="AA660"/>
      <c r="AB660"/>
      <c r="AC660"/>
      <c r="AD660"/>
      <c r="AE660"/>
      <c r="AF660"/>
      <c r="AG660"/>
      <c r="AH660">
        <v>5</v>
      </c>
      <c r="AI660">
        <v>5</v>
      </c>
      <c r="AJ660"/>
      <c r="AK660"/>
      <c r="AL660"/>
      <c r="AM660"/>
      <c r="AN660"/>
      <c r="AO660" t="s">
        <v>1070</v>
      </c>
      <c r="AP660" t="s">
        <v>1071</v>
      </c>
      <c r="AQ660"/>
      <c r="AR660"/>
      <c r="AS660"/>
      <c r="AT660" t="s">
        <v>4657</v>
      </c>
      <c r="AU660">
        <v>2023</v>
      </c>
      <c r="AV660">
        <v>858</v>
      </c>
      <c r="AW660"/>
      <c r="AX660">
        <v>1</v>
      </c>
      <c r="AY660"/>
      <c r="AZ660"/>
      <c r="BA660"/>
      <c r="BB660"/>
      <c r="BC660"/>
      <c r="BD660">
        <v>159514</v>
      </c>
      <c r="BE660" t="s">
        <v>4658</v>
      </c>
      <c r="BF660" t="str">
        <f>HYPERLINK("http://dx.doi.org/10.1016/j.scitotenv.2022.159514","http://dx.doi.org/10.1016/j.scitotenv.2022.159514")</f>
        <v>http://dx.doi.org/10.1016/j.scitotenv.2022.159514</v>
      </c>
      <c r="BG660"/>
      <c r="BH660" t="s">
        <v>2195</v>
      </c>
      <c r="BI660"/>
      <c r="BJ660" t="s">
        <v>224</v>
      </c>
      <c r="BK660"/>
      <c r="BL660"/>
      <c r="BM660"/>
      <c r="BN660"/>
      <c r="BO660"/>
      <c r="BP660"/>
      <c r="BQ660"/>
      <c r="BR660"/>
      <c r="BS660"/>
      <c r="BT660" t="str">
        <f>HYPERLINK("https%3A%2F%2Fwww.webofscience.com%2Fwos%2Fwoscc%2Ffull-record%2F","View Full Record in Web of Science")</f>
        <v>View Full Record in Web of Science</v>
      </c>
    </row>
    <row r="661" spans="1:72" customHeight="1" ht="12.75">
      <c r="A661" t="s">
        <v>72</v>
      </c>
      <c r="B661" t="s">
        <v>4659</v>
      </c>
      <c r="C661"/>
      <c r="D661"/>
      <c r="E661"/>
      <c r="F661" t="s">
        <v>4660</v>
      </c>
      <c r="G661"/>
      <c r="H661"/>
      <c r="I661" t="s">
        <v>4661</v>
      </c>
      <c r="J661" t="s">
        <v>409</v>
      </c>
      <c r="K661"/>
      <c r="L661"/>
      <c r="M661"/>
      <c r="N661" t="s">
        <v>112</v>
      </c>
      <c r="O661"/>
      <c r="P661"/>
      <c r="Q661"/>
      <c r="R661"/>
      <c r="S661"/>
      <c r="T661" t="s">
        <v>4662</v>
      </c>
      <c r="U661" t="s">
        <v>4663</v>
      </c>
      <c r="V661"/>
      <c r="W661"/>
      <c r="X661"/>
      <c r="Y661"/>
      <c r="Z661"/>
      <c r="AA661"/>
      <c r="AB661"/>
      <c r="AC661"/>
      <c r="AD661"/>
      <c r="AE661"/>
      <c r="AF661"/>
      <c r="AG661"/>
      <c r="AH661">
        <v>24</v>
      </c>
      <c r="AI661">
        <v>27</v>
      </c>
      <c r="AJ661"/>
      <c r="AK661"/>
      <c r="AL661"/>
      <c r="AM661"/>
      <c r="AN661"/>
      <c r="AO661" t="s">
        <v>1080</v>
      </c>
      <c r="AP661" t="s">
        <v>1081</v>
      </c>
      <c r="AQ661"/>
      <c r="AR661"/>
      <c r="AS661"/>
      <c r="AT661" t="s">
        <v>145</v>
      </c>
      <c r="AU661">
        <v>2018</v>
      </c>
      <c r="AV661">
        <v>74</v>
      </c>
      <c r="AW661"/>
      <c r="AX661"/>
      <c r="AY661"/>
      <c r="AZ661"/>
      <c r="BA661"/>
      <c r="BB661">
        <v>109</v>
      </c>
      <c r="BC661">
        <v>118</v>
      </c>
      <c r="BD661"/>
      <c r="BE661" t="s">
        <v>4664</v>
      </c>
      <c r="BF661" t="str">
        <f>HYPERLINK("http://dx.doi.org/10.1016/j.cities.2017.11.0o9","http://dx.doi.org/10.1016/j.cities.2017.11.0o9")</f>
        <v>http://dx.doi.org/10.1016/j.cities.2017.11.0o9</v>
      </c>
      <c r="BG661"/>
      <c r="BH661"/>
      <c r="BI661"/>
      <c r="BJ661" t="s">
        <v>243</v>
      </c>
      <c r="BK661"/>
      <c r="BL661"/>
      <c r="BM661"/>
      <c r="BN661"/>
      <c r="BO661"/>
      <c r="BP661"/>
      <c r="BQ661"/>
      <c r="BR661"/>
      <c r="BS661"/>
      <c r="BT661" t="str">
        <f>HYPERLINK("https%3A%2F%2Fwww.webofscience.com%2Fwos%2Fwoscc%2Ffull-record%2F","View Full Record in Web of Science")</f>
        <v>View Full Record in Web of Science</v>
      </c>
    </row>
    <row r="662" spans="1:72" customHeight="1" ht="12.75">
      <c r="A662" t="s">
        <v>72</v>
      </c>
      <c r="B662" t="s">
        <v>4665</v>
      </c>
      <c r="C662"/>
      <c r="D662"/>
      <c r="E662"/>
      <c r="F662" t="s">
        <v>4666</v>
      </c>
      <c r="G662"/>
      <c r="H662"/>
      <c r="I662" t="s">
        <v>4667</v>
      </c>
      <c r="J662" t="s">
        <v>111</v>
      </c>
      <c r="K662"/>
      <c r="L662"/>
      <c r="M662"/>
      <c r="N662" t="s">
        <v>112</v>
      </c>
      <c r="O662"/>
      <c r="P662"/>
      <c r="Q662"/>
      <c r="R662"/>
      <c r="S662"/>
      <c r="T662" t="s">
        <v>4668</v>
      </c>
      <c r="U662" t="s">
        <v>4669</v>
      </c>
      <c r="V662"/>
      <c r="W662"/>
      <c r="X662"/>
      <c r="Y662"/>
      <c r="Z662"/>
      <c r="AA662"/>
      <c r="AB662"/>
      <c r="AC662"/>
      <c r="AD662"/>
      <c r="AE662"/>
      <c r="AF662"/>
      <c r="AG662"/>
      <c r="AH662">
        <v>76</v>
      </c>
      <c r="AI662">
        <v>83</v>
      </c>
      <c r="AJ662"/>
      <c r="AK662"/>
      <c r="AL662"/>
      <c r="AM662"/>
      <c r="AN662"/>
      <c r="AO662" t="s">
        <v>115</v>
      </c>
      <c r="AP662" t="s">
        <v>116</v>
      </c>
      <c r="AQ662"/>
      <c r="AR662"/>
      <c r="AS662"/>
      <c r="AT662" t="s">
        <v>404</v>
      </c>
      <c r="AU662">
        <v>2018</v>
      </c>
      <c r="AV662">
        <v>128</v>
      </c>
      <c r="AW662"/>
      <c r="AX662"/>
      <c r="AY662"/>
      <c r="AZ662"/>
      <c r="BA662"/>
      <c r="BB662">
        <v>426</v>
      </c>
      <c r="BC662">
        <v>437</v>
      </c>
      <c r="BD662"/>
      <c r="BE662" t="s">
        <v>4670</v>
      </c>
      <c r="BF662" t="str">
        <f>HYPERLINK("http://dx.doi.org/10.1016/j.resconrec.2016.09.015","http://dx.doi.org/10.1016/j.resconrec.2016.09.015")</f>
        <v>http://dx.doi.org/10.1016/j.resconrec.2016.09.015</v>
      </c>
      <c r="BG662"/>
      <c r="BH662"/>
      <c r="BI662"/>
      <c r="BJ662" t="s">
        <v>119</v>
      </c>
      <c r="BK662"/>
      <c r="BL662"/>
      <c r="BM662"/>
      <c r="BN662"/>
      <c r="BO662"/>
      <c r="BP662"/>
      <c r="BQ662"/>
      <c r="BR662"/>
      <c r="BS662"/>
      <c r="BT662" t="str">
        <f>HYPERLINK("https%3A%2F%2Fwww.webofscience.com%2Fwos%2Fwoscc%2Ffull-record%2F","View Full Record in Web of Science")</f>
        <v>View Full Record in Web of Science</v>
      </c>
    </row>
    <row r="663" spans="1:72" customHeight="1" ht="12.75">
      <c r="A663" t="s">
        <v>72</v>
      </c>
      <c r="B663" t="s">
        <v>2310</v>
      </c>
      <c r="C663"/>
      <c r="D663"/>
      <c r="E663"/>
      <c r="F663" t="s">
        <v>2311</v>
      </c>
      <c r="G663"/>
      <c r="H663"/>
      <c r="I663" t="s">
        <v>4671</v>
      </c>
      <c r="J663" t="s">
        <v>1680</v>
      </c>
      <c r="K663"/>
      <c r="L663"/>
      <c r="M663"/>
      <c r="N663" t="s">
        <v>112</v>
      </c>
      <c r="O663"/>
      <c r="P663"/>
      <c r="Q663"/>
      <c r="R663"/>
      <c r="S663"/>
      <c r="T663" t="s">
        <v>4672</v>
      </c>
      <c r="U663" t="s">
        <v>4673</v>
      </c>
      <c r="V663"/>
      <c r="W663"/>
      <c r="X663"/>
      <c r="Y663"/>
      <c r="Z663"/>
      <c r="AA663"/>
      <c r="AB663"/>
      <c r="AC663"/>
      <c r="AD663"/>
      <c r="AE663"/>
      <c r="AF663"/>
      <c r="AG663"/>
      <c r="AH663">
        <v>166</v>
      </c>
      <c r="AI663">
        <v>193</v>
      </c>
      <c r="AJ663"/>
      <c r="AK663"/>
      <c r="AL663"/>
      <c r="AM663"/>
      <c r="AN663"/>
      <c r="AO663" t="s">
        <v>1683</v>
      </c>
      <c r="AP663" t="s">
        <v>1684</v>
      </c>
      <c r="AQ663"/>
      <c r="AR663"/>
      <c r="AS663"/>
      <c r="AT663" t="s">
        <v>1534</v>
      </c>
      <c r="AU663">
        <v>2014</v>
      </c>
      <c r="AV663">
        <v>141</v>
      </c>
      <c r="AW663"/>
      <c r="AX663"/>
      <c r="AY663"/>
      <c r="AZ663"/>
      <c r="BA663"/>
      <c r="BB663">
        <v>104</v>
      </c>
      <c r="BC663">
        <v>115</v>
      </c>
      <c r="BD663"/>
      <c r="BE663" t="s">
        <v>4674</v>
      </c>
      <c r="BF663" t="str">
        <f>HYPERLINK("http://dx.doi.org/10.1016/j.jenvman.2014.01.054","http://dx.doi.org/10.1016/j.jenvman.2014.01.054")</f>
        <v>http://dx.doi.org/10.1016/j.jenvman.2014.01.054</v>
      </c>
      <c r="BG663"/>
      <c r="BH663"/>
      <c r="BI663"/>
      <c r="BJ663" t="s">
        <v>224</v>
      </c>
      <c r="BK663"/>
      <c r="BL663"/>
      <c r="BM663"/>
      <c r="BN663"/>
      <c r="BO663"/>
      <c r="BP663"/>
      <c r="BQ663"/>
      <c r="BR663"/>
      <c r="BS663"/>
      <c r="BT663" t="str">
        <f>HYPERLINK("https%3A%2F%2Fwww.webofscience.com%2Fwos%2Fwoscc%2Ffull-record%2F","View Full Record in Web of Science")</f>
        <v>View Full Record in Web of Science</v>
      </c>
    </row>
    <row r="664" spans="1:72" customHeight="1" ht="12.75">
      <c r="A664" t="s">
        <v>72</v>
      </c>
      <c r="B664" t="s">
        <v>4675</v>
      </c>
      <c r="C664"/>
      <c r="D664"/>
      <c r="E664"/>
      <c r="F664" t="s">
        <v>4676</v>
      </c>
      <c r="G664"/>
      <c r="H664"/>
      <c r="I664" t="s">
        <v>4677</v>
      </c>
      <c r="J664" t="s">
        <v>133</v>
      </c>
      <c r="K664"/>
      <c r="L664"/>
      <c r="M664"/>
      <c r="N664" t="s">
        <v>325</v>
      </c>
      <c r="O664"/>
      <c r="P664"/>
      <c r="Q664"/>
      <c r="R664"/>
      <c r="S664"/>
      <c r="T664" t="s">
        <v>4678</v>
      </c>
      <c r="U664" t="s">
        <v>4679</v>
      </c>
      <c r="V664"/>
      <c r="W664"/>
      <c r="X664"/>
      <c r="Y664"/>
      <c r="Z664"/>
      <c r="AA664"/>
      <c r="AB664"/>
      <c r="AC664"/>
      <c r="AD664"/>
      <c r="AE664"/>
      <c r="AF664"/>
      <c r="AG664"/>
      <c r="AH664">
        <v>23</v>
      </c>
      <c r="AI664">
        <v>25</v>
      </c>
      <c r="AJ664"/>
      <c r="AK664"/>
      <c r="AL664"/>
      <c r="AM664"/>
      <c r="AN664"/>
      <c r="AO664" t="s">
        <v>136</v>
      </c>
      <c r="AP664" t="s">
        <v>137</v>
      </c>
      <c r="AQ664"/>
      <c r="AR664"/>
      <c r="AS664"/>
      <c r="AT664" t="s">
        <v>4680</v>
      </c>
      <c r="AU664">
        <v>2020</v>
      </c>
      <c r="AV664">
        <v>24</v>
      </c>
      <c r="AW664">
        <v>6</v>
      </c>
      <c r="AX664"/>
      <c r="AY664"/>
      <c r="AZ664"/>
      <c r="BA664"/>
      <c r="BB664">
        <v>1364</v>
      </c>
      <c r="BC664">
        <v>1378</v>
      </c>
      <c r="BD664"/>
      <c r="BE664" t="s">
        <v>4681</v>
      </c>
      <c r="BF664" t="str">
        <f>HYPERLINK("http://dx.doi.org/10.1111/jiec.13024","http://dx.doi.org/10.1111/jiec.13024")</f>
        <v>http://dx.doi.org/10.1111/jiec.13024</v>
      </c>
      <c r="BG664"/>
      <c r="BH664" t="s">
        <v>2914</v>
      </c>
      <c r="BI664"/>
      <c r="BJ664" t="s">
        <v>139</v>
      </c>
      <c r="BK664"/>
      <c r="BL664"/>
      <c r="BM664"/>
      <c r="BN664"/>
      <c r="BO664"/>
      <c r="BP664"/>
      <c r="BQ664"/>
      <c r="BR664"/>
      <c r="BS664"/>
      <c r="BT664" t="str">
        <f>HYPERLINK("https%3A%2F%2Fwww.webofscience.com%2Fwos%2Fwoscc%2Ffull-record%2F","View Full Record in Web of Science")</f>
        <v>View Full Record in Web of Science</v>
      </c>
    </row>
    <row r="665" spans="1:72" customHeight="1" ht="12.75">
      <c r="A665" t="s">
        <v>72</v>
      </c>
      <c r="B665" t="s">
        <v>4682</v>
      </c>
      <c r="C665"/>
      <c r="D665"/>
      <c r="E665"/>
      <c r="F665" t="s">
        <v>4683</v>
      </c>
      <c r="G665"/>
      <c r="H665"/>
      <c r="I665" t="s">
        <v>4684</v>
      </c>
      <c r="J665" t="s">
        <v>457</v>
      </c>
      <c r="K665"/>
      <c r="L665"/>
      <c r="M665"/>
      <c r="N665" t="s">
        <v>112</v>
      </c>
      <c r="O665"/>
      <c r="P665"/>
      <c r="Q665"/>
      <c r="R665"/>
      <c r="S665"/>
      <c r="T665" t="s">
        <v>4685</v>
      </c>
      <c r="U665" t="s">
        <v>4686</v>
      </c>
      <c r="V665"/>
      <c r="W665"/>
      <c r="X665"/>
      <c r="Y665"/>
      <c r="Z665"/>
      <c r="AA665"/>
      <c r="AB665"/>
      <c r="AC665"/>
      <c r="AD665"/>
      <c r="AE665"/>
      <c r="AF665"/>
      <c r="AG665"/>
      <c r="AH665">
        <v>68</v>
      </c>
      <c r="AI665">
        <v>70</v>
      </c>
      <c r="AJ665"/>
      <c r="AK665"/>
      <c r="AL665"/>
      <c r="AM665"/>
      <c r="AN665"/>
      <c r="AO665"/>
      <c r="AP665" t="s">
        <v>458</v>
      </c>
      <c r="AQ665"/>
      <c r="AR665"/>
      <c r="AS665"/>
      <c r="AT665" t="s">
        <v>208</v>
      </c>
      <c r="AU665">
        <v>2019</v>
      </c>
      <c r="AV665">
        <v>11</v>
      </c>
      <c r="AW665">
        <v>2</v>
      </c>
      <c r="AX665"/>
      <c r="AY665"/>
      <c r="AZ665"/>
      <c r="BA665"/>
      <c r="BB665"/>
      <c r="BC665"/>
      <c r="BD665">
        <v>423</v>
      </c>
      <c r="BE665" t="s">
        <v>4687</v>
      </c>
      <c r="BF665" t="str">
        <f>HYPERLINK("http://dx.doi.org/10.3390/su11020423","http://dx.doi.org/10.3390/su11020423")</f>
        <v>http://dx.doi.org/10.3390/su11020423</v>
      </c>
      <c r="BG665"/>
      <c r="BH665"/>
      <c r="BI665"/>
      <c r="BJ665" t="s">
        <v>460</v>
      </c>
      <c r="BK665"/>
      <c r="BL665"/>
      <c r="BM665"/>
      <c r="BN665"/>
      <c r="BO665"/>
      <c r="BP665"/>
      <c r="BQ665"/>
      <c r="BR665"/>
      <c r="BS665"/>
      <c r="BT665" t="str">
        <f>HYPERLINK("https%3A%2F%2Fwww.webofscience.com%2Fwos%2Fwoscc%2Ffull-record%2F","View Full Record in Web of Science")</f>
        <v>View Full Record in Web of Science</v>
      </c>
    </row>
    <row r="666" spans="1:72" customHeight="1" ht="12.75">
      <c r="A666" t="s">
        <v>72</v>
      </c>
      <c r="B666" t="s">
        <v>4688</v>
      </c>
      <c r="C666"/>
      <c r="D666"/>
      <c r="E666"/>
      <c r="F666" t="s">
        <v>4689</v>
      </c>
      <c r="G666"/>
      <c r="H666"/>
      <c r="I666" t="s">
        <v>4690</v>
      </c>
      <c r="J666" t="s">
        <v>457</v>
      </c>
      <c r="K666"/>
      <c r="L666"/>
      <c r="M666"/>
      <c r="N666" t="s">
        <v>112</v>
      </c>
      <c r="O666"/>
      <c r="P666"/>
      <c r="Q666"/>
      <c r="R666"/>
      <c r="S666"/>
      <c r="T666" t="s">
        <v>4691</v>
      </c>
      <c r="U666" t="s">
        <v>4692</v>
      </c>
      <c r="V666"/>
      <c r="W666"/>
      <c r="X666"/>
      <c r="Y666"/>
      <c r="Z666"/>
      <c r="AA666"/>
      <c r="AB666"/>
      <c r="AC666"/>
      <c r="AD666"/>
      <c r="AE666"/>
      <c r="AF666"/>
      <c r="AG666"/>
      <c r="AH666">
        <v>1</v>
      </c>
      <c r="AI666">
        <v>1</v>
      </c>
      <c r="AJ666"/>
      <c r="AK666"/>
      <c r="AL666"/>
      <c r="AM666"/>
      <c r="AN666"/>
      <c r="AO666"/>
      <c r="AP666" t="s">
        <v>458</v>
      </c>
      <c r="AQ666"/>
      <c r="AR666"/>
      <c r="AS666"/>
      <c r="AT666" t="s">
        <v>198</v>
      </c>
      <c r="AU666">
        <v>2021</v>
      </c>
      <c r="AV666">
        <v>13</v>
      </c>
      <c r="AW666">
        <v>19</v>
      </c>
      <c r="AX666"/>
      <c r="AY666"/>
      <c r="AZ666"/>
      <c r="BA666"/>
      <c r="BB666"/>
      <c r="BC666"/>
      <c r="BD666">
        <v>10801</v>
      </c>
      <c r="BE666" t="s">
        <v>4693</v>
      </c>
      <c r="BF666" t="str">
        <f>HYPERLINK("http://dx.doi.org/10.3390/su131910801","http://dx.doi.org/10.3390/su131910801")</f>
        <v>http://dx.doi.org/10.3390/su131910801</v>
      </c>
      <c r="BG666"/>
      <c r="BH666"/>
      <c r="BI666"/>
      <c r="BJ666" t="s">
        <v>460</v>
      </c>
      <c r="BK666"/>
      <c r="BL666"/>
      <c r="BM666"/>
      <c r="BN666"/>
      <c r="BO666"/>
      <c r="BP666"/>
      <c r="BQ666"/>
      <c r="BR666"/>
      <c r="BS666"/>
      <c r="BT666" t="str">
        <f>HYPERLINK("https%3A%2F%2Fwww.webofscience.com%2Fwos%2Fwoscc%2Ffull-record%2F","View Full Record in Web of Science")</f>
        <v>View Full Record in Web of Science</v>
      </c>
    </row>
    <row r="667" spans="1:72" customHeight="1" ht="12.75">
      <c r="A667" t="s">
        <v>72</v>
      </c>
      <c r="B667" t="s">
        <v>4694</v>
      </c>
      <c r="C667"/>
      <c r="D667"/>
      <c r="E667"/>
      <c r="F667" t="s">
        <v>4695</v>
      </c>
      <c r="G667"/>
      <c r="H667"/>
      <c r="I667" t="s">
        <v>4696</v>
      </c>
      <c r="J667" t="s">
        <v>4697</v>
      </c>
      <c r="K667"/>
      <c r="L667"/>
      <c r="M667"/>
      <c r="N667" t="s">
        <v>325</v>
      </c>
      <c r="O667"/>
      <c r="P667"/>
      <c r="Q667"/>
      <c r="R667"/>
      <c r="S667"/>
      <c r="T667" t="s">
        <v>4698</v>
      </c>
      <c r="U667" t="s">
        <v>4699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>
        <v>41</v>
      </c>
      <c r="AI667">
        <v>43</v>
      </c>
      <c r="AJ667"/>
      <c r="AK667"/>
      <c r="AL667"/>
      <c r="AM667"/>
      <c r="AN667"/>
      <c r="AO667" t="s">
        <v>4700</v>
      </c>
      <c r="AP667"/>
      <c r="AQ667"/>
      <c r="AR667"/>
      <c r="AS667"/>
      <c r="AT667" t="s">
        <v>2013</v>
      </c>
      <c r="AU667">
        <v>2021</v>
      </c>
      <c r="AV667">
        <v>39</v>
      </c>
      <c r="AW667"/>
      <c r="AX667"/>
      <c r="AY667"/>
      <c r="AZ667"/>
      <c r="BA667"/>
      <c r="BB667"/>
      <c r="BC667"/>
      <c r="BD667">
        <v>100947</v>
      </c>
      <c r="BE667" t="s">
        <v>4701</v>
      </c>
      <c r="BF667" t="str">
        <f>HYPERLINK("http://dx.doi.org/10.1016/j.uclim.2021.100947","http://dx.doi.org/10.1016/j.uclim.2021.100947")</f>
        <v>http://dx.doi.org/10.1016/j.uclim.2021.100947</v>
      </c>
      <c r="BG667"/>
      <c r="BH667" t="s">
        <v>1432</v>
      </c>
      <c r="BI667"/>
      <c r="BJ667" t="s">
        <v>453</v>
      </c>
      <c r="BK667"/>
      <c r="BL667"/>
      <c r="BM667"/>
      <c r="BN667"/>
      <c r="BO667"/>
      <c r="BP667"/>
      <c r="BQ667"/>
      <c r="BR667"/>
      <c r="BS667"/>
      <c r="BT667" t="str">
        <f>HYPERLINK("https%3A%2F%2Fwww.webofscience.com%2Fwos%2Fwoscc%2Ffull-record%2F","View Full Record in Web of Science")</f>
        <v>View Full Record in Web of Science</v>
      </c>
    </row>
    <row r="668" spans="1:72" customHeight="1" ht="12.75">
      <c r="A668" t="s">
        <v>72</v>
      </c>
      <c r="B668" t="s">
        <v>4702</v>
      </c>
      <c r="C668"/>
      <c r="D668"/>
      <c r="E668"/>
      <c r="F668" t="s">
        <v>4703</v>
      </c>
      <c r="G668"/>
      <c r="H668"/>
      <c r="I668" t="s">
        <v>4704</v>
      </c>
      <c r="J668" t="s">
        <v>111</v>
      </c>
      <c r="K668"/>
      <c r="L668"/>
      <c r="M668"/>
      <c r="N668" t="s">
        <v>325</v>
      </c>
      <c r="O668"/>
      <c r="P668"/>
      <c r="Q668"/>
      <c r="R668"/>
      <c r="S668"/>
      <c r="T668" t="s">
        <v>4705</v>
      </c>
      <c r="U668" t="s">
        <v>4706</v>
      </c>
      <c r="V668"/>
      <c r="W668"/>
      <c r="X668"/>
      <c r="Y668"/>
      <c r="Z668"/>
      <c r="AA668"/>
      <c r="AB668"/>
      <c r="AC668"/>
      <c r="AD668"/>
      <c r="AE668"/>
      <c r="AF668"/>
      <c r="AG668"/>
      <c r="AH668">
        <v>18</v>
      </c>
      <c r="AI668">
        <v>18</v>
      </c>
      <c r="AJ668"/>
      <c r="AK668"/>
      <c r="AL668"/>
      <c r="AM668"/>
      <c r="AN668"/>
      <c r="AO668" t="s">
        <v>115</v>
      </c>
      <c r="AP668" t="s">
        <v>116</v>
      </c>
      <c r="AQ668"/>
      <c r="AR668"/>
      <c r="AS668"/>
      <c r="AT668" t="s">
        <v>3668</v>
      </c>
      <c r="AU668">
        <v>2021</v>
      </c>
      <c r="AV668">
        <v>169</v>
      </c>
      <c r="AW668"/>
      <c r="AX668"/>
      <c r="AY668"/>
      <c r="AZ668"/>
      <c r="BA668"/>
      <c r="BB668"/>
      <c r="BC668"/>
      <c r="BD668">
        <v>105526</v>
      </c>
      <c r="BE668" t="s">
        <v>4707</v>
      </c>
      <c r="BF668" t="str">
        <f>HYPERLINK("http://dx.doi.org/10.1016/j.resconrec.2021.105526","http://dx.doi.org/10.1016/j.resconrec.2021.105526")</f>
        <v>http://dx.doi.org/10.1016/j.resconrec.2021.105526</v>
      </c>
      <c r="BG668"/>
      <c r="BH668" t="s">
        <v>2562</v>
      </c>
      <c r="BI668"/>
      <c r="BJ668" t="s">
        <v>119</v>
      </c>
      <c r="BK668"/>
      <c r="BL668"/>
      <c r="BM668"/>
      <c r="BN668"/>
      <c r="BO668"/>
      <c r="BP668"/>
      <c r="BQ668"/>
      <c r="BR668"/>
      <c r="BS668"/>
      <c r="BT668" t="str">
        <f>HYPERLINK("https%3A%2F%2Fwww.webofscience.com%2Fwos%2Fwoscc%2Ffull-record%2F","View Full Record in Web of Science")</f>
        <v>View Full Record in Web of Science</v>
      </c>
    </row>
    <row r="669" spans="1:72" customHeight="1" ht="12.75">
      <c r="A669" t="s">
        <v>72</v>
      </c>
      <c r="B669" t="s">
        <v>4708</v>
      </c>
      <c r="C669"/>
      <c r="D669"/>
      <c r="E669"/>
      <c r="F669" t="s">
        <v>4709</v>
      </c>
      <c r="G669"/>
      <c r="H669"/>
      <c r="I669" t="s">
        <v>4710</v>
      </c>
      <c r="J669" t="s">
        <v>1699</v>
      </c>
      <c r="K669"/>
      <c r="L669"/>
      <c r="M669"/>
      <c r="N669" t="s">
        <v>325</v>
      </c>
      <c r="O669"/>
      <c r="P669"/>
      <c r="Q669"/>
      <c r="R669"/>
      <c r="S669"/>
      <c r="T669" t="s">
        <v>4711</v>
      </c>
      <c r="U669" t="s">
        <v>4712</v>
      </c>
      <c r="V669"/>
      <c r="W669"/>
      <c r="X669"/>
      <c r="Y669"/>
      <c r="Z669"/>
      <c r="AA669"/>
      <c r="AB669"/>
      <c r="AC669"/>
      <c r="AD669"/>
      <c r="AE669"/>
      <c r="AF669"/>
      <c r="AG669"/>
      <c r="AH669">
        <v>21</v>
      </c>
      <c r="AI669">
        <v>21</v>
      </c>
      <c r="AJ669"/>
      <c r="AK669"/>
      <c r="AL669"/>
      <c r="AM669"/>
      <c r="AN669"/>
      <c r="AO669" t="s">
        <v>1702</v>
      </c>
      <c r="AP669" t="s">
        <v>1703</v>
      </c>
      <c r="AQ669"/>
      <c r="AR669"/>
      <c r="AS669"/>
      <c r="AT669" t="s">
        <v>581</v>
      </c>
      <c r="AU669">
        <v>2021</v>
      </c>
      <c r="AV669">
        <v>139</v>
      </c>
      <c r="AW669"/>
      <c r="AX669"/>
      <c r="AY669"/>
      <c r="AZ669"/>
      <c r="BA669"/>
      <c r="BB669"/>
      <c r="BC669"/>
      <c r="BD669">
        <v>110695</v>
      </c>
      <c r="BE669" t="s">
        <v>4713</v>
      </c>
      <c r="BF669" t="str">
        <f>HYPERLINK("http://dx.doi.org/10.1016/j.rser.2020.110695","http://dx.doi.org/10.1016/j.rser.2020.110695")</f>
        <v>http://dx.doi.org/10.1016/j.rser.2020.110695</v>
      </c>
      <c r="BG669"/>
      <c r="BH669" t="s">
        <v>583</v>
      </c>
      <c r="BI669"/>
      <c r="BJ669" t="s">
        <v>1705</v>
      </c>
      <c r="BK669"/>
      <c r="BL669"/>
      <c r="BM669"/>
      <c r="BN669"/>
      <c r="BO669"/>
      <c r="BP669"/>
      <c r="BQ669"/>
      <c r="BR669"/>
      <c r="BS669"/>
      <c r="BT669" t="str">
        <f>HYPERLINK("https%3A%2F%2Fwww.webofscience.com%2Fwos%2Fwoscc%2Ffull-record%2F","View Full Record in Web of Science")</f>
        <v>View Full Record in Web of Science</v>
      </c>
    </row>
    <row r="670" spans="1:72" customHeight="1" ht="12.75">
      <c r="A670" t="s">
        <v>72</v>
      </c>
      <c r="B670" t="s">
        <v>4714</v>
      </c>
      <c r="C670"/>
      <c r="D670"/>
      <c r="E670"/>
      <c r="F670" t="s">
        <v>4715</v>
      </c>
      <c r="G670"/>
      <c r="H670"/>
      <c r="I670" t="s">
        <v>4716</v>
      </c>
      <c r="J670" t="s">
        <v>133</v>
      </c>
      <c r="K670"/>
      <c r="L670"/>
      <c r="M670"/>
      <c r="N670" t="s">
        <v>112</v>
      </c>
      <c r="O670"/>
      <c r="P670"/>
      <c r="Q670"/>
      <c r="R670"/>
      <c r="S670"/>
      <c r="T670" t="s">
        <v>4717</v>
      </c>
      <c r="U670" t="s">
        <v>4718</v>
      </c>
      <c r="V670"/>
      <c r="W670"/>
      <c r="X670"/>
      <c r="Y670"/>
      <c r="Z670"/>
      <c r="AA670"/>
      <c r="AB670"/>
      <c r="AC670"/>
      <c r="AD670"/>
      <c r="AE670"/>
      <c r="AF670"/>
      <c r="AG670"/>
      <c r="AH670">
        <v>38</v>
      </c>
      <c r="AI670">
        <v>39</v>
      </c>
      <c r="AJ670"/>
      <c r="AK670"/>
      <c r="AL670"/>
      <c r="AM670"/>
      <c r="AN670"/>
      <c r="AO670" t="s">
        <v>136</v>
      </c>
      <c r="AP670" t="s">
        <v>137</v>
      </c>
      <c r="AQ670"/>
      <c r="AR670"/>
      <c r="AS670"/>
      <c r="AT670" t="s">
        <v>394</v>
      </c>
      <c r="AU670">
        <v>2017</v>
      </c>
      <c r="AV670">
        <v>21</v>
      </c>
      <c r="AW670">
        <v>1</v>
      </c>
      <c r="AX670"/>
      <c r="AY670"/>
      <c r="AZ670"/>
      <c r="BA670"/>
      <c r="BB670">
        <v>166</v>
      </c>
      <c r="BC670">
        <v>179</v>
      </c>
      <c r="BD670"/>
      <c r="BE670" t="s">
        <v>4719</v>
      </c>
      <c r="BF670" t="str">
        <f>HYPERLINK("http://dx.doi.org/10.1111/jiec.12432","http://dx.doi.org/10.1111/jiec.12432")</f>
        <v>http://dx.doi.org/10.1111/jiec.12432</v>
      </c>
      <c r="BG670"/>
      <c r="BH670"/>
      <c r="BI670"/>
      <c r="BJ670" t="s">
        <v>139</v>
      </c>
      <c r="BK670"/>
      <c r="BL670"/>
      <c r="BM670"/>
      <c r="BN670"/>
      <c r="BO670"/>
      <c r="BP670"/>
      <c r="BQ670"/>
      <c r="BR670"/>
      <c r="BS670"/>
      <c r="BT670" t="str">
        <f>HYPERLINK("https%3A%2F%2Fwww.webofscience.com%2Fwos%2Fwoscc%2Ffull-record%2F","View Full Record in Web of Science")</f>
        <v>View Full Record in Web of Science</v>
      </c>
    </row>
    <row r="671" spans="1:72" customHeight="1" ht="12.75">
      <c r="A671" t="s">
        <v>72</v>
      </c>
      <c r="B671" t="s">
        <v>4720</v>
      </c>
      <c r="C671"/>
      <c r="D671"/>
      <c r="E671"/>
      <c r="F671" t="s">
        <v>4721</v>
      </c>
      <c r="G671"/>
      <c r="H671"/>
      <c r="I671" t="s">
        <v>4722</v>
      </c>
      <c r="J671" t="s">
        <v>587</v>
      </c>
      <c r="K671"/>
      <c r="L671"/>
      <c r="M671"/>
      <c r="N671" t="s">
        <v>112</v>
      </c>
      <c r="O671"/>
      <c r="P671"/>
      <c r="Q671"/>
      <c r="R671"/>
      <c r="S671"/>
      <c r="T671" t="s">
        <v>4723</v>
      </c>
      <c r="U671" t="s">
        <v>4724</v>
      </c>
      <c r="V671"/>
      <c r="W671"/>
      <c r="X671"/>
      <c r="Y671"/>
      <c r="Z671"/>
      <c r="AA671"/>
      <c r="AB671"/>
      <c r="AC671"/>
      <c r="AD671"/>
      <c r="AE671"/>
      <c r="AF671"/>
      <c r="AG671"/>
      <c r="AH671">
        <v>23</v>
      </c>
      <c r="AI671">
        <v>24</v>
      </c>
      <c r="AJ671"/>
      <c r="AK671"/>
      <c r="AL671"/>
      <c r="AM671"/>
      <c r="AN671"/>
      <c r="AO671" t="s">
        <v>590</v>
      </c>
      <c r="AP671" t="s">
        <v>591</v>
      </c>
      <c r="AQ671"/>
      <c r="AR671"/>
      <c r="AS671"/>
      <c r="AT671" t="s">
        <v>4581</v>
      </c>
      <c r="AU671">
        <v>2020</v>
      </c>
      <c r="AV671">
        <v>259</v>
      </c>
      <c r="AW671"/>
      <c r="AX671"/>
      <c r="AY671"/>
      <c r="AZ671"/>
      <c r="BA671"/>
      <c r="BB671"/>
      <c r="BC671"/>
      <c r="BD671">
        <v>120811</v>
      </c>
      <c r="BE671" t="s">
        <v>4725</v>
      </c>
      <c r="BF671" t="str">
        <f>HYPERLINK("http://dx.doi.org/10.1016/j.jclepro.2020.120811","http://dx.doi.org/10.1016/j.jclepro.2020.120811")</f>
        <v>http://dx.doi.org/10.1016/j.jclepro.2020.120811</v>
      </c>
      <c r="BG671"/>
      <c r="BH671"/>
      <c r="BI671"/>
      <c r="BJ671" t="s">
        <v>139</v>
      </c>
      <c r="BK671"/>
      <c r="BL671"/>
      <c r="BM671"/>
      <c r="BN671"/>
      <c r="BO671"/>
      <c r="BP671"/>
      <c r="BQ671"/>
      <c r="BR671"/>
      <c r="BS671"/>
      <c r="BT671" t="str">
        <f>HYPERLINK("https%3A%2F%2Fwww.webofscience.com%2Fwos%2Fwoscc%2Ffull-record%2F","View Full Record in Web of Science")</f>
        <v>View Full Record in Web of Science</v>
      </c>
    </row>
    <row r="672" spans="1:72" customHeight="1" ht="12.75">
      <c r="A672" t="s">
        <v>72</v>
      </c>
      <c r="B672" t="s">
        <v>4726</v>
      </c>
      <c r="C672"/>
      <c r="D672"/>
      <c r="E672"/>
      <c r="F672" t="s">
        <v>4727</v>
      </c>
      <c r="G672"/>
      <c r="H672"/>
      <c r="I672" t="s">
        <v>4728</v>
      </c>
      <c r="J672" t="s">
        <v>587</v>
      </c>
      <c r="K672"/>
      <c r="L672"/>
      <c r="M672"/>
      <c r="N672" t="s">
        <v>325</v>
      </c>
      <c r="O672"/>
      <c r="P672"/>
      <c r="Q672"/>
      <c r="R672"/>
      <c r="S672"/>
      <c r="T672" t="s">
        <v>4729</v>
      </c>
      <c r="U672" t="s">
        <v>4730</v>
      </c>
      <c r="V672"/>
      <c r="W672"/>
      <c r="X672"/>
      <c r="Y672"/>
      <c r="Z672"/>
      <c r="AA672"/>
      <c r="AB672"/>
      <c r="AC672"/>
      <c r="AD672"/>
      <c r="AE672"/>
      <c r="AF672"/>
      <c r="AG672"/>
      <c r="AH672">
        <v>2</v>
      </c>
      <c r="AI672">
        <v>2</v>
      </c>
      <c r="AJ672"/>
      <c r="AK672"/>
      <c r="AL672"/>
      <c r="AM672"/>
      <c r="AN672"/>
      <c r="AO672" t="s">
        <v>590</v>
      </c>
      <c r="AP672" t="s">
        <v>591</v>
      </c>
      <c r="AQ672"/>
      <c r="AR672"/>
      <c r="AS672"/>
      <c r="AT672" t="s">
        <v>4731</v>
      </c>
      <c r="AU672">
        <v>2022</v>
      </c>
      <c r="AV672">
        <v>379</v>
      </c>
      <c r="AW672"/>
      <c r="AX672">
        <v>1</v>
      </c>
      <c r="AY672"/>
      <c r="AZ672"/>
      <c r="BA672"/>
      <c r="BB672"/>
      <c r="BC672"/>
      <c r="BD672">
        <v>134563</v>
      </c>
      <c r="BE672" t="s">
        <v>4732</v>
      </c>
      <c r="BF672" t="str">
        <f>HYPERLINK("http://dx.doi.org/10.1016/j.jclepro.2022.134563","http://dx.doi.org/10.1016/j.jclepro.2022.134563")</f>
        <v>http://dx.doi.org/10.1016/j.jclepro.2022.134563</v>
      </c>
      <c r="BG672"/>
      <c r="BH672" t="s">
        <v>2195</v>
      </c>
      <c r="BI672"/>
      <c r="BJ672" t="s">
        <v>139</v>
      </c>
      <c r="BK672"/>
      <c r="BL672"/>
      <c r="BM672"/>
      <c r="BN672"/>
      <c r="BO672"/>
      <c r="BP672"/>
      <c r="BQ672"/>
      <c r="BR672"/>
      <c r="BS672"/>
      <c r="BT672" t="str">
        <f>HYPERLINK("https%3A%2F%2Fwww.webofscience.com%2Fwos%2Fwoscc%2Ffull-record%2F","View Full Record in Web of Science")</f>
        <v>View Full Record in Web of Science</v>
      </c>
    </row>
    <row r="673" spans="1:72" customHeight="1" ht="12.75">
      <c r="A673" t="s">
        <v>72</v>
      </c>
      <c r="B673" t="s">
        <v>4733</v>
      </c>
      <c r="C673"/>
      <c r="D673"/>
      <c r="E673"/>
      <c r="F673" t="s">
        <v>4734</v>
      </c>
      <c r="G673"/>
      <c r="H673"/>
      <c r="I673" t="s">
        <v>4735</v>
      </c>
      <c r="J673" t="s">
        <v>4736</v>
      </c>
      <c r="K673"/>
      <c r="L673"/>
      <c r="M673"/>
      <c r="N673" t="s">
        <v>112</v>
      </c>
      <c r="O673"/>
      <c r="P673"/>
      <c r="Q673"/>
      <c r="R673"/>
      <c r="S673"/>
      <c r="T673"/>
      <c r="U673" t="s">
        <v>947</v>
      </c>
      <c r="V673"/>
      <c r="W673"/>
      <c r="X673"/>
      <c r="Y673"/>
      <c r="Z673"/>
      <c r="AA673"/>
      <c r="AB673"/>
      <c r="AC673"/>
      <c r="AD673"/>
      <c r="AE673"/>
      <c r="AF673"/>
      <c r="AG673"/>
      <c r="AH673">
        <v>16</v>
      </c>
      <c r="AI673">
        <v>18</v>
      </c>
      <c r="AJ673"/>
      <c r="AK673"/>
      <c r="AL673"/>
      <c r="AM673"/>
      <c r="AN673"/>
      <c r="AO673" t="s">
        <v>4737</v>
      </c>
      <c r="AP673" t="s">
        <v>4738</v>
      </c>
      <c r="AQ673"/>
      <c r="AR673"/>
      <c r="AS673"/>
      <c r="AT673" t="s">
        <v>4739</v>
      </c>
      <c r="AU673">
        <v>2020</v>
      </c>
      <c r="AV673">
        <v>2020</v>
      </c>
      <c r="AW673"/>
      <c r="AX673"/>
      <c r="AY673"/>
      <c r="AZ673"/>
      <c r="BA673"/>
      <c r="BB673"/>
      <c r="BC673"/>
      <c r="BD673">
        <v>8855521.0</v>
      </c>
      <c r="BE673" t="s">
        <v>4740</v>
      </c>
      <c r="BF673" t="str">
        <f>HYPERLINK("http://dx.doi.org/10.1155/2020/8855521","http://dx.doi.org/10.1155/2020/8855521")</f>
        <v>http://dx.doi.org/10.1155/2020/8855521</v>
      </c>
      <c r="BG673"/>
      <c r="BH673"/>
      <c r="BI673"/>
      <c r="BJ673" t="s">
        <v>4741</v>
      </c>
      <c r="BK673"/>
      <c r="BL673"/>
      <c r="BM673"/>
      <c r="BN673"/>
      <c r="BO673"/>
      <c r="BP673"/>
      <c r="BQ673"/>
      <c r="BR673"/>
      <c r="BS673"/>
      <c r="BT673" t="str">
        <f>HYPERLINK("https%3A%2F%2Fwww.webofscience.com%2Fwos%2Fwoscc%2Ffull-record%2F","View Full Record in Web of Science")</f>
        <v>View Full Record in Web of Science</v>
      </c>
    </row>
    <row r="674" spans="1:72" customHeight="1" ht="12.75">
      <c r="A674" t="s">
        <v>72</v>
      </c>
      <c r="B674" t="s">
        <v>4742</v>
      </c>
      <c r="C674"/>
      <c r="D674"/>
      <c r="E674"/>
      <c r="F674" t="s">
        <v>4743</v>
      </c>
      <c r="G674"/>
      <c r="H674"/>
      <c r="I674" t="s">
        <v>4744</v>
      </c>
      <c r="J674" t="s">
        <v>4745</v>
      </c>
      <c r="K674"/>
      <c r="L674"/>
      <c r="M674"/>
      <c r="N674" t="s">
        <v>112</v>
      </c>
      <c r="O674"/>
      <c r="P674"/>
      <c r="Q674"/>
      <c r="R674"/>
      <c r="S674"/>
      <c r="T674" t="s">
        <v>4746</v>
      </c>
      <c r="U674" t="s">
        <v>4747</v>
      </c>
      <c r="V674"/>
      <c r="W674"/>
      <c r="X674"/>
      <c r="Y674"/>
      <c r="Z674"/>
      <c r="AA674"/>
      <c r="AB674"/>
      <c r="AC674"/>
      <c r="AD674"/>
      <c r="AE674"/>
      <c r="AF674"/>
      <c r="AG674"/>
      <c r="AH674">
        <v>17</v>
      </c>
      <c r="AI674">
        <v>18</v>
      </c>
      <c r="AJ674"/>
      <c r="AK674"/>
      <c r="AL674"/>
      <c r="AM674"/>
      <c r="AN674"/>
      <c r="AO674" t="s">
        <v>4748</v>
      </c>
      <c r="AP674" t="s">
        <v>4749</v>
      </c>
      <c r="AQ674"/>
      <c r="AR674"/>
      <c r="AS674"/>
      <c r="AT674" t="s">
        <v>404</v>
      </c>
      <c r="AU674">
        <v>2020</v>
      </c>
      <c r="AV674">
        <v>15</v>
      </c>
      <c r="AW674">
        <v>1</v>
      </c>
      <c r="AX674"/>
      <c r="AY674"/>
      <c r="AZ674" t="s">
        <v>222</v>
      </c>
      <c r="BA674"/>
      <c r="BB674">
        <v>11</v>
      </c>
      <c r="BC674">
        <v>30</v>
      </c>
      <c r="BD674"/>
      <c r="BE674" t="s">
        <v>4750</v>
      </c>
      <c r="BF674" t="str">
        <f>HYPERLINK("http://dx.doi.org/10.1007/s11625-019-00764-y","http://dx.doi.org/10.1007/s11625-019-00764-y")</f>
        <v>http://dx.doi.org/10.1007/s11625-019-00764-y</v>
      </c>
      <c r="BG674"/>
      <c r="BH674"/>
      <c r="BI674"/>
      <c r="BJ674" t="s">
        <v>654</v>
      </c>
      <c r="BK674"/>
      <c r="BL674"/>
      <c r="BM674"/>
      <c r="BN674"/>
      <c r="BO674"/>
      <c r="BP674"/>
      <c r="BQ674"/>
      <c r="BR674"/>
      <c r="BS674"/>
      <c r="BT674" t="str">
        <f>HYPERLINK("https%3A%2F%2Fwww.webofscience.com%2Fwos%2Fwoscc%2Ffull-record%2F","View Full Record in Web of Science")</f>
        <v>View Full Record in Web of Science</v>
      </c>
    </row>
    <row r="675" spans="1:72" customHeight="1" ht="12.75">
      <c r="A675" t="s">
        <v>72</v>
      </c>
      <c r="B675" t="s">
        <v>4751</v>
      </c>
      <c r="C675"/>
      <c r="D675"/>
      <c r="E675"/>
      <c r="F675" t="s">
        <v>4752</v>
      </c>
      <c r="G675"/>
      <c r="H675"/>
      <c r="I675" t="s">
        <v>4753</v>
      </c>
      <c r="J675" t="s">
        <v>4754</v>
      </c>
      <c r="K675"/>
      <c r="L675"/>
      <c r="M675"/>
      <c r="N675" t="s">
        <v>112</v>
      </c>
      <c r="O675"/>
      <c r="P675"/>
      <c r="Q675"/>
      <c r="R675"/>
      <c r="S675"/>
      <c r="T675" t="s">
        <v>4755</v>
      </c>
      <c r="U675" t="s">
        <v>4756</v>
      </c>
      <c r="V675"/>
      <c r="W675"/>
      <c r="X675"/>
      <c r="Y675"/>
      <c r="Z675"/>
      <c r="AA675"/>
      <c r="AB675"/>
      <c r="AC675"/>
      <c r="AD675"/>
      <c r="AE675"/>
      <c r="AF675"/>
      <c r="AG675"/>
      <c r="AH675">
        <v>18</v>
      </c>
      <c r="AI675">
        <v>20</v>
      </c>
      <c r="AJ675"/>
      <c r="AK675"/>
      <c r="AL675"/>
      <c r="AM675"/>
      <c r="AN675"/>
      <c r="AO675" t="s">
        <v>4757</v>
      </c>
      <c r="AP675" t="s">
        <v>4758</v>
      </c>
      <c r="AQ675"/>
      <c r="AR675"/>
      <c r="AS675"/>
      <c r="AT675" t="s">
        <v>198</v>
      </c>
      <c r="AU675">
        <v>2017</v>
      </c>
      <c r="AV675">
        <v>53</v>
      </c>
      <c r="AW675">
        <v>5</v>
      </c>
      <c r="AX675"/>
      <c r="AY675"/>
      <c r="AZ675"/>
      <c r="BA675"/>
      <c r="BB675">
        <v>1147</v>
      </c>
      <c r="BC675">
        <v>1163</v>
      </c>
      <c r="BD675"/>
      <c r="BE675" t="s">
        <v>4759</v>
      </c>
      <c r="BF675" t="str">
        <f>HYPERLINK("http://dx.doi.org/10.1111/1752-1688.12563","http://dx.doi.org/10.1111/1752-1688.12563")</f>
        <v>http://dx.doi.org/10.1111/1752-1688.12563</v>
      </c>
      <c r="BG675"/>
      <c r="BH675"/>
      <c r="BI675"/>
      <c r="BJ675" t="s">
        <v>4760</v>
      </c>
      <c r="BK675"/>
      <c r="BL675"/>
      <c r="BM675"/>
      <c r="BN675"/>
      <c r="BO675"/>
      <c r="BP675"/>
      <c r="BQ675"/>
      <c r="BR675"/>
      <c r="BS675"/>
      <c r="BT675" t="str">
        <f>HYPERLINK("https%3A%2F%2Fwww.webofscience.com%2Fwos%2Fwoscc%2Ffull-record%2F","View Full Record in Web of Science")</f>
        <v>View Full Record in Web of Science</v>
      </c>
    </row>
    <row r="676" spans="1:72" customHeight="1" ht="12.75">
      <c r="A676" t="s">
        <v>72</v>
      </c>
      <c r="B676" t="s">
        <v>4761</v>
      </c>
      <c r="C676"/>
      <c r="D676"/>
      <c r="E676"/>
      <c r="F676" t="s">
        <v>4762</v>
      </c>
      <c r="G676"/>
      <c r="H676"/>
      <c r="I676" t="s">
        <v>4763</v>
      </c>
      <c r="J676" t="s">
        <v>587</v>
      </c>
      <c r="K676"/>
      <c r="L676"/>
      <c r="M676"/>
      <c r="N676" t="s">
        <v>112</v>
      </c>
      <c r="O676"/>
      <c r="P676"/>
      <c r="Q676"/>
      <c r="R676"/>
      <c r="S676"/>
      <c r="T676" t="s">
        <v>4764</v>
      </c>
      <c r="U676" t="s">
        <v>4765</v>
      </c>
      <c r="V676"/>
      <c r="W676"/>
      <c r="X676"/>
      <c r="Y676"/>
      <c r="Z676"/>
      <c r="AA676"/>
      <c r="AB676"/>
      <c r="AC676"/>
      <c r="AD676"/>
      <c r="AE676"/>
      <c r="AF676"/>
      <c r="AG676"/>
      <c r="AH676">
        <v>43</v>
      </c>
      <c r="AI676">
        <v>44</v>
      </c>
      <c r="AJ676"/>
      <c r="AK676"/>
      <c r="AL676"/>
      <c r="AM676"/>
      <c r="AN676"/>
      <c r="AO676" t="s">
        <v>590</v>
      </c>
      <c r="AP676" t="s">
        <v>591</v>
      </c>
      <c r="AQ676"/>
      <c r="AR676"/>
      <c r="AS676"/>
      <c r="AT676" t="s">
        <v>708</v>
      </c>
      <c r="AU676">
        <v>2016</v>
      </c>
      <c r="AV676">
        <v>114</v>
      </c>
      <c r="AW676"/>
      <c r="AX676"/>
      <c r="AY676"/>
      <c r="AZ676"/>
      <c r="BA676"/>
      <c r="BB676">
        <v>243</v>
      </c>
      <c r="BC676">
        <v>256</v>
      </c>
      <c r="BD676"/>
      <c r="BE676" t="s">
        <v>4766</v>
      </c>
      <c r="BF676" t="str">
        <f>HYPERLINK("http://dx.doi.org/10.1016/j.jclepro.2015.06.093","http://dx.doi.org/10.1016/j.jclepro.2015.06.093")</f>
        <v>http://dx.doi.org/10.1016/j.jclepro.2015.06.093</v>
      </c>
      <c r="BG676"/>
      <c r="BH676"/>
      <c r="BI676"/>
      <c r="BJ676" t="s">
        <v>139</v>
      </c>
      <c r="BK676"/>
      <c r="BL676"/>
      <c r="BM676"/>
      <c r="BN676"/>
      <c r="BO676"/>
      <c r="BP676"/>
      <c r="BQ676"/>
      <c r="BR676"/>
      <c r="BS676"/>
      <c r="BT676" t="str">
        <f>HYPERLINK("https%3A%2F%2Fwww.webofscience.com%2Fwos%2Fwoscc%2Ffull-record%2F","View Full Record in Web of Science")</f>
        <v>View Full Record in Web of Science</v>
      </c>
    </row>
    <row r="677" spans="1:72" customHeight="1" ht="12.75">
      <c r="A677" t="s">
        <v>72</v>
      </c>
      <c r="B677" t="s">
        <v>3981</v>
      </c>
      <c r="C677"/>
      <c r="D677"/>
      <c r="E677"/>
      <c r="F677" t="s">
        <v>3982</v>
      </c>
      <c r="G677"/>
      <c r="H677"/>
      <c r="I677" t="s">
        <v>4767</v>
      </c>
      <c r="J677" t="s">
        <v>1360</v>
      </c>
      <c r="K677"/>
      <c r="L677"/>
      <c r="M677"/>
      <c r="N677" t="s">
        <v>112</v>
      </c>
      <c r="O677"/>
      <c r="P677"/>
      <c r="Q677"/>
      <c r="R677"/>
      <c r="S677"/>
      <c r="T677" t="s">
        <v>4768</v>
      </c>
      <c r="U677" t="s">
        <v>4769</v>
      </c>
      <c r="V677"/>
      <c r="W677"/>
      <c r="X677"/>
      <c r="Y677"/>
      <c r="Z677"/>
      <c r="AA677"/>
      <c r="AB677"/>
      <c r="AC677"/>
      <c r="AD677"/>
      <c r="AE677"/>
      <c r="AF677"/>
      <c r="AG677"/>
      <c r="AH677">
        <v>41</v>
      </c>
      <c r="AI677">
        <v>46</v>
      </c>
      <c r="AJ677"/>
      <c r="AK677"/>
      <c r="AL677"/>
      <c r="AM677"/>
      <c r="AN677"/>
      <c r="AO677" t="s">
        <v>1363</v>
      </c>
      <c r="AP677" t="s">
        <v>1364</v>
      </c>
      <c r="AQ677"/>
      <c r="AR677"/>
      <c r="AS677"/>
      <c r="AT677" t="s">
        <v>2621</v>
      </c>
      <c r="AU677">
        <v>2015</v>
      </c>
      <c r="AV677">
        <v>159</v>
      </c>
      <c r="AW677"/>
      <c r="AX677"/>
      <c r="AY677"/>
      <c r="AZ677"/>
      <c r="BA677"/>
      <c r="BB677">
        <v>540</v>
      </c>
      <c r="BC677">
        <v>547</v>
      </c>
      <c r="BD677"/>
      <c r="BE677" t="s">
        <v>4770</v>
      </c>
      <c r="BF677" t="str">
        <f>HYPERLINK("http://dx.doi.org/10.1016/j.apenergy.2015.09.021","http://dx.doi.org/10.1016/j.apenergy.2015.09.021")</f>
        <v>http://dx.doi.org/10.1016/j.apenergy.2015.09.021</v>
      </c>
      <c r="BG677"/>
      <c r="BH677"/>
      <c r="BI677"/>
      <c r="BJ677" t="s">
        <v>1367</v>
      </c>
      <c r="BK677"/>
      <c r="BL677"/>
      <c r="BM677"/>
      <c r="BN677"/>
      <c r="BO677"/>
      <c r="BP677"/>
      <c r="BQ677"/>
      <c r="BR677"/>
      <c r="BS677"/>
      <c r="BT677" t="str">
        <f>HYPERLINK("https%3A%2F%2Fwww.webofscience.com%2Fwos%2Fwoscc%2Ffull-record%2F","View Full Record in Web of Science")</f>
        <v>View Full Record in Web of Science</v>
      </c>
    </row>
    <row r="678" spans="1:72" customHeight="1" ht="12.75">
      <c r="A678" t="s">
        <v>72</v>
      </c>
      <c r="B678" t="s">
        <v>4771</v>
      </c>
      <c r="C678"/>
      <c r="D678"/>
      <c r="E678"/>
      <c r="F678" t="s">
        <v>4772</v>
      </c>
      <c r="G678"/>
      <c r="H678"/>
      <c r="I678" t="s">
        <v>4773</v>
      </c>
      <c r="J678" t="s">
        <v>133</v>
      </c>
      <c r="K678"/>
      <c r="L678"/>
      <c r="M678"/>
      <c r="N678" t="s">
        <v>325</v>
      </c>
      <c r="O678"/>
      <c r="P678"/>
      <c r="Q678"/>
      <c r="R678"/>
      <c r="S678"/>
      <c r="T678" t="s">
        <v>4774</v>
      </c>
      <c r="U678" t="s">
        <v>4775</v>
      </c>
      <c r="V678"/>
      <c r="W678"/>
      <c r="X678"/>
      <c r="Y678"/>
      <c r="Z678"/>
      <c r="AA678"/>
      <c r="AB678"/>
      <c r="AC678"/>
      <c r="AD678"/>
      <c r="AE678"/>
      <c r="AF678"/>
      <c r="AG678"/>
      <c r="AH678">
        <v>4</v>
      </c>
      <c r="AI678">
        <v>4</v>
      </c>
      <c r="AJ678"/>
      <c r="AK678"/>
      <c r="AL678"/>
      <c r="AM678"/>
      <c r="AN678"/>
      <c r="AO678" t="s">
        <v>136</v>
      </c>
      <c r="AP678" t="s">
        <v>137</v>
      </c>
      <c r="AQ678"/>
      <c r="AR678"/>
      <c r="AS678"/>
      <c r="AT678" t="s">
        <v>442</v>
      </c>
      <c r="AU678">
        <v>2023</v>
      </c>
      <c r="AV678">
        <v>27</v>
      </c>
      <c r="AW678">
        <v>1</v>
      </c>
      <c r="AX678"/>
      <c r="AY678"/>
      <c r="AZ678"/>
      <c r="BA678"/>
      <c r="BB678">
        <v>84</v>
      </c>
      <c r="BC678">
        <v>95</v>
      </c>
      <c r="BD678"/>
      <c r="BE678" t="s">
        <v>4776</v>
      </c>
      <c r="BF678" t="str">
        <f>HYPERLINK("http://dx.doi.org/10.1111/jiec.13335","http://dx.doi.org/10.1111/jiec.13335")</f>
        <v>http://dx.doi.org/10.1111/jiec.13335</v>
      </c>
      <c r="BG678"/>
      <c r="BH678" t="s">
        <v>2195</v>
      </c>
      <c r="BI678"/>
      <c r="BJ678" t="s">
        <v>139</v>
      </c>
      <c r="BK678"/>
      <c r="BL678"/>
      <c r="BM678"/>
      <c r="BN678"/>
      <c r="BO678"/>
      <c r="BP678"/>
      <c r="BQ678"/>
      <c r="BR678"/>
      <c r="BS678"/>
      <c r="BT678" t="str">
        <f>HYPERLINK("https%3A%2F%2Fwww.webofscience.com%2Fwos%2Fwoscc%2Ffull-record%2F","View Full Record in Web of Science")</f>
        <v>View Full Record in Web of Science</v>
      </c>
    </row>
    <row r="679" spans="1:72" customHeight="1" ht="12.75">
      <c r="A679" t="s">
        <v>72</v>
      </c>
      <c r="B679" t="s">
        <v>4777</v>
      </c>
      <c r="C679"/>
      <c r="D679"/>
      <c r="E679"/>
      <c r="F679" t="s">
        <v>4778</v>
      </c>
      <c r="G679"/>
      <c r="H679"/>
      <c r="I679" t="s">
        <v>4779</v>
      </c>
      <c r="J679" t="s">
        <v>166</v>
      </c>
      <c r="K679"/>
      <c r="L679"/>
      <c r="M679"/>
      <c r="N679" t="s">
        <v>112</v>
      </c>
      <c r="O679"/>
      <c r="P679"/>
      <c r="Q679"/>
      <c r="R679"/>
      <c r="S679"/>
      <c r="T679" t="s">
        <v>4780</v>
      </c>
      <c r="U679" t="s">
        <v>4781</v>
      </c>
      <c r="V679"/>
      <c r="W679"/>
      <c r="X679"/>
      <c r="Y679"/>
      <c r="Z679"/>
      <c r="AA679"/>
      <c r="AB679"/>
      <c r="AC679"/>
      <c r="AD679"/>
      <c r="AE679"/>
      <c r="AF679"/>
      <c r="AG679"/>
      <c r="AH679">
        <v>4</v>
      </c>
      <c r="AI679">
        <v>7</v>
      </c>
      <c r="AJ679"/>
      <c r="AK679"/>
      <c r="AL679"/>
      <c r="AM679"/>
      <c r="AN679"/>
      <c r="AO679"/>
      <c r="AP679" t="s">
        <v>169</v>
      </c>
      <c r="AQ679"/>
      <c r="AR679"/>
      <c r="AS679"/>
      <c r="AT679" t="s">
        <v>4782</v>
      </c>
      <c r="AU679">
        <v>2022</v>
      </c>
      <c r="AV679">
        <v>4</v>
      </c>
      <c r="AW679"/>
      <c r="AX679"/>
      <c r="AY679"/>
      <c r="AZ679"/>
      <c r="BA679"/>
      <c r="BB679"/>
      <c r="BC679"/>
      <c r="BD679">
        <v>930061</v>
      </c>
      <c r="BE679" t="s">
        <v>4783</v>
      </c>
      <c r="BF679" t="str">
        <f>HYPERLINK("http://dx.doi.org/10.3389/frsc.2022.930061","http://dx.doi.org/10.3389/frsc.2022.930061")</f>
        <v>http://dx.doi.org/10.3389/frsc.2022.930061</v>
      </c>
      <c r="BG679"/>
      <c r="BH679"/>
      <c r="BI679"/>
      <c r="BJ679" t="s">
        <v>171</v>
      </c>
      <c r="BK679"/>
      <c r="BL679"/>
      <c r="BM679"/>
      <c r="BN679"/>
      <c r="BO679"/>
      <c r="BP679"/>
      <c r="BQ679"/>
      <c r="BR679"/>
      <c r="BS679"/>
      <c r="BT679" t="str">
        <f>HYPERLINK("https%3A%2F%2Fwww.webofscience.com%2Fwos%2Fwoscc%2Ffull-record%2F","View Full Record in Web of Science")</f>
        <v>View Full Record in Web of Science</v>
      </c>
    </row>
    <row r="680" spans="1:72" customHeight="1" ht="12.75">
      <c r="A680" t="s">
        <v>72</v>
      </c>
      <c r="B680" t="s">
        <v>4784</v>
      </c>
      <c r="C680"/>
      <c r="D680"/>
      <c r="E680"/>
      <c r="F680" t="s">
        <v>4785</v>
      </c>
      <c r="G680"/>
      <c r="H680"/>
      <c r="I680" t="s">
        <v>4786</v>
      </c>
      <c r="J680" t="s">
        <v>399</v>
      </c>
      <c r="K680"/>
      <c r="L680"/>
      <c r="M680"/>
      <c r="N680" t="s">
        <v>325</v>
      </c>
      <c r="O680"/>
      <c r="P680"/>
      <c r="Q680"/>
      <c r="R680"/>
      <c r="S680"/>
      <c r="T680" t="s">
        <v>4787</v>
      </c>
      <c r="U680" t="s">
        <v>4788</v>
      </c>
      <c r="V680"/>
      <c r="W680"/>
      <c r="X680"/>
      <c r="Y680"/>
      <c r="Z680"/>
      <c r="AA680"/>
      <c r="AB680"/>
      <c r="AC680"/>
      <c r="AD680"/>
      <c r="AE680"/>
      <c r="AF680"/>
      <c r="AG680"/>
      <c r="AH680">
        <v>48</v>
      </c>
      <c r="AI680">
        <v>49</v>
      </c>
      <c r="AJ680"/>
      <c r="AK680"/>
      <c r="AL680"/>
      <c r="AM680"/>
      <c r="AN680"/>
      <c r="AO680" t="s">
        <v>402</v>
      </c>
      <c r="AP680" t="s">
        <v>403</v>
      </c>
      <c r="AQ680"/>
      <c r="AR680"/>
      <c r="AS680"/>
      <c r="AT680" t="s">
        <v>2560</v>
      </c>
      <c r="AU680">
        <v>2021</v>
      </c>
      <c r="AV680">
        <v>134</v>
      </c>
      <c r="AW680"/>
      <c r="AX680"/>
      <c r="AY680"/>
      <c r="AZ680"/>
      <c r="BA680"/>
      <c r="BB680">
        <v>78</v>
      </c>
      <c r="BC680">
        <v>88</v>
      </c>
      <c r="BD680"/>
      <c r="BE680" t="s">
        <v>4789</v>
      </c>
      <c r="BF680" t="str">
        <f>HYPERLINK("http://dx.doi.org/10.1016/j.wasman.2021.08.012","http://dx.doi.org/10.1016/j.wasman.2021.08.012")</f>
        <v>http://dx.doi.org/10.1016/j.wasman.2021.08.012</v>
      </c>
      <c r="BG680"/>
      <c r="BH680" t="s">
        <v>1432</v>
      </c>
      <c r="BI680"/>
      <c r="BJ680" t="s">
        <v>119</v>
      </c>
      <c r="BK680"/>
      <c r="BL680"/>
      <c r="BM680"/>
      <c r="BN680"/>
      <c r="BO680"/>
      <c r="BP680"/>
      <c r="BQ680"/>
      <c r="BR680"/>
      <c r="BS680"/>
      <c r="BT680" t="str">
        <f>HYPERLINK("https%3A%2F%2Fwww.webofscience.com%2Fwos%2Fwoscc%2Ffull-record%2F","View Full Record in Web of Science")</f>
        <v>View Full Record in Web of Science</v>
      </c>
    </row>
    <row r="681" spans="1:72" customHeight="1" ht="12.75">
      <c r="A681" t="s">
        <v>72</v>
      </c>
      <c r="B681" t="s">
        <v>4790</v>
      </c>
      <c r="C681"/>
      <c r="D681"/>
      <c r="E681"/>
      <c r="F681" t="s">
        <v>4791</v>
      </c>
      <c r="G681"/>
      <c r="H681"/>
      <c r="I681" t="s">
        <v>4792</v>
      </c>
      <c r="J681" t="s">
        <v>111</v>
      </c>
      <c r="K681"/>
      <c r="L681"/>
      <c r="M681"/>
      <c r="N681" t="s">
        <v>112</v>
      </c>
      <c r="O681"/>
      <c r="P681"/>
      <c r="Q681"/>
      <c r="R681"/>
      <c r="S681"/>
      <c r="T681" t="s">
        <v>4793</v>
      </c>
      <c r="U681" t="s">
        <v>4794</v>
      </c>
      <c r="V681"/>
      <c r="W681"/>
      <c r="X681"/>
      <c r="Y681"/>
      <c r="Z681"/>
      <c r="AA681"/>
      <c r="AB681"/>
      <c r="AC681"/>
      <c r="AD681"/>
      <c r="AE681"/>
      <c r="AF681"/>
      <c r="AG681"/>
      <c r="AH681">
        <v>32</v>
      </c>
      <c r="AI681">
        <v>32</v>
      </c>
      <c r="AJ681"/>
      <c r="AK681"/>
      <c r="AL681"/>
      <c r="AM681"/>
      <c r="AN681"/>
      <c r="AO681" t="s">
        <v>115</v>
      </c>
      <c r="AP681" t="s">
        <v>116</v>
      </c>
      <c r="AQ681"/>
      <c r="AR681"/>
      <c r="AS681"/>
      <c r="AT681" t="s">
        <v>190</v>
      </c>
      <c r="AU681">
        <v>2021</v>
      </c>
      <c r="AV681">
        <v>166</v>
      </c>
      <c r="AW681"/>
      <c r="AX681"/>
      <c r="AY681"/>
      <c r="AZ681"/>
      <c r="BA681"/>
      <c r="BB681"/>
      <c r="BC681"/>
      <c r="BD681">
        <v>105359</v>
      </c>
      <c r="BE681" t="s">
        <v>4795</v>
      </c>
      <c r="BF681" t="str">
        <f>HYPERLINK("http://dx.doi.org/10.1016/j.resconrec.2020.105359","http://dx.doi.org/10.1016/j.resconrec.2020.105359")</f>
        <v>http://dx.doi.org/10.1016/j.resconrec.2020.105359</v>
      </c>
      <c r="BG681"/>
      <c r="BH681"/>
      <c r="BI681"/>
      <c r="BJ681" t="s">
        <v>119</v>
      </c>
      <c r="BK681"/>
      <c r="BL681"/>
      <c r="BM681"/>
      <c r="BN681"/>
      <c r="BO681"/>
      <c r="BP681"/>
      <c r="BQ681"/>
      <c r="BR681"/>
      <c r="BS681"/>
      <c r="BT681" t="str">
        <f>HYPERLINK("https%3A%2F%2Fwww.webofscience.com%2Fwos%2Fwoscc%2Ffull-record%2F","View Full Record in Web of Science")</f>
        <v>View Full Record in Web of Science</v>
      </c>
    </row>
    <row r="682" spans="1:72" customHeight="1" ht="12.75">
      <c r="A682" t="s">
        <v>72</v>
      </c>
      <c r="B682" t="s">
        <v>4796</v>
      </c>
      <c r="C682"/>
      <c r="D682"/>
      <c r="E682"/>
      <c r="F682" t="s">
        <v>4797</v>
      </c>
      <c r="G682"/>
      <c r="H682"/>
      <c r="I682" t="s">
        <v>4798</v>
      </c>
      <c r="J682" t="s">
        <v>572</v>
      </c>
      <c r="K682"/>
      <c r="L682"/>
      <c r="M682"/>
      <c r="N682" t="s">
        <v>215</v>
      </c>
      <c r="O682"/>
      <c r="P682"/>
      <c r="Q682"/>
      <c r="R682"/>
      <c r="S682"/>
      <c r="T682" t="s">
        <v>4799</v>
      </c>
      <c r="U682" t="s">
        <v>4800</v>
      </c>
      <c r="V682"/>
      <c r="W682"/>
      <c r="X682"/>
      <c r="Y682"/>
      <c r="Z682"/>
      <c r="AA682"/>
      <c r="AB682"/>
      <c r="AC682"/>
      <c r="AD682"/>
      <c r="AE682"/>
      <c r="AF682"/>
      <c r="AG682"/>
      <c r="AH682">
        <v>35</v>
      </c>
      <c r="AI682">
        <v>35</v>
      </c>
      <c r="AJ682"/>
      <c r="AK682"/>
      <c r="AL682"/>
      <c r="AM682"/>
      <c r="AN682"/>
      <c r="AO682" t="s">
        <v>573</v>
      </c>
      <c r="AP682" t="s">
        <v>574</v>
      </c>
      <c r="AQ682"/>
      <c r="AR682"/>
      <c r="AS682"/>
      <c r="AT682" t="s">
        <v>190</v>
      </c>
      <c r="AU682">
        <v>2021</v>
      </c>
      <c r="AV682">
        <v>39</v>
      </c>
      <c r="AW682">
        <v>3</v>
      </c>
      <c r="AX682"/>
      <c r="AY682"/>
      <c r="AZ682" t="s">
        <v>222</v>
      </c>
      <c r="BA682"/>
      <c r="BB682">
        <v>448</v>
      </c>
      <c r="BC682">
        <v>465</v>
      </c>
      <c r="BD682"/>
      <c r="BE682" t="s">
        <v>4801</v>
      </c>
      <c r="BF682" t="str">
        <f>HYPERLINK("http://dx.doi.org/10.1177/0734242X20972773","http://dx.doi.org/10.1177/0734242X20972773")</f>
        <v>http://dx.doi.org/10.1177/0734242X20972773</v>
      </c>
      <c r="BG682"/>
      <c r="BH682"/>
      <c r="BI682"/>
      <c r="BJ682" t="s">
        <v>119</v>
      </c>
      <c r="BK682"/>
      <c r="BL682"/>
      <c r="BM682"/>
      <c r="BN682"/>
      <c r="BO682"/>
      <c r="BP682"/>
      <c r="BQ682"/>
      <c r="BR682"/>
      <c r="BS682"/>
      <c r="BT682" t="str">
        <f>HYPERLINK("https%3A%2F%2Fwww.webofscience.com%2Fwos%2Fwoscc%2Ffull-record%2F","View Full Record in Web of Science")</f>
        <v>View Full Record in Web of Science</v>
      </c>
    </row>
    <row r="683" spans="1:72" customHeight="1" ht="12.75">
      <c r="A683" t="s">
        <v>72</v>
      </c>
      <c r="B683" t="s">
        <v>4802</v>
      </c>
      <c r="C683"/>
      <c r="D683"/>
      <c r="E683"/>
      <c r="F683" t="s">
        <v>4803</v>
      </c>
      <c r="G683"/>
      <c r="H683"/>
      <c r="I683" t="s">
        <v>4804</v>
      </c>
      <c r="J683" t="s">
        <v>486</v>
      </c>
      <c r="K683"/>
      <c r="L683"/>
      <c r="M683"/>
      <c r="N683" t="s">
        <v>112</v>
      </c>
      <c r="O683"/>
      <c r="P683"/>
      <c r="Q683"/>
      <c r="R683"/>
      <c r="S683"/>
      <c r="T683" t="s">
        <v>4805</v>
      </c>
      <c r="U683" t="s">
        <v>4806</v>
      </c>
      <c r="V683"/>
      <c r="W683"/>
      <c r="X683"/>
      <c r="Y683"/>
      <c r="Z683"/>
      <c r="AA683"/>
      <c r="AB683"/>
      <c r="AC683"/>
      <c r="AD683"/>
      <c r="AE683"/>
      <c r="AF683"/>
      <c r="AG683"/>
      <c r="AH683">
        <v>17</v>
      </c>
      <c r="AI683">
        <v>17</v>
      </c>
      <c r="AJ683"/>
      <c r="AK683"/>
      <c r="AL683"/>
      <c r="AM683"/>
      <c r="AN683"/>
      <c r="AO683"/>
      <c r="AP683" t="s">
        <v>489</v>
      </c>
      <c r="AQ683"/>
      <c r="AR683"/>
      <c r="AS683"/>
      <c r="AT683" t="s">
        <v>208</v>
      </c>
      <c r="AU683">
        <v>2020</v>
      </c>
      <c r="AV683">
        <v>17</v>
      </c>
      <c r="AW683">
        <v>2</v>
      </c>
      <c r="AX683"/>
      <c r="AY683"/>
      <c r="AZ683"/>
      <c r="BA683"/>
      <c r="BB683"/>
      <c r="BC683"/>
      <c r="BD683">
        <v>479</v>
      </c>
      <c r="BE683" t="s">
        <v>4807</v>
      </c>
      <c r="BF683" t="str">
        <f>HYPERLINK("http://dx.doi.org/10.3390/ijerph17020479","http://dx.doi.org/10.3390/ijerph17020479")</f>
        <v>http://dx.doi.org/10.3390/ijerph17020479</v>
      </c>
      <c r="BG683"/>
      <c r="BH683"/>
      <c r="BI683"/>
      <c r="BJ683" t="s">
        <v>492</v>
      </c>
      <c r="BK683"/>
      <c r="BL683"/>
      <c r="BM683"/>
      <c r="BN683"/>
      <c r="BO683"/>
      <c r="BP683"/>
      <c r="BQ683"/>
      <c r="BR683"/>
      <c r="BS683"/>
      <c r="BT683" t="str">
        <f>HYPERLINK("https%3A%2F%2Fwww.webofscience.com%2Fwos%2Fwoscc%2Ffull-record%2F","View Full Record in Web of Science")</f>
        <v>View Full Record in Web of Science</v>
      </c>
    </row>
    <row r="684" spans="1:72" customHeight="1" ht="12.75">
      <c r="A684" t="s">
        <v>72</v>
      </c>
      <c r="B684" t="s">
        <v>4808</v>
      </c>
      <c r="C684"/>
      <c r="D684"/>
      <c r="E684"/>
      <c r="F684" t="s">
        <v>4809</v>
      </c>
      <c r="G684"/>
      <c r="H684"/>
      <c r="I684" t="s">
        <v>4810</v>
      </c>
      <c r="J684" t="s">
        <v>1067</v>
      </c>
      <c r="K684"/>
      <c r="L684"/>
      <c r="M684"/>
      <c r="N684" t="s">
        <v>325</v>
      </c>
      <c r="O684"/>
      <c r="P684"/>
      <c r="Q684"/>
      <c r="R684"/>
      <c r="S684"/>
      <c r="T684" t="s">
        <v>4811</v>
      </c>
      <c r="U684" t="s">
        <v>4812</v>
      </c>
      <c r="V684"/>
      <c r="W684"/>
      <c r="X684"/>
      <c r="Y684"/>
      <c r="Z684"/>
      <c r="AA684"/>
      <c r="AB684"/>
      <c r="AC684"/>
      <c r="AD684"/>
      <c r="AE684"/>
      <c r="AF684"/>
      <c r="AG684"/>
      <c r="AH684">
        <v>0.0</v>
      </c>
      <c r="AI684">
        <v>0.0</v>
      </c>
      <c r="AJ684"/>
      <c r="AK684"/>
      <c r="AL684"/>
      <c r="AM684"/>
      <c r="AN684"/>
      <c r="AO684" t="s">
        <v>1070</v>
      </c>
      <c r="AP684" t="s">
        <v>1071</v>
      </c>
      <c r="AQ684"/>
      <c r="AR684"/>
      <c r="AS684"/>
      <c r="AT684" t="s">
        <v>4813</v>
      </c>
      <c r="AU684">
        <v>2024</v>
      </c>
      <c r="AV684">
        <v>913</v>
      </c>
      <c r="AW684"/>
      <c r="AX684"/>
      <c r="AY684"/>
      <c r="AZ684"/>
      <c r="BA684"/>
      <c r="BB684"/>
      <c r="BC684"/>
      <c r="BD684">
        <v>169768</v>
      </c>
      <c r="BE684" t="s">
        <v>4814</v>
      </c>
      <c r="BF684" t="str">
        <f>HYPERLINK("http://dx.doi.org/10.1016/j.scitotenv.2023.169768","http://dx.doi.org/10.1016/j.scitotenv.2023.169768")</f>
        <v>http://dx.doi.org/10.1016/j.scitotenv.2023.169768</v>
      </c>
      <c r="BG684"/>
      <c r="BH684" t="s">
        <v>4815</v>
      </c>
      <c r="BI684"/>
      <c r="BJ684" t="s">
        <v>224</v>
      </c>
      <c r="BK684"/>
      <c r="BL684"/>
      <c r="BM684"/>
      <c r="BN684"/>
      <c r="BO684"/>
      <c r="BP684"/>
      <c r="BQ684"/>
      <c r="BR684"/>
      <c r="BS684"/>
      <c r="BT684" t="str">
        <f>HYPERLINK("https%3A%2F%2Fwww.webofscience.com%2Fwos%2Fwoscc%2Ffull-record%2F","View Full Record in Web of Science")</f>
        <v>View Full Record in Web of Science</v>
      </c>
    </row>
    <row r="685" spans="1:72" customHeight="1" ht="12.75">
      <c r="A685" t="s">
        <v>72</v>
      </c>
      <c r="B685" t="s">
        <v>4816</v>
      </c>
      <c r="C685"/>
      <c r="D685"/>
      <c r="E685"/>
      <c r="F685" t="s">
        <v>4817</v>
      </c>
      <c r="G685"/>
      <c r="H685"/>
      <c r="I685" t="s">
        <v>4818</v>
      </c>
      <c r="J685" t="s">
        <v>587</v>
      </c>
      <c r="K685"/>
      <c r="L685"/>
      <c r="M685"/>
      <c r="N685" t="s">
        <v>112</v>
      </c>
      <c r="O685"/>
      <c r="P685"/>
      <c r="Q685"/>
      <c r="R685"/>
      <c r="S685"/>
      <c r="T685" t="s">
        <v>4819</v>
      </c>
      <c r="U685" t="s">
        <v>4820</v>
      </c>
      <c r="V685"/>
      <c r="W685"/>
      <c r="X685"/>
      <c r="Y685"/>
      <c r="Z685"/>
      <c r="AA685"/>
      <c r="AB685"/>
      <c r="AC685"/>
      <c r="AD685"/>
      <c r="AE685"/>
      <c r="AF685"/>
      <c r="AG685"/>
      <c r="AH685">
        <v>25</v>
      </c>
      <c r="AI685">
        <v>27</v>
      </c>
      <c r="AJ685"/>
      <c r="AK685"/>
      <c r="AL685"/>
      <c r="AM685"/>
      <c r="AN685"/>
      <c r="AO685" t="s">
        <v>590</v>
      </c>
      <c r="AP685" t="s">
        <v>591</v>
      </c>
      <c r="AQ685"/>
      <c r="AR685"/>
      <c r="AS685"/>
      <c r="AT685" t="s">
        <v>4821</v>
      </c>
      <c r="AU685">
        <v>2019</v>
      </c>
      <c r="AV685">
        <v>226</v>
      </c>
      <c r="AW685"/>
      <c r="AX685"/>
      <c r="AY685"/>
      <c r="AZ685"/>
      <c r="BA685"/>
      <c r="BB685">
        <v>526</v>
      </c>
      <c r="BC685">
        <v>539</v>
      </c>
      <c r="BD685"/>
      <c r="BE685" t="s">
        <v>4822</v>
      </c>
      <c r="BF685" t="str">
        <f>HYPERLINK("http://dx.doi.org/10.1016/j.jclepro.2019.04.036","http://dx.doi.org/10.1016/j.jclepro.2019.04.036")</f>
        <v>http://dx.doi.org/10.1016/j.jclepro.2019.04.036</v>
      </c>
      <c r="BG685"/>
      <c r="BH685"/>
      <c r="BI685"/>
      <c r="BJ685" t="s">
        <v>139</v>
      </c>
      <c r="BK685"/>
      <c r="BL685"/>
      <c r="BM685"/>
      <c r="BN685"/>
      <c r="BO685"/>
      <c r="BP685"/>
      <c r="BQ685"/>
      <c r="BR685"/>
      <c r="BS685"/>
      <c r="BT685" t="str">
        <f>HYPERLINK("https%3A%2F%2Fwww.webofscience.com%2Fwos%2Fwoscc%2Ffull-record%2F","View Full Record in Web of Science")</f>
        <v>View Full Record in Web of Science</v>
      </c>
    </row>
    <row r="686" spans="1:72" customHeight="1" ht="12.75">
      <c r="A686" t="s">
        <v>72</v>
      </c>
      <c r="B686" t="s">
        <v>4823</v>
      </c>
      <c r="C686"/>
      <c r="D686"/>
      <c r="E686"/>
      <c r="F686" t="s">
        <v>4824</v>
      </c>
      <c r="G686"/>
      <c r="H686"/>
      <c r="I686" t="s">
        <v>4825</v>
      </c>
      <c r="J686" t="s">
        <v>87</v>
      </c>
      <c r="K686"/>
      <c r="L686"/>
      <c r="M686"/>
      <c r="N686" t="s">
        <v>112</v>
      </c>
      <c r="O686"/>
      <c r="P686"/>
      <c r="Q686"/>
      <c r="R686"/>
      <c r="S686"/>
      <c r="T686" t="s">
        <v>4826</v>
      </c>
      <c r="U686" t="s">
        <v>4827</v>
      </c>
      <c r="V686"/>
      <c r="W686"/>
      <c r="X686"/>
      <c r="Y686"/>
      <c r="Z686"/>
      <c r="AA686"/>
      <c r="AB686"/>
      <c r="AC686"/>
      <c r="AD686"/>
      <c r="AE686"/>
      <c r="AF686"/>
      <c r="AG686"/>
      <c r="AH686">
        <v>51</v>
      </c>
      <c r="AI686">
        <v>53</v>
      </c>
      <c r="AJ686"/>
      <c r="AK686"/>
      <c r="AL686"/>
      <c r="AM686"/>
      <c r="AN686"/>
      <c r="AO686" t="s">
        <v>90</v>
      </c>
      <c r="AP686" t="s">
        <v>91</v>
      </c>
      <c r="AQ686"/>
      <c r="AR686"/>
      <c r="AS686"/>
      <c r="AT686" t="s">
        <v>92</v>
      </c>
      <c r="AU686">
        <v>2018</v>
      </c>
      <c r="AV686">
        <v>94</v>
      </c>
      <c r="AW686"/>
      <c r="AX686">
        <v>3</v>
      </c>
      <c r="AY686"/>
      <c r="AZ686"/>
      <c r="BA686"/>
      <c r="BB686">
        <v>82</v>
      </c>
      <c r="BC686">
        <v>99</v>
      </c>
      <c r="BD686"/>
      <c r="BE686" t="s">
        <v>4828</v>
      </c>
      <c r="BF686" t="str">
        <f>HYPERLINK("http://dx.doi.org/10.1016/j.ecolind.2017.03.060","http://dx.doi.org/10.1016/j.ecolind.2017.03.060")</f>
        <v>http://dx.doi.org/10.1016/j.ecolind.2017.03.060</v>
      </c>
      <c r="BG686"/>
      <c r="BH686"/>
      <c r="BI686"/>
      <c r="BJ686" t="s">
        <v>94</v>
      </c>
      <c r="BK686"/>
      <c r="BL686"/>
      <c r="BM686"/>
      <c r="BN686"/>
      <c r="BO686"/>
      <c r="BP686"/>
      <c r="BQ686"/>
      <c r="BR686"/>
      <c r="BS686"/>
      <c r="BT686" t="str">
        <f>HYPERLINK("https%3A%2F%2Fwww.webofscience.com%2Fwos%2Fwoscc%2Ffull-record%2F","View Full Record in Web of Science")</f>
        <v>View Full Record in Web of Science</v>
      </c>
    </row>
    <row r="687" spans="1:72" customHeight="1" ht="12.75">
      <c r="A687" t="s">
        <v>72</v>
      </c>
      <c r="B687" t="s">
        <v>4829</v>
      </c>
      <c r="C687"/>
      <c r="D687"/>
      <c r="E687"/>
      <c r="F687" t="s">
        <v>4830</v>
      </c>
      <c r="G687"/>
      <c r="H687"/>
      <c r="I687" t="s">
        <v>4831</v>
      </c>
      <c r="J687" t="s">
        <v>1067</v>
      </c>
      <c r="K687"/>
      <c r="L687"/>
      <c r="M687"/>
      <c r="N687" t="s">
        <v>325</v>
      </c>
      <c r="O687"/>
      <c r="P687"/>
      <c r="Q687"/>
      <c r="R687"/>
      <c r="S687"/>
      <c r="T687" t="s">
        <v>4832</v>
      </c>
      <c r="U687" t="s">
        <v>4833</v>
      </c>
      <c r="V687"/>
      <c r="W687"/>
      <c r="X687"/>
      <c r="Y687"/>
      <c r="Z687"/>
      <c r="AA687"/>
      <c r="AB687"/>
      <c r="AC687"/>
      <c r="AD687"/>
      <c r="AE687"/>
      <c r="AF687"/>
      <c r="AG687"/>
      <c r="AH687">
        <v>14</v>
      </c>
      <c r="AI687">
        <v>15</v>
      </c>
      <c r="AJ687"/>
      <c r="AK687"/>
      <c r="AL687"/>
      <c r="AM687"/>
      <c r="AN687"/>
      <c r="AO687" t="s">
        <v>1070</v>
      </c>
      <c r="AP687" t="s">
        <v>1071</v>
      </c>
      <c r="AQ687"/>
      <c r="AR687"/>
      <c r="AS687"/>
      <c r="AT687" t="s">
        <v>4834</v>
      </c>
      <c r="AU687">
        <v>2022</v>
      </c>
      <c r="AV687">
        <v>803</v>
      </c>
      <c r="AW687"/>
      <c r="AX687"/>
      <c r="AY687"/>
      <c r="AZ687"/>
      <c r="BA687"/>
      <c r="BB687"/>
      <c r="BC687"/>
      <c r="BD687">
        <v>149963</v>
      </c>
      <c r="BE687" t="s">
        <v>4835</v>
      </c>
      <c r="BF687" t="str">
        <f>HYPERLINK("http://dx.doi.org/10.1016/j.scitotenv.2021.149963","http://dx.doi.org/10.1016/j.scitotenv.2021.149963")</f>
        <v>http://dx.doi.org/10.1016/j.scitotenv.2021.149963</v>
      </c>
      <c r="BG687"/>
      <c r="BH687" t="s">
        <v>2963</v>
      </c>
      <c r="BI687"/>
      <c r="BJ687" t="s">
        <v>224</v>
      </c>
      <c r="BK687"/>
      <c r="BL687"/>
      <c r="BM687"/>
      <c r="BN687"/>
      <c r="BO687"/>
      <c r="BP687"/>
      <c r="BQ687"/>
      <c r="BR687"/>
      <c r="BS687"/>
      <c r="BT687" t="str">
        <f>HYPERLINK("https%3A%2F%2Fwww.webofscience.com%2Fwos%2Fwoscc%2Ffull-record%2F","View Full Record in Web of Science")</f>
        <v>View Full Record in Web of Science</v>
      </c>
    </row>
    <row r="688" spans="1:72" customHeight="1" ht="12.75">
      <c r="A688" t="s">
        <v>72</v>
      </c>
      <c r="B688" t="s">
        <v>4836</v>
      </c>
      <c r="C688"/>
      <c r="D688"/>
      <c r="E688"/>
      <c r="F688" t="s">
        <v>4837</v>
      </c>
      <c r="G688"/>
      <c r="H688"/>
      <c r="I688" t="s">
        <v>4838</v>
      </c>
      <c r="J688" t="s">
        <v>133</v>
      </c>
      <c r="K688"/>
      <c r="L688"/>
      <c r="M688"/>
      <c r="N688" t="s">
        <v>112</v>
      </c>
      <c r="O688"/>
      <c r="P688"/>
      <c r="Q688"/>
      <c r="R688"/>
      <c r="S688"/>
      <c r="T688" t="s">
        <v>4839</v>
      </c>
      <c r="U688" t="s">
        <v>4840</v>
      </c>
      <c r="V688"/>
      <c r="W688"/>
      <c r="X688"/>
      <c r="Y688"/>
      <c r="Z688"/>
      <c r="AA688"/>
      <c r="AB688"/>
      <c r="AC688"/>
      <c r="AD688"/>
      <c r="AE688"/>
      <c r="AF688"/>
      <c r="AG688"/>
      <c r="AH688">
        <v>1</v>
      </c>
      <c r="AI688">
        <v>1</v>
      </c>
      <c r="AJ688"/>
      <c r="AK688"/>
      <c r="AL688"/>
      <c r="AM688"/>
      <c r="AN688"/>
      <c r="AO688" t="s">
        <v>136</v>
      </c>
      <c r="AP688" t="s">
        <v>137</v>
      </c>
      <c r="AQ688"/>
      <c r="AR688"/>
      <c r="AS688"/>
      <c r="AT688" t="s">
        <v>145</v>
      </c>
      <c r="AU688">
        <v>2018</v>
      </c>
      <c r="AV688">
        <v>22</v>
      </c>
      <c r="AW688">
        <v>2</v>
      </c>
      <c r="AX688"/>
      <c r="AY688"/>
      <c r="AZ688"/>
      <c r="BA688"/>
      <c r="BB688">
        <v>434</v>
      </c>
      <c r="BC688">
        <v>442</v>
      </c>
      <c r="BD688"/>
      <c r="BE688" t="s">
        <v>4841</v>
      </c>
      <c r="BF688" t="str">
        <f>HYPERLINK("http://dx.doi.org/10.1111/jiec.12553","http://dx.doi.org/10.1111/jiec.12553")</f>
        <v>http://dx.doi.org/10.1111/jiec.12553</v>
      </c>
      <c r="BG688"/>
      <c r="BH688"/>
      <c r="BI688"/>
      <c r="BJ688" t="s">
        <v>139</v>
      </c>
      <c r="BK688"/>
      <c r="BL688"/>
      <c r="BM688"/>
      <c r="BN688"/>
      <c r="BO688"/>
      <c r="BP688"/>
      <c r="BQ688"/>
      <c r="BR688"/>
      <c r="BS688"/>
      <c r="BT688" t="str">
        <f>HYPERLINK("https%3A%2F%2Fwww.webofscience.com%2Fwos%2Fwoscc%2Ffull-record%2F","View Full Record in Web of Science")</f>
        <v>View Full Record in Web of Science</v>
      </c>
    </row>
    <row r="689" spans="1:72" customHeight="1" ht="12.75">
      <c r="A689" t="s">
        <v>72</v>
      </c>
      <c r="B689" t="s">
        <v>4842</v>
      </c>
      <c r="C689"/>
      <c r="D689"/>
      <c r="E689"/>
      <c r="F689" t="s">
        <v>4843</v>
      </c>
      <c r="G689"/>
      <c r="H689"/>
      <c r="I689" t="s">
        <v>4844</v>
      </c>
      <c r="J689" t="s">
        <v>4845</v>
      </c>
      <c r="K689"/>
      <c r="L689"/>
      <c r="M689"/>
      <c r="N689" t="s">
        <v>325</v>
      </c>
      <c r="O689"/>
      <c r="P689"/>
      <c r="Q689"/>
      <c r="R689"/>
      <c r="S689"/>
      <c r="T689" t="s">
        <v>4846</v>
      </c>
      <c r="U689" t="s">
        <v>4847</v>
      </c>
      <c r="V689"/>
      <c r="W689"/>
      <c r="X689"/>
      <c r="Y689"/>
      <c r="Z689"/>
      <c r="AA689"/>
      <c r="AB689"/>
      <c r="AC689"/>
      <c r="AD689"/>
      <c r="AE689"/>
      <c r="AF689"/>
      <c r="AG689"/>
      <c r="AH689">
        <v>0.0</v>
      </c>
      <c r="AI689">
        <v>0.0</v>
      </c>
      <c r="AJ689"/>
      <c r="AK689"/>
      <c r="AL689"/>
      <c r="AM689"/>
      <c r="AN689"/>
      <c r="AO689" t="s">
        <v>4848</v>
      </c>
      <c r="AP689"/>
      <c r="AQ689"/>
      <c r="AR689"/>
      <c r="AS689"/>
      <c r="AT689" t="s">
        <v>4068</v>
      </c>
      <c r="AU689">
        <v>2023</v>
      </c>
      <c r="AV689">
        <v>60</v>
      </c>
      <c r="AW689"/>
      <c r="AX689"/>
      <c r="AY689"/>
      <c r="AZ689"/>
      <c r="BA689"/>
      <c r="BB689"/>
      <c r="BC689"/>
      <c r="BD689">
        <v>102886</v>
      </c>
      <c r="BE689" t="s">
        <v>4849</v>
      </c>
      <c r="BF689" t="str">
        <f>HYPERLINK("http://dx.doi.org/10.1016/j.rsma.2023.102886","http://dx.doi.org/10.1016/j.rsma.2023.102886")</f>
        <v>http://dx.doi.org/10.1016/j.rsma.2023.102886</v>
      </c>
      <c r="BG689"/>
      <c r="BH689" t="s">
        <v>4850</v>
      </c>
      <c r="BI689"/>
      <c r="BJ689" t="s">
        <v>4851</v>
      </c>
      <c r="BK689"/>
      <c r="BL689"/>
      <c r="BM689"/>
      <c r="BN689"/>
      <c r="BO689"/>
      <c r="BP689"/>
      <c r="BQ689"/>
      <c r="BR689"/>
      <c r="BS689"/>
      <c r="BT689" t="str">
        <f>HYPERLINK("https%3A%2F%2Fwww.webofscience.com%2Fwos%2Fwoscc%2Ffull-record%2F","View Full Record in Web of Science")</f>
        <v>View Full Record in Web of Science</v>
      </c>
    </row>
    <row r="690" spans="1:72" customHeight="1" ht="12.75">
      <c r="A690" t="s">
        <v>72</v>
      </c>
      <c r="B690" t="s">
        <v>4852</v>
      </c>
      <c r="C690"/>
      <c r="D690"/>
      <c r="E690"/>
      <c r="F690" t="s">
        <v>4853</v>
      </c>
      <c r="G690"/>
      <c r="H690"/>
      <c r="I690" t="s">
        <v>4854</v>
      </c>
      <c r="J690" t="s">
        <v>4855</v>
      </c>
      <c r="K690"/>
      <c r="L690"/>
      <c r="M690"/>
      <c r="N690" t="s">
        <v>112</v>
      </c>
      <c r="O690"/>
      <c r="P690"/>
      <c r="Q690"/>
      <c r="R690"/>
      <c r="S690"/>
      <c r="T690" t="s">
        <v>4856</v>
      </c>
      <c r="U690" t="s">
        <v>4857</v>
      </c>
      <c r="V690"/>
      <c r="W690"/>
      <c r="X690"/>
      <c r="Y690"/>
      <c r="Z690"/>
      <c r="AA690"/>
      <c r="AB690"/>
      <c r="AC690"/>
      <c r="AD690"/>
      <c r="AE690"/>
      <c r="AF690"/>
      <c r="AG690"/>
      <c r="AH690">
        <v>2</v>
      </c>
      <c r="AI690">
        <v>2</v>
      </c>
      <c r="AJ690"/>
      <c r="AK690"/>
      <c r="AL690"/>
      <c r="AM690"/>
      <c r="AN690"/>
      <c r="AO690" t="s">
        <v>4858</v>
      </c>
      <c r="AP690"/>
      <c r="AQ690"/>
      <c r="AR690"/>
      <c r="AS690"/>
      <c r="AT690" t="s">
        <v>4859</v>
      </c>
      <c r="AU690">
        <v>2022</v>
      </c>
      <c r="AV690">
        <v>17</v>
      </c>
      <c r="AW690">
        <v>1</v>
      </c>
      <c r="AX690"/>
      <c r="AY690"/>
      <c r="AZ690"/>
      <c r="BA690"/>
      <c r="BB690"/>
      <c r="BC690"/>
      <c r="BD690">
        <v>17</v>
      </c>
      <c r="BE690" t="s">
        <v>4860</v>
      </c>
      <c r="BF690" t="str">
        <f>HYPERLINK("http://dx.doi.org/10.1186/s13021-022-00217-7","http://dx.doi.org/10.1186/s13021-022-00217-7")</f>
        <v>http://dx.doi.org/10.1186/s13021-022-00217-7</v>
      </c>
      <c r="BG690"/>
      <c r="BH690"/>
      <c r="BI690"/>
      <c r="BJ690" t="s">
        <v>224</v>
      </c>
      <c r="BK690"/>
      <c r="BL690"/>
      <c r="BM690"/>
      <c r="BN690"/>
      <c r="BO690"/>
      <c r="BP690"/>
      <c r="BQ690"/>
      <c r="BR690"/>
      <c r="BS690"/>
      <c r="BT690" t="str">
        <f>HYPERLINK("https%3A%2F%2Fwww.webofscience.com%2Fwos%2Fwoscc%2Ffull-record%2F","View Full Record in Web of Science")</f>
        <v>View Full Record in Web of Science</v>
      </c>
    </row>
    <row r="691" spans="1:72" customHeight="1" ht="12.75">
      <c r="A691" t="s">
        <v>72</v>
      </c>
      <c r="B691" t="s">
        <v>4861</v>
      </c>
      <c r="C691"/>
      <c r="D691"/>
      <c r="E691"/>
      <c r="F691" t="s">
        <v>4862</v>
      </c>
      <c r="G691"/>
      <c r="H691"/>
      <c r="I691" t="s">
        <v>4863</v>
      </c>
      <c r="J691" t="s">
        <v>3334</v>
      </c>
      <c r="K691"/>
      <c r="L691"/>
      <c r="M691"/>
      <c r="N691" t="s">
        <v>112</v>
      </c>
      <c r="O691"/>
      <c r="P691"/>
      <c r="Q691"/>
      <c r="R691"/>
      <c r="S691"/>
      <c r="T691" t="s">
        <v>4864</v>
      </c>
      <c r="U691" t="s">
        <v>4865</v>
      </c>
      <c r="V691"/>
      <c r="W691"/>
      <c r="X691"/>
      <c r="Y691"/>
      <c r="Z691"/>
      <c r="AA691"/>
      <c r="AB691"/>
      <c r="AC691"/>
      <c r="AD691"/>
      <c r="AE691"/>
      <c r="AF691"/>
      <c r="AG691"/>
      <c r="AH691">
        <v>1</v>
      </c>
      <c r="AI691">
        <v>1</v>
      </c>
      <c r="AJ691"/>
      <c r="AK691"/>
      <c r="AL691"/>
      <c r="AM691"/>
      <c r="AN691"/>
      <c r="AO691"/>
      <c r="AP691" t="s">
        <v>3337</v>
      </c>
      <c r="AQ691"/>
      <c r="AR691"/>
      <c r="AS691"/>
      <c r="AT691" t="s">
        <v>352</v>
      </c>
      <c r="AU691">
        <v>2022</v>
      </c>
      <c r="AV691">
        <v>11</v>
      </c>
      <c r="AW691">
        <v>9</v>
      </c>
      <c r="AX691"/>
      <c r="AY691"/>
      <c r="AZ691"/>
      <c r="BA691"/>
      <c r="BB691"/>
      <c r="BC691"/>
      <c r="BD691">
        <v>1573</v>
      </c>
      <c r="BE691" t="s">
        <v>4866</v>
      </c>
      <c r="BF691" t="str">
        <f>HYPERLINK("http://dx.doi.org/10.3390/land11091573","http://dx.doi.org/10.3390/land11091573")</f>
        <v>http://dx.doi.org/10.3390/land11091573</v>
      </c>
      <c r="BG691"/>
      <c r="BH691"/>
      <c r="BI691"/>
      <c r="BJ691" t="s">
        <v>359</v>
      </c>
      <c r="BK691"/>
      <c r="BL691"/>
      <c r="BM691"/>
      <c r="BN691"/>
      <c r="BO691"/>
      <c r="BP691"/>
      <c r="BQ691"/>
      <c r="BR691"/>
      <c r="BS691"/>
      <c r="BT691" t="str">
        <f>HYPERLINK("https%3A%2F%2Fwww.webofscience.com%2Fwos%2Fwoscc%2Ffull-record%2F","View Full Record in Web of Science")</f>
        <v>View Full Record in Web of Science</v>
      </c>
    </row>
    <row r="692" spans="1:72" customHeight="1" ht="12.75">
      <c r="A692" t="s">
        <v>72</v>
      </c>
      <c r="B692" t="s">
        <v>4867</v>
      </c>
      <c r="C692"/>
      <c r="D692"/>
      <c r="E692"/>
      <c r="F692" t="s">
        <v>4868</v>
      </c>
      <c r="G692"/>
      <c r="H692"/>
      <c r="I692" t="s">
        <v>4869</v>
      </c>
      <c r="J692" t="s">
        <v>587</v>
      </c>
      <c r="K692"/>
      <c r="L692"/>
      <c r="M692"/>
      <c r="N692" t="s">
        <v>325</v>
      </c>
      <c r="O692"/>
      <c r="P692"/>
      <c r="Q692"/>
      <c r="R692"/>
      <c r="S692"/>
      <c r="T692" t="s">
        <v>4870</v>
      </c>
      <c r="U692" t="s">
        <v>4871</v>
      </c>
      <c r="V692"/>
      <c r="W692"/>
      <c r="X692"/>
      <c r="Y692"/>
      <c r="Z692"/>
      <c r="AA692"/>
      <c r="AB692"/>
      <c r="AC692"/>
      <c r="AD692"/>
      <c r="AE692"/>
      <c r="AF692"/>
      <c r="AG692"/>
      <c r="AH692">
        <v>10</v>
      </c>
      <c r="AI692">
        <v>10</v>
      </c>
      <c r="AJ692"/>
      <c r="AK692"/>
      <c r="AL692"/>
      <c r="AM692"/>
      <c r="AN692"/>
      <c r="AO692" t="s">
        <v>590</v>
      </c>
      <c r="AP692" t="s">
        <v>591</v>
      </c>
      <c r="AQ692"/>
      <c r="AR692"/>
      <c r="AS692"/>
      <c r="AT692" t="s">
        <v>1107</v>
      </c>
      <c r="AU692">
        <v>2022</v>
      </c>
      <c r="AV692">
        <v>359</v>
      </c>
      <c r="AW692"/>
      <c r="AX692"/>
      <c r="AY692"/>
      <c r="AZ692"/>
      <c r="BA692"/>
      <c r="BB692"/>
      <c r="BC692"/>
      <c r="BD692">
        <v>132064</v>
      </c>
      <c r="BE692" t="s">
        <v>4872</v>
      </c>
      <c r="BF692" t="str">
        <f>HYPERLINK("http://dx.doi.org/10.1016/j.jclepro.2022.132064","http://dx.doi.org/10.1016/j.jclepro.2022.132064")</f>
        <v>http://dx.doi.org/10.1016/j.jclepro.2022.132064</v>
      </c>
      <c r="BG692"/>
      <c r="BH692" t="s">
        <v>1109</v>
      </c>
      <c r="BI692"/>
      <c r="BJ692" t="s">
        <v>139</v>
      </c>
      <c r="BK692"/>
      <c r="BL692"/>
      <c r="BM692"/>
      <c r="BN692"/>
      <c r="BO692"/>
      <c r="BP692"/>
      <c r="BQ692"/>
      <c r="BR692"/>
      <c r="BS692"/>
      <c r="BT692" t="str">
        <f>HYPERLINK("https%3A%2F%2Fwww.webofscience.com%2Fwos%2Fwoscc%2Ffull-record%2F","View Full Record in Web of Science")</f>
        <v>View Full Record in Web of Science</v>
      </c>
    </row>
    <row r="693" spans="1:72" customHeight="1" ht="12.75">
      <c r="A693" t="s">
        <v>72</v>
      </c>
      <c r="B693" t="s">
        <v>4873</v>
      </c>
      <c r="C693"/>
      <c r="D693"/>
      <c r="E693"/>
      <c r="F693" t="s">
        <v>4874</v>
      </c>
      <c r="G693"/>
      <c r="H693"/>
      <c r="I693" t="s">
        <v>4875</v>
      </c>
      <c r="J693" t="s">
        <v>587</v>
      </c>
      <c r="K693"/>
      <c r="L693"/>
      <c r="M693"/>
      <c r="N693" t="s">
        <v>325</v>
      </c>
      <c r="O693"/>
      <c r="P693"/>
      <c r="Q693"/>
      <c r="R693"/>
      <c r="S693"/>
      <c r="T693" t="s">
        <v>4876</v>
      </c>
      <c r="U693" t="s">
        <v>4877</v>
      </c>
      <c r="V693"/>
      <c r="W693"/>
      <c r="X693"/>
      <c r="Y693"/>
      <c r="Z693"/>
      <c r="AA693"/>
      <c r="AB693"/>
      <c r="AC693"/>
      <c r="AD693"/>
      <c r="AE693"/>
      <c r="AF693"/>
      <c r="AG693"/>
      <c r="AH693">
        <v>8</v>
      </c>
      <c r="AI693">
        <v>8</v>
      </c>
      <c r="AJ693"/>
      <c r="AK693"/>
      <c r="AL693"/>
      <c r="AM693"/>
      <c r="AN693"/>
      <c r="AO693" t="s">
        <v>590</v>
      </c>
      <c r="AP693" t="s">
        <v>591</v>
      </c>
      <c r="AQ693"/>
      <c r="AR693"/>
      <c r="AS693"/>
      <c r="AT693" t="s">
        <v>4878</v>
      </c>
      <c r="AU693">
        <v>2021</v>
      </c>
      <c r="AV693">
        <v>292</v>
      </c>
      <c r="AW693"/>
      <c r="AX693"/>
      <c r="AY693"/>
      <c r="AZ693"/>
      <c r="BA693"/>
      <c r="BB693"/>
      <c r="BC693"/>
      <c r="BD693">
        <v>125850</v>
      </c>
      <c r="BE693" t="s">
        <v>4879</v>
      </c>
      <c r="BF693" t="str">
        <f>HYPERLINK("http://dx.doi.org/10.1016/j.jclepro.2021.125850","http://dx.doi.org/10.1016/j.jclepro.2021.125850")</f>
        <v>http://dx.doi.org/10.1016/j.jclepro.2021.125850</v>
      </c>
      <c r="BG693"/>
      <c r="BH693" t="s">
        <v>583</v>
      </c>
      <c r="BI693"/>
      <c r="BJ693" t="s">
        <v>139</v>
      </c>
      <c r="BK693"/>
      <c r="BL693"/>
      <c r="BM693"/>
      <c r="BN693"/>
      <c r="BO693"/>
      <c r="BP693"/>
      <c r="BQ693"/>
      <c r="BR693"/>
      <c r="BS693"/>
      <c r="BT693" t="str">
        <f>HYPERLINK("https%3A%2F%2Fwww.webofscience.com%2Fwos%2Fwoscc%2Ffull-record%2F","View Full Record in Web of Science")</f>
        <v>View Full Record in Web of Science</v>
      </c>
    </row>
    <row r="694" spans="1:72" customHeight="1" ht="12.75">
      <c r="A694" t="s">
        <v>72</v>
      </c>
      <c r="B694" t="s">
        <v>4880</v>
      </c>
      <c r="C694"/>
      <c r="D694"/>
      <c r="E694"/>
      <c r="F694" t="s">
        <v>4881</v>
      </c>
      <c r="G694"/>
      <c r="H694"/>
      <c r="I694" t="s">
        <v>4882</v>
      </c>
      <c r="J694" t="s">
        <v>457</v>
      </c>
      <c r="K694"/>
      <c r="L694"/>
      <c r="M694"/>
      <c r="N694" t="s">
        <v>112</v>
      </c>
      <c r="O694"/>
      <c r="P694"/>
      <c r="Q694"/>
      <c r="R694"/>
      <c r="S694"/>
      <c r="T694" t="s">
        <v>4883</v>
      </c>
      <c r="U694" t="s">
        <v>4884</v>
      </c>
      <c r="V694"/>
      <c r="W694"/>
      <c r="X694"/>
      <c r="Y694"/>
      <c r="Z694"/>
      <c r="AA694"/>
      <c r="AB694"/>
      <c r="AC694"/>
      <c r="AD694"/>
      <c r="AE694"/>
      <c r="AF694"/>
      <c r="AG694"/>
      <c r="AH694">
        <v>2</v>
      </c>
      <c r="AI694">
        <v>2</v>
      </c>
      <c r="AJ694"/>
      <c r="AK694"/>
      <c r="AL694"/>
      <c r="AM694"/>
      <c r="AN694"/>
      <c r="AO694"/>
      <c r="AP694" t="s">
        <v>458</v>
      </c>
      <c r="AQ694"/>
      <c r="AR694"/>
      <c r="AS694"/>
      <c r="AT694" t="s">
        <v>145</v>
      </c>
      <c r="AU694">
        <v>2020</v>
      </c>
      <c r="AV694">
        <v>12</v>
      </c>
      <c r="AW694">
        <v>7</v>
      </c>
      <c r="AX694"/>
      <c r="AY694"/>
      <c r="AZ694"/>
      <c r="BA694"/>
      <c r="BB694"/>
      <c r="BC694"/>
      <c r="BD694">
        <v>2708</v>
      </c>
      <c r="BE694" t="s">
        <v>4885</v>
      </c>
      <c r="BF694" t="str">
        <f>HYPERLINK("http://dx.doi.org/10.3390/su12072708","http://dx.doi.org/10.3390/su12072708")</f>
        <v>http://dx.doi.org/10.3390/su12072708</v>
      </c>
      <c r="BG694"/>
      <c r="BH694"/>
      <c r="BI694"/>
      <c r="BJ694" t="s">
        <v>460</v>
      </c>
      <c r="BK694"/>
      <c r="BL694"/>
      <c r="BM694"/>
      <c r="BN694"/>
      <c r="BO694"/>
      <c r="BP694"/>
      <c r="BQ694"/>
      <c r="BR694"/>
      <c r="BS694"/>
      <c r="BT694" t="str">
        <f>HYPERLINK("https%3A%2F%2Fwww.webofscience.com%2Fwos%2Fwoscc%2Ffull-record%2F","View Full Record in Web of Science")</f>
        <v>View Full Record in Web of Science</v>
      </c>
    </row>
    <row r="695" spans="1:72" customHeight="1" ht="12.75">
      <c r="A695" t="s">
        <v>72</v>
      </c>
      <c r="B695" t="s">
        <v>4886</v>
      </c>
      <c r="C695"/>
      <c r="D695"/>
      <c r="E695"/>
      <c r="F695" t="s">
        <v>4887</v>
      </c>
      <c r="G695"/>
      <c r="H695"/>
      <c r="I695" t="s">
        <v>4888</v>
      </c>
      <c r="J695" t="s">
        <v>4116</v>
      </c>
      <c r="K695"/>
      <c r="L695"/>
      <c r="M695"/>
      <c r="N695" t="s">
        <v>325</v>
      </c>
      <c r="O695"/>
      <c r="P695"/>
      <c r="Q695"/>
      <c r="R695"/>
      <c r="S695"/>
      <c r="T695" t="s">
        <v>4889</v>
      </c>
      <c r="U695" t="s">
        <v>4890</v>
      </c>
      <c r="V695"/>
      <c r="W695"/>
      <c r="X695"/>
      <c r="Y695"/>
      <c r="Z695"/>
      <c r="AA695"/>
      <c r="AB695"/>
      <c r="AC695"/>
      <c r="AD695"/>
      <c r="AE695"/>
      <c r="AF695"/>
      <c r="AG695"/>
      <c r="AH695">
        <v>0.0</v>
      </c>
      <c r="AI695">
        <v>0.0</v>
      </c>
      <c r="AJ695"/>
      <c r="AK695"/>
      <c r="AL695"/>
      <c r="AM695"/>
      <c r="AN695"/>
      <c r="AO695" t="s">
        <v>4119</v>
      </c>
      <c r="AP695" t="s">
        <v>4120</v>
      </c>
      <c r="AQ695"/>
      <c r="AR695"/>
      <c r="AS695"/>
      <c r="AT695" t="s">
        <v>4891</v>
      </c>
      <c r="AU695">
        <v>2023</v>
      </c>
      <c r="AV695"/>
      <c r="AW695"/>
      <c r="AX695"/>
      <c r="AY695"/>
      <c r="AZ695"/>
      <c r="BA695"/>
      <c r="BB695"/>
      <c r="BC695"/>
      <c r="BD695"/>
      <c r="BE695" t="s">
        <v>4892</v>
      </c>
      <c r="BF695" t="str">
        <f>HYPERLINK("http://dx.doi.org/10.1177/00420980231202684","http://dx.doi.org/10.1177/00420980231202684")</f>
        <v>http://dx.doi.org/10.1177/00420980231202684</v>
      </c>
      <c r="BG695"/>
      <c r="BH695" t="s">
        <v>4893</v>
      </c>
      <c r="BI695"/>
      <c r="BJ695" t="s">
        <v>2005</v>
      </c>
      <c r="BK695"/>
      <c r="BL695"/>
      <c r="BM695"/>
      <c r="BN695"/>
      <c r="BO695"/>
      <c r="BP695"/>
      <c r="BQ695"/>
      <c r="BR695"/>
      <c r="BS695"/>
      <c r="BT695" t="str">
        <f>HYPERLINK("https%3A%2F%2Fwww.webofscience.com%2Fwos%2Fwoscc%2Ffull-record%2F","View Full Record in Web of Science")</f>
        <v>View Full Record in Web of Science</v>
      </c>
    </row>
    <row r="696" spans="1:72" customHeight="1" ht="12.75">
      <c r="A696" t="s">
        <v>72</v>
      </c>
      <c r="B696" t="s">
        <v>4894</v>
      </c>
      <c r="C696"/>
      <c r="D696"/>
      <c r="E696"/>
      <c r="F696" t="s">
        <v>4895</v>
      </c>
      <c r="G696"/>
      <c r="H696"/>
      <c r="I696" t="s">
        <v>4896</v>
      </c>
      <c r="J696" t="s">
        <v>4897</v>
      </c>
      <c r="K696"/>
      <c r="L696"/>
      <c r="M696"/>
      <c r="N696" t="s">
        <v>325</v>
      </c>
      <c r="O696"/>
      <c r="P696"/>
      <c r="Q696"/>
      <c r="R696"/>
      <c r="S696"/>
      <c r="T696" t="s">
        <v>4898</v>
      </c>
      <c r="U696" t="s">
        <v>4899</v>
      </c>
      <c r="V696"/>
      <c r="W696"/>
      <c r="X696"/>
      <c r="Y696"/>
      <c r="Z696"/>
      <c r="AA696"/>
      <c r="AB696"/>
      <c r="AC696"/>
      <c r="AD696"/>
      <c r="AE696"/>
      <c r="AF696"/>
      <c r="AG696"/>
      <c r="AH696">
        <v>0.0</v>
      </c>
      <c r="AI696">
        <v>0.0</v>
      </c>
      <c r="AJ696"/>
      <c r="AK696"/>
      <c r="AL696"/>
      <c r="AM696"/>
      <c r="AN696"/>
      <c r="AO696" t="s">
        <v>4900</v>
      </c>
      <c r="AP696" t="s">
        <v>4901</v>
      </c>
      <c r="AQ696"/>
      <c r="AR696"/>
      <c r="AS696"/>
      <c r="AT696" t="s">
        <v>796</v>
      </c>
      <c r="AU696">
        <v>2024</v>
      </c>
      <c r="AV696">
        <v>15</v>
      </c>
      <c r="AW696">
        <v>2</v>
      </c>
      <c r="AX696"/>
      <c r="AY696"/>
      <c r="AZ696"/>
      <c r="BA696"/>
      <c r="BB696">
        <v>615</v>
      </c>
      <c r="BC696">
        <v>636</v>
      </c>
      <c r="BD696"/>
      <c r="BE696" t="s">
        <v>4902</v>
      </c>
      <c r="BF696" t="str">
        <f>HYPERLINK("http://dx.doi.org/10.1007/s12649-023-02193-6","http://dx.doi.org/10.1007/s12649-023-02193-6")</f>
        <v>http://dx.doi.org/10.1007/s12649-023-02193-6</v>
      </c>
      <c r="BG696"/>
      <c r="BH696" t="s">
        <v>330</v>
      </c>
      <c r="BI696"/>
      <c r="BJ696" t="s">
        <v>224</v>
      </c>
      <c r="BK696"/>
      <c r="BL696"/>
      <c r="BM696"/>
      <c r="BN696"/>
      <c r="BO696"/>
      <c r="BP696"/>
      <c r="BQ696"/>
      <c r="BR696"/>
      <c r="BS696"/>
      <c r="BT696" t="str">
        <f>HYPERLINK("https%3A%2F%2Fwww.webofscience.com%2Fwos%2Fwoscc%2Ffull-record%2F","View Full Record in Web of Science")</f>
        <v>View Full Record in Web of Science</v>
      </c>
    </row>
    <row r="697" spans="1:72" customHeight="1" ht="12.75">
      <c r="A697" t="s">
        <v>72</v>
      </c>
      <c r="B697" t="s">
        <v>4903</v>
      </c>
      <c r="C697"/>
      <c r="D697"/>
      <c r="E697"/>
      <c r="F697" t="s">
        <v>4904</v>
      </c>
      <c r="G697"/>
      <c r="H697"/>
      <c r="I697" t="s">
        <v>4905</v>
      </c>
      <c r="J697" t="s">
        <v>4906</v>
      </c>
      <c r="K697"/>
      <c r="L697"/>
      <c r="M697"/>
      <c r="N697" t="s">
        <v>112</v>
      </c>
      <c r="O697"/>
      <c r="P697"/>
      <c r="Q697"/>
      <c r="R697"/>
      <c r="S697"/>
      <c r="T697" t="s">
        <v>4907</v>
      </c>
      <c r="U697" t="s">
        <v>4908</v>
      </c>
      <c r="V697"/>
      <c r="W697"/>
      <c r="X697"/>
      <c r="Y697"/>
      <c r="Z697"/>
      <c r="AA697"/>
      <c r="AB697"/>
      <c r="AC697"/>
      <c r="AD697"/>
      <c r="AE697"/>
      <c r="AF697"/>
      <c r="AG697"/>
      <c r="AH697">
        <v>0.0</v>
      </c>
      <c r="AI697">
        <v>0.0</v>
      </c>
      <c r="AJ697"/>
      <c r="AK697"/>
      <c r="AL697"/>
      <c r="AM697"/>
      <c r="AN697"/>
      <c r="AO697"/>
      <c r="AP697" t="s">
        <v>4909</v>
      </c>
      <c r="AQ697"/>
      <c r="AR697"/>
      <c r="AS697"/>
      <c r="AT697" t="s">
        <v>385</v>
      </c>
      <c r="AU697">
        <v>2023</v>
      </c>
      <c r="AV697">
        <v>8</v>
      </c>
      <c r="AW697">
        <v>7</v>
      </c>
      <c r="AX697"/>
      <c r="AY697"/>
      <c r="AZ697"/>
      <c r="BA697"/>
      <c r="BB697"/>
      <c r="BC697"/>
      <c r="BD697">
        <v>111</v>
      </c>
      <c r="BE697" t="s">
        <v>4910</v>
      </c>
      <c r="BF697" t="str">
        <f>HYPERLINK("http://dx.doi.org/10.3390/infrastructures8070111","http://dx.doi.org/10.3390/infrastructures8070111")</f>
        <v>http://dx.doi.org/10.3390/infrastructures8070111</v>
      </c>
      <c r="BG697"/>
      <c r="BH697"/>
      <c r="BI697"/>
      <c r="BJ697" t="s">
        <v>4911</v>
      </c>
      <c r="BK697"/>
      <c r="BL697"/>
      <c r="BM697"/>
      <c r="BN697"/>
      <c r="BO697"/>
      <c r="BP697"/>
      <c r="BQ697"/>
      <c r="BR697"/>
      <c r="BS697"/>
      <c r="BT697" t="str">
        <f>HYPERLINK("https%3A%2F%2Fwww.webofscience.com%2Fwos%2Fwoscc%2Ffull-record%2F","View Full Record in Web of Science")</f>
        <v>View Full Record in Web of Science</v>
      </c>
    </row>
    <row r="698" spans="1:72" customHeight="1" ht="12.75">
      <c r="A698" t="s">
        <v>72</v>
      </c>
      <c r="B698" t="s">
        <v>4912</v>
      </c>
      <c r="C698"/>
      <c r="D698"/>
      <c r="E698"/>
      <c r="F698" t="s">
        <v>4913</v>
      </c>
      <c r="G698"/>
      <c r="H698"/>
      <c r="I698" t="s">
        <v>4914</v>
      </c>
      <c r="J698" t="s">
        <v>472</v>
      </c>
      <c r="K698"/>
      <c r="L698"/>
      <c r="M698"/>
      <c r="N698" t="s">
        <v>325</v>
      </c>
      <c r="O698"/>
      <c r="P698"/>
      <c r="Q698"/>
      <c r="R698"/>
      <c r="S698"/>
      <c r="T698" t="s">
        <v>4915</v>
      </c>
      <c r="U698" t="s">
        <v>4916</v>
      </c>
      <c r="V698"/>
      <c r="W698"/>
      <c r="X698"/>
      <c r="Y698"/>
      <c r="Z698"/>
      <c r="AA698"/>
      <c r="AB698"/>
      <c r="AC698"/>
      <c r="AD698"/>
      <c r="AE698"/>
      <c r="AF698"/>
      <c r="AG698"/>
      <c r="AH698">
        <v>2</v>
      </c>
      <c r="AI698">
        <v>2</v>
      </c>
      <c r="AJ698"/>
      <c r="AK698"/>
      <c r="AL698"/>
      <c r="AM698"/>
      <c r="AN698"/>
      <c r="AO698" t="s">
        <v>475</v>
      </c>
      <c r="AP698" t="s">
        <v>476</v>
      </c>
      <c r="AQ698"/>
      <c r="AR698"/>
      <c r="AS698"/>
      <c r="AT698" t="s">
        <v>3649</v>
      </c>
      <c r="AU698">
        <v>2023</v>
      </c>
      <c r="AV698">
        <v>131</v>
      </c>
      <c r="AW698"/>
      <c r="AX698"/>
      <c r="AY698"/>
      <c r="AZ698"/>
      <c r="BA698"/>
      <c r="BB698"/>
      <c r="BC698"/>
      <c r="BD698">
        <v>106695</v>
      </c>
      <c r="BE698" t="s">
        <v>4917</v>
      </c>
      <c r="BF698" t="str">
        <f>HYPERLINK("http://dx.doi.org/10.1016/j.landusepol.2023.106695","http://dx.doi.org/10.1016/j.landusepol.2023.106695")</f>
        <v>http://dx.doi.org/10.1016/j.landusepol.2023.106695</v>
      </c>
      <c r="BG698"/>
      <c r="BH698" t="s">
        <v>3768</v>
      </c>
      <c r="BI698"/>
      <c r="BJ698" t="s">
        <v>359</v>
      </c>
      <c r="BK698"/>
      <c r="BL698"/>
      <c r="BM698"/>
      <c r="BN698"/>
      <c r="BO698"/>
      <c r="BP698"/>
      <c r="BQ698"/>
      <c r="BR698"/>
      <c r="BS698"/>
      <c r="BT698" t="str">
        <f>HYPERLINK("https%3A%2F%2Fwww.webofscience.com%2Fwos%2Fwoscc%2Ffull-record%2F","View Full Record in Web of Science")</f>
        <v>View Full Record in Web of Science</v>
      </c>
    </row>
    <row r="699" spans="1:72" customHeight="1" ht="12.75">
      <c r="A699" t="s">
        <v>72</v>
      </c>
      <c r="B699" t="s">
        <v>4918</v>
      </c>
      <c r="C699"/>
      <c r="D699"/>
      <c r="E699"/>
      <c r="F699" t="s">
        <v>4919</v>
      </c>
      <c r="G699"/>
      <c r="H699"/>
      <c r="I699" t="s">
        <v>4920</v>
      </c>
      <c r="J699" t="s">
        <v>133</v>
      </c>
      <c r="K699"/>
      <c r="L699"/>
      <c r="M699"/>
      <c r="N699" t="s">
        <v>325</v>
      </c>
      <c r="O699"/>
      <c r="P699"/>
      <c r="Q699"/>
      <c r="R699"/>
      <c r="S699"/>
      <c r="T699" t="s">
        <v>4921</v>
      </c>
      <c r="U699" t="s">
        <v>4922</v>
      </c>
      <c r="V699"/>
      <c r="W699"/>
      <c r="X699"/>
      <c r="Y699"/>
      <c r="Z699"/>
      <c r="AA699"/>
      <c r="AB699"/>
      <c r="AC699"/>
      <c r="AD699"/>
      <c r="AE699"/>
      <c r="AF699"/>
      <c r="AG699"/>
      <c r="AH699">
        <v>21</v>
      </c>
      <c r="AI699">
        <v>21</v>
      </c>
      <c r="AJ699"/>
      <c r="AK699"/>
      <c r="AL699"/>
      <c r="AM699"/>
      <c r="AN699"/>
      <c r="AO699" t="s">
        <v>136</v>
      </c>
      <c r="AP699" t="s">
        <v>137</v>
      </c>
      <c r="AQ699"/>
      <c r="AR699"/>
      <c r="AS699"/>
      <c r="AT699" t="s">
        <v>2474</v>
      </c>
      <c r="AU699">
        <v>2020</v>
      </c>
      <c r="AV699">
        <v>24</v>
      </c>
      <c r="AW699">
        <v>3</v>
      </c>
      <c r="AX699"/>
      <c r="AY699"/>
      <c r="AZ699"/>
      <c r="BA699"/>
      <c r="BB699">
        <v>500</v>
      </c>
      <c r="BC699">
        <v>516</v>
      </c>
      <c r="BD699"/>
      <c r="BE699" t="s">
        <v>4923</v>
      </c>
      <c r="BF699" t="str">
        <f>HYPERLINK("http://dx.doi.org/10.1111/jiec.12960","http://dx.doi.org/10.1111/jiec.12960")</f>
        <v>http://dx.doi.org/10.1111/jiec.12960</v>
      </c>
      <c r="BG699"/>
      <c r="BH699" t="s">
        <v>4924</v>
      </c>
      <c r="BI699"/>
      <c r="BJ699" t="s">
        <v>139</v>
      </c>
      <c r="BK699"/>
      <c r="BL699"/>
      <c r="BM699"/>
      <c r="BN699"/>
      <c r="BO699"/>
      <c r="BP699"/>
      <c r="BQ699"/>
      <c r="BR699"/>
      <c r="BS699"/>
      <c r="BT699" t="str">
        <f>HYPERLINK("https%3A%2F%2Fwww.webofscience.com%2Fwos%2Fwoscc%2Ffull-record%2F","View Full Record in Web of Science")</f>
        <v>View Full Record in Web of Science</v>
      </c>
    </row>
    <row r="700" spans="1:72" customHeight="1" ht="12.75">
      <c r="A700" t="s">
        <v>72</v>
      </c>
      <c r="B700" t="s">
        <v>4925</v>
      </c>
      <c r="C700"/>
      <c r="D700"/>
      <c r="E700"/>
      <c r="F700" t="s">
        <v>4926</v>
      </c>
      <c r="G700"/>
      <c r="H700"/>
      <c r="I700" t="s">
        <v>4927</v>
      </c>
      <c r="J700" t="s">
        <v>87</v>
      </c>
      <c r="K700"/>
      <c r="L700"/>
      <c r="M700"/>
      <c r="N700" t="s">
        <v>112</v>
      </c>
      <c r="O700"/>
      <c r="P700"/>
      <c r="Q700"/>
      <c r="R700"/>
      <c r="S700"/>
      <c r="T700" t="s">
        <v>4928</v>
      </c>
      <c r="U700" t="s">
        <v>4929</v>
      </c>
      <c r="V700"/>
      <c r="W700"/>
      <c r="X700"/>
      <c r="Y700"/>
      <c r="Z700"/>
      <c r="AA700"/>
      <c r="AB700"/>
      <c r="AC700"/>
      <c r="AD700"/>
      <c r="AE700"/>
      <c r="AF700"/>
      <c r="AG700"/>
      <c r="AH700">
        <v>37</v>
      </c>
      <c r="AI700">
        <v>43</v>
      </c>
      <c r="AJ700"/>
      <c r="AK700"/>
      <c r="AL700"/>
      <c r="AM700"/>
      <c r="AN700"/>
      <c r="AO700" t="s">
        <v>90</v>
      </c>
      <c r="AP700" t="s">
        <v>91</v>
      </c>
      <c r="AQ700"/>
      <c r="AR700"/>
      <c r="AS700"/>
      <c r="AT700" t="s">
        <v>117</v>
      </c>
      <c r="AU700">
        <v>2018</v>
      </c>
      <c r="AV700">
        <v>88</v>
      </c>
      <c r="AW700"/>
      <c r="AX700"/>
      <c r="AY700"/>
      <c r="AZ700"/>
      <c r="BA700"/>
      <c r="BB700">
        <v>152</v>
      </c>
      <c r="BC700">
        <v>160</v>
      </c>
      <c r="BD700"/>
      <c r="BE700" t="s">
        <v>4930</v>
      </c>
      <c r="BF700" t="str">
        <f>HYPERLINK("http://dx.doi.org/10.1016/j.ecolind.2017.12.069","http://dx.doi.org/10.1016/j.ecolind.2017.12.069")</f>
        <v>http://dx.doi.org/10.1016/j.ecolind.2017.12.069</v>
      </c>
      <c r="BG700"/>
      <c r="BH700"/>
      <c r="BI700"/>
      <c r="BJ700" t="s">
        <v>94</v>
      </c>
      <c r="BK700"/>
      <c r="BL700"/>
      <c r="BM700"/>
      <c r="BN700"/>
      <c r="BO700"/>
      <c r="BP700"/>
      <c r="BQ700"/>
      <c r="BR700"/>
      <c r="BS700"/>
      <c r="BT700" t="str">
        <f>HYPERLINK("https%3A%2F%2Fwww.webofscience.com%2Fwos%2Fwoscc%2Ffull-record%2F","View Full Record in Web of Science")</f>
        <v>View Full Record in Web of Science</v>
      </c>
    </row>
    <row r="701" spans="1:72" customHeight="1" ht="12.75">
      <c r="A701" t="s">
        <v>72</v>
      </c>
      <c r="B701" t="s">
        <v>4931</v>
      </c>
      <c r="C701"/>
      <c r="D701"/>
      <c r="E701"/>
      <c r="F701" t="s">
        <v>4932</v>
      </c>
      <c r="G701"/>
      <c r="H701"/>
      <c r="I701" t="s">
        <v>4933</v>
      </c>
      <c r="J701" t="s">
        <v>1949</v>
      </c>
      <c r="K701"/>
      <c r="L701"/>
      <c r="M701"/>
      <c r="N701" t="s">
        <v>112</v>
      </c>
      <c r="O701"/>
      <c r="P701"/>
      <c r="Q701"/>
      <c r="R701"/>
      <c r="S701"/>
      <c r="T701" t="s">
        <v>4934</v>
      </c>
      <c r="U701" t="s">
        <v>4935</v>
      </c>
      <c r="V701"/>
      <c r="W701"/>
      <c r="X701"/>
      <c r="Y701"/>
      <c r="Z701"/>
      <c r="AA701"/>
      <c r="AB701"/>
      <c r="AC701"/>
      <c r="AD701"/>
      <c r="AE701"/>
      <c r="AF701"/>
      <c r="AG701"/>
      <c r="AH701">
        <v>4</v>
      </c>
      <c r="AI701">
        <v>4</v>
      </c>
      <c r="AJ701"/>
      <c r="AK701"/>
      <c r="AL701"/>
      <c r="AM701"/>
      <c r="AN701"/>
      <c r="AO701"/>
      <c r="AP701" t="s">
        <v>1952</v>
      </c>
      <c r="AQ701"/>
      <c r="AR701"/>
      <c r="AS701"/>
      <c r="AT701" t="s">
        <v>4936</v>
      </c>
      <c r="AU701">
        <v>2021</v>
      </c>
      <c r="AV701">
        <v>7</v>
      </c>
      <c r="AW701"/>
      <c r="AX701"/>
      <c r="AY701"/>
      <c r="AZ701"/>
      <c r="BA701"/>
      <c r="BB701"/>
      <c r="BC701"/>
      <c r="BD701">
        <v>748842</v>
      </c>
      <c r="BE701" t="s">
        <v>4937</v>
      </c>
      <c r="BF701" t="str">
        <f>HYPERLINK("http://dx.doi.org/10.3389/fbuil.2021.748842","http://dx.doi.org/10.3389/fbuil.2021.748842")</f>
        <v>http://dx.doi.org/10.3389/fbuil.2021.748842</v>
      </c>
      <c r="BG701"/>
      <c r="BH701"/>
      <c r="BI701"/>
      <c r="BJ701" t="s">
        <v>814</v>
      </c>
      <c r="BK701"/>
      <c r="BL701"/>
      <c r="BM701"/>
      <c r="BN701"/>
      <c r="BO701"/>
      <c r="BP701"/>
      <c r="BQ701"/>
      <c r="BR701"/>
      <c r="BS701"/>
      <c r="BT701" t="str">
        <f>HYPERLINK("https%3A%2F%2Fwww.webofscience.com%2Fwos%2Fwoscc%2Ffull-record%2F","View Full Record in Web of Science")</f>
        <v>View Full Record in Web of Science</v>
      </c>
    </row>
    <row r="702" spans="1:72" customHeight="1" ht="12.75">
      <c r="A702" t="s">
        <v>72</v>
      </c>
      <c r="B702" t="s">
        <v>4938</v>
      </c>
      <c r="C702"/>
      <c r="D702"/>
      <c r="E702"/>
      <c r="F702" t="s">
        <v>4939</v>
      </c>
      <c r="G702"/>
      <c r="H702"/>
      <c r="I702" t="s">
        <v>4940</v>
      </c>
      <c r="J702" t="s">
        <v>587</v>
      </c>
      <c r="K702"/>
      <c r="L702"/>
      <c r="M702"/>
      <c r="N702" t="s">
        <v>112</v>
      </c>
      <c r="O702"/>
      <c r="P702"/>
      <c r="Q702"/>
      <c r="R702"/>
      <c r="S702"/>
      <c r="T702" t="s">
        <v>4941</v>
      </c>
      <c r="U702" t="s">
        <v>4942</v>
      </c>
      <c r="V702"/>
      <c r="W702"/>
      <c r="X702"/>
      <c r="Y702"/>
      <c r="Z702"/>
      <c r="AA702"/>
      <c r="AB702"/>
      <c r="AC702"/>
      <c r="AD702"/>
      <c r="AE702"/>
      <c r="AF702"/>
      <c r="AG702"/>
      <c r="AH702">
        <v>17</v>
      </c>
      <c r="AI702">
        <v>17</v>
      </c>
      <c r="AJ702"/>
      <c r="AK702"/>
      <c r="AL702"/>
      <c r="AM702"/>
      <c r="AN702"/>
      <c r="AO702" t="s">
        <v>590</v>
      </c>
      <c r="AP702" t="s">
        <v>591</v>
      </c>
      <c r="AQ702"/>
      <c r="AR702"/>
      <c r="AS702"/>
      <c r="AT702" t="s">
        <v>362</v>
      </c>
      <c r="AU702">
        <v>2017</v>
      </c>
      <c r="AV702">
        <v>153</v>
      </c>
      <c r="AW702">
        <v>1</v>
      </c>
      <c r="AX702"/>
      <c r="AY702"/>
      <c r="AZ702"/>
      <c r="BA702"/>
      <c r="BB702">
        <v>195</v>
      </c>
      <c r="BC702">
        <v>208</v>
      </c>
      <c r="BD702"/>
      <c r="BE702" t="s">
        <v>4943</v>
      </c>
      <c r="BF702" t="str">
        <f>HYPERLINK("http://dx.doi.org/10.1016/j.jclepro.2017.03.194","http://dx.doi.org/10.1016/j.jclepro.2017.03.194")</f>
        <v>http://dx.doi.org/10.1016/j.jclepro.2017.03.194</v>
      </c>
      <c r="BG702"/>
      <c r="BH702"/>
      <c r="BI702"/>
      <c r="BJ702" t="s">
        <v>139</v>
      </c>
      <c r="BK702"/>
      <c r="BL702"/>
      <c r="BM702"/>
      <c r="BN702"/>
      <c r="BO702"/>
      <c r="BP702"/>
      <c r="BQ702"/>
      <c r="BR702"/>
      <c r="BS702"/>
      <c r="BT702" t="str">
        <f>HYPERLINK("https%3A%2F%2Fwww.webofscience.com%2Fwos%2Fwoscc%2Ffull-record%2F","View Full Record in Web of Science")</f>
        <v>View Full Record in Web of Science</v>
      </c>
    </row>
    <row r="703" spans="1:72" customHeight="1" ht="12.75">
      <c r="A703" t="s">
        <v>72</v>
      </c>
      <c r="B703" t="s">
        <v>4944</v>
      </c>
      <c r="C703"/>
      <c r="D703"/>
      <c r="E703"/>
      <c r="F703" t="s">
        <v>4945</v>
      </c>
      <c r="G703"/>
      <c r="H703"/>
      <c r="I703" t="s">
        <v>4946</v>
      </c>
      <c r="J703" t="s">
        <v>587</v>
      </c>
      <c r="K703"/>
      <c r="L703"/>
      <c r="M703"/>
      <c r="N703" t="s">
        <v>112</v>
      </c>
      <c r="O703"/>
      <c r="P703"/>
      <c r="Q703"/>
      <c r="R703"/>
      <c r="S703"/>
      <c r="T703" t="s">
        <v>4947</v>
      </c>
      <c r="U703" t="s">
        <v>4948</v>
      </c>
      <c r="V703"/>
      <c r="W703"/>
      <c r="X703"/>
      <c r="Y703"/>
      <c r="Z703"/>
      <c r="AA703"/>
      <c r="AB703"/>
      <c r="AC703"/>
      <c r="AD703"/>
      <c r="AE703"/>
      <c r="AF703"/>
      <c r="AG703"/>
      <c r="AH703">
        <v>22</v>
      </c>
      <c r="AI703">
        <v>22</v>
      </c>
      <c r="AJ703"/>
      <c r="AK703"/>
      <c r="AL703"/>
      <c r="AM703"/>
      <c r="AN703"/>
      <c r="AO703" t="s">
        <v>590</v>
      </c>
      <c r="AP703" t="s">
        <v>591</v>
      </c>
      <c r="AQ703"/>
      <c r="AR703"/>
      <c r="AS703"/>
      <c r="AT703" t="s">
        <v>490</v>
      </c>
      <c r="AU703">
        <v>2017</v>
      </c>
      <c r="AV703">
        <v>140</v>
      </c>
      <c r="AW703"/>
      <c r="AX703">
        <v>3</v>
      </c>
      <c r="AY703"/>
      <c r="AZ703"/>
      <c r="BA703"/>
      <c r="BB703">
        <v>1587</v>
      </c>
      <c r="BC703">
        <v>1601</v>
      </c>
      <c r="BD703"/>
      <c r="BE703" t="s">
        <v>4949</v>
      </c>
      <c r="BF703" t="str">
        <f>HYPERLINK("http://dx.doi.org/10.1016/j.jclepro.2016.09.199","http://dx.doi.org/10.1016/j.jclepro.2016.09.199")</f>
        <v>http://dx.doi.org/10.1016/j.jclepro.2016.09.199</v>
      </c>
      <c r="BG703"/>
      <c r="BH703"/>
      <c r="BI703"/>
      <c r="BJ703" t="s">
        <v>139</v>
      </c>
      <c r="BK703"/>
      <c r="BL703"/>
      <c r="BM703"/>
      <c r="BN703"/>
      <c r="BO703"/>
      <c r="BP703"/>
      <c r="BQ703"/>
      <c r="BR703"/>
      <c r="BS703"/>
      <c r="BT703" t="str">
        <f>HYPERLINK("https%3A%2F%2Fwww.webofscience.com%2Fwos%2Fwoscc%2Ffull-record%2F","View Full Record in Web of Science")</f>
        <v>View Full Record in Web of Science</v>
      </c>
    </row>
    <row r="704" spans="1:72" customHeight="1" ht="12.75">
      <c r="A704" t="s">
        <v>72</v>
      </c>
      <c r="B704" t="s">
        <v>4950</v>
      </c>
      <c r="C704"/>
      <c r="D704"/>
      <c r="E704"/>
      <c r="F704" t="s">
        <v>4951</v>
      </c>
      <c r="G704"/>
      <c r="H704"/>
      <c r="I704" t="s">
        <v>4952</v>
      </c>
      <c r="J704" t="s">
        <v>1067</v>
      </c>
      <c r="K704"/>
      <c r="L704"/>
      <c r="M704"/>
      <c r="N704" t="s">
        <v>112</v>
      </c>
      <c r="O704"/>
      <c r="P704"/>
      <c r="Q704"/>
      <c r="R704"/>
      <c r="S704"/>
      <c r="T704" t="s">
        <v>4953</v>
      </c>
      <c r="U704" t="s">
        <v>4954</v>
      </c>
      <c r="V704"/>
      <c r="W704"/>
      <c r="X704"/>
      <c r="Y704"/>
      <c r="Z704"/>
      <c r="AA704"/>
      <c r="AB704"/>
      <c r="AC704"/>
      <c r="AD704"/>
      <c r="AE704"/>
      <c r="AF704"/>
      <c r="AG704"/>
      <c r="AH704">
        <v>27</v>
      </c>
      <c r="AI704">
        <v>28</v>
      </c>
      <c r="AJ704"/>
      <c r="AK704"/>
      <c r="AL704"/>
      <c r="AM704"/>
      <c r="AN704"/>
      <c r="AO704" t="s">
        <v>1070</v>
      </c>
      <c r="AP704" t="s">
        <v>1071</v>
      </c>
      <c r="AQ704"/>
      <c r="AR704"/>
      <c r="AS704"/>
      <c r="AT704" t="s">
        <v>2621</v>
      </c>
      <c r="AU704">
        <v>2015</v>
      </c>
      <c r="AV704">
        <v>536</v>
      </c>
      <c r="AW704"/>
      <c r="AX704"/>
      <c r="AY704"/>
      <c r="AZ704"/>
      <c r="BA704"/>
      <c r="BB704">
        <v>924</v>
      </c>
      <c r="BC704">
        <v>932</v>
      </c>
      <c r="BD704"/>
      <c r="BE704" t="s">
        <v>4955</v>
      </c>
      <c r="BF704" t="str">
        <f>HYPERLINK("http://dx.doi.org/10.1016/j.scitotenv.2015.06.073","http://dx.doi.org/10.1016/j.scitotenv.2015.06.073")</f>
        <v>http://dx.doi.org/10.1016/j.scitotenv.2015.06.073</v>
      </c>
      <c r="BG704"/>
      <c r="BH704"/>
      <c r="BI704"/>
      <c r="BJ704" t="s">
        <v>224</v>
      </c>
      <c r="BK704"/>
      <c r="BL704"/>
      <c r="BM704"/>
      <c r="BN704"/>
      <c r="BO704"/>
      <c r="BP704"/>
      <c r="BQ704"/>
      <c r="BR704"/>
      <c r="BS704"/>
      <c r="BT704" t="str">
        <f>HYPERLINK("https%3A%2F%2Fwww.webofscience.com%2Fwos%2Fwoscc%2Ffull-record%2F","View Full Record in Web of Science")</f>
        <v>View Full Record in Web of Science</v>
      </c>
    </row>
    <row r="705" spans="1:72" customHeight="1" ht="12.75">
      <c r="A705" t="s">
        <v>72</v>
      </c>
      <c r="B705" t="s">
        <v>4956</v>
      </c>
      <c r="C705"/>
      <c r="D705"/>
      <c r="E705"/>
      <c r="F705" t="s">
        <v>4957</v>
      </c>
      <c r="G705"/>
      <c r="H705"/>
      <c r="I705" t="s">
        <v>4958</v>
      </c>
      <c r="J705" t="s">
        <v>457</v>
      </c>
      <c r="K705"/>
      <c r="L705"/>
      <c r="M705"/>
      <c r="N705" t="s">
        <v>112</v>
      </c>
      <c r="O705"/>
      <c r="P705"/>
      <c r="Q705"/>
      <c r="R705"/>
      <c r="S705"/>
      <c r="T705" t="s">
        <v>4959</v>
      </c>
      <c r="U705" t="s">
        <v>4960</v>
      </c>
      <c r="V705"/>
      <c r="W705"/>
      <c r="X705"/>
      <c r="Y705"/>
      <c r="Z705"/>
      <c r="AA705"/>
      <c r="AB705"/>
      <c r="AC705"/>
      <c r="AD705"/>
      <c r="AE705"/>
      <c r="AF705"/>
      <c r="AG705"/>
      <c r="AH705">
        <v>90</v>
      </c>
      <c r="AI705">
        <v>92</v>
      </c>
      <c r="AJ705"/>
      <c r="AK705"/>
      <c r="AL705"/>
      <c r="AM705"/>
      <c r="AN705"/>
      <c r="AO705" t="s">
        <v>458</v>
      </c>
      <c r="AP705"/>
      <c r="AQ705"/>
      <c r="AR705"/>
      <c r="AS705"/>
      <c r="AT705" t="s">
        <v>3331</v>
      </c>
      <c r="AU705">
        <v>2019</v>
      </c>
      <c r="AV705">
        <v>11</v>
      </c>
      <c r="AW705">
        <v>13</v>
      </c>
      <c r="AX705"/>
      <c r="AY705"/>
      <c r="AZ705"/>
      <c r="BA705"/>
      <c r="BB705"/>
      <c r="BC705"/>
      <c r="BD705">
        <v>3512</v>
      </c>
      <c r="BE705" t="s">
        <v>4961</v>
      </c>
      <c r="BF705" t="str">
        <f>HYPERLINK("http://dx.doi.org/10.3390/su11133512","http://dx.doi.org/10.3390/su11133512")</f>
        <v>http://dx.doi.org/10.3390/su11133512</v>
      </c>
      <c r="BG705"/>
      <c r="BH705"/>
      <c r="BI705"/>
      <c r="BJ705" t="s">
        <v>460</v>
      </c>
      <c r="BK705"/>
      <c r="BL705"/>
      <c r="BM705"/>
      <c r="BN705"/>
      <c r="BO705"/>
      <c r="BP705"/>
      <c r="BQ705"/>
      <c r="BR705"/>
      <c r="BS705"/>
      <c r="BT705" t="str">
        <f>HYPERLINK("https%3A%2F%2Fwww.webofscience.com%2Fwos%2Fwoscc%2Ffull-record%2F","View Full Record in Web of Science")</f>
        <v>View Full Record in Web of Science</v>
      </c>
    </row>
    <row r="706" spans="1:72" customHeight="1" ht="12.75">
      <c r="A706" t="s">
        <v>72</v>
      </c>
      <c r="B706" t="s">
        <v>4962</v>
      </c>
      <c r="C706"/>
      <c r="D706"/>
      <c r="E706"/>
      <c r="F706" t="s">
        <v>4963</v>
      </c>
      <c r="G706"/>
      <c r="H706"/>
      <c r="I706" t="s">
        <v>4964</v>
      </c>
      <c r="J706" t="s">
        <v>133</v>
      </c>
      <c r="K706"/>
      <c r="L706"/>
      <c r="M706"/>
      <c r="N706" t="s">
        <v>112</v>
      </c>
      <c r="O706"/>
      <c r="P706"/>
      <c r="Q706"/>
      <c r="R706"/>
      <c r="S706"/>
      <c r="T706" t="s">
        <v>4965</v>
      </c>
      <c r="U706" t="s">
        <v>4966</v>
      </c>
      <c r="V706"/>
      <c r="W706"/>
      <c r="X706"/>
      <c r="Y706"/>
      <c r="Z706"/>
      <c r="AA706"/>
      <c r="AB706"/>
      <c r="AC706"/>
      <c r="AD706"/>
      <c r="AE706"/>
      <c r="AF706"/>
      <c r="AG706"/>
      <c r="AH706">
        <v>101</v>
      </c>
      <c r="AI706">
        <v>106</v>
      </c>
      <c r="AJ706"/>
      <c r="AK706"/>
      <c r="AL706"/>
      <c r="AM706"/>
      <c r="AN706"/>
      <c r="AO706" t="s">
        <v>136</v>
      </c>
      <c r="AP706" t="s">
        <v>137</v>
      </c>
      <c r="AQ706"/>
      <c r="AR706"/>
      <c r="AS706"/>
      <c r="AT706" t="s">
        <v>362</v>
      </c>
      <c r="AU706">
        <v>2017</v>
      </c>
      <c r="AV706">
        <v>21</v>
      </c>
      <c r="AW706">
        <v>3</v>
      </c>
      <c r="AX706"/>
      <c r="AY706"/>
      <c r="AZ706" t="s">
        <v>222</v>
      </c>
      <c r="BA706"/>
      <c r="BB706">
        <v>572</v>
      </c>
      <c r="BC706">
        <v>592</v>
      </c>
      <c r="BD706"/>
      <c r="BE706" t="s">
        <v>4967</v>
      </c>
      <c r="BF706" t="str">
        <f>HYPERLINK("http://dx.doi.org/10.1111/jiec.12586","http://dx.doi.org/10.1111/jiec.12586")</f>
        <v>http://dx.doi.org/10.1111/jiec.12586</v>
      </c>
      <c r="BG706"/>
      <c r="BH706"/>
      <c r="BI706"/>
      <c r="BJ706" t="s">
        <v>139</v>
      </c>
      <c r="BK706"/>
      <c r="BL706"/>
      <c r="BM706"/>
      <c r="BN706"/>
      <c r="BO706"/>
      <c r="BP706"/>
      <c r="BQ706"/>
      <c r="BR706"/>
      <c r="BS706"/>
      <c r="BT706" t="str">
        <f>HYPERLINK("https%3A%2F%2Fwww.webofscience.com%2Fwos%2Fwoscc%2Ffull-record%2F","View Full Record in Web of Science")</f>
        <v>View Full Record in Web of Science</v>
      </c>
    </row>
    <row r="707" spans="1:72" customHeight="1" ht="12.75">
      <c r="A707" t="s">
        <v>72</v>
      </c>
      <c r="B707" t="s">
        <v>4968</v>
      </c>
      <c r="C707"/>
      <c r="D707"/>
      <c r="E707"/>
      <c r="F707" t="s">
        <v>4969</v>
      </c>
      <c r="G707"/>
      <c r="H707"/>
      <c r="I707" t="s">
        <v>4970</v>
      </c>
      <c r="J707" t="s">
        <v>111</v>
      </c>
      <c r="K707"/>
      <c r="L707"/>
      <c r="M707"/>
      <c r="N707" t="s">
        <v>112</v>
      </c>
      <c r="O707"/>
      <c r="P707"/>
      <c r="Q707"/>
      <c r="R707"/>
      <c r="S707"/>
      <c r="T707" t="s">
        <v>4971</v>
      </c>
      <c r="U707" t="s">
        <v>4972</v>
      </c>
      <c r="V707"/>
      <c r="W707"/>
      <c r="X707"/>
      <c r="Y707"/>
      <c r="Z707"/>
      <c r="AA707"/>
      <c r="AB707"/>
      <c r="AC707"/>
      <c r="AD707"/>
      <c r="AE707"/>
      <c r="AF707"/>
      <c r="AG707"/>
      <c r="AH707">
        <v>96</v>
      </c>
      <c r="AI707">
        <v>115</v>
      </c>
      <c r="AJ707"/>
      <c r="AK707"/>
      <c r="AL707"/>
      <c r="AM707"/>
      <c r="AN707"/>
      <c r="AO707" t="s">
        <v>115</v>
      </c>
      <c r="AP707" t="s">
        <v>116</v>
      </c>
      <c r="AQ707"/>
      <c r="AR707"/>
      <c r="AS707"/>
      <c r="AT707" t="s">
        <v>92</v>
      </c>
      <c r="AU707">
        <v>2007</v>
      </c>
      <c r="AV707">
        <v>52</v>
      </c>
      <c r="AW707">
        <v>1</v>
      </c>
      <c r="AX707"/>
      <c r="AY707"/>
      <c r="AZ707"/>
      <c r="BA707"/>
      <c r="BB707">
        <v>74</v>
      </c>
      <c r="BC707">
        <v>94</v>
      </c>
      <c r="BD707"/>
      <c r="BE707" t="s">
        <v>4973</v>
      </c>
      <c r="BF707" t="str">
        <f>HYPERLINK("http://dx.doi.org/10.1016/j.resconrec.2007.02.003","http://dx.doi.org/10.1016/j.resconrec.2007.02.003")</f>
        <v>http://dx.doi.org/10.1016/j.resconrec.2007.02.003</v>
      </c>
      <c r="BG707"/>
      <c r="BH707"/>
      <c r="BI707"/>
      <c r="BJ707" t="s">
        <v>119</v>
      </c>
      <c r="BK707"/>
      <c r="BL707"/>
      <c r="BM707"/>
      <c r="BN707"/>
      <c r="BO707"/>
      <c r="BP707"/>
      <c r="BQ707"/>
      <c r="BR707"/>
      <c r="BS707"/>
      <c r="BT707" t="str">
        <f>HYPERLINK("https%3A%2F%2Fwww.webofscience.com%2Fwos%2Fwoscc%2Ffull-record%2F","View Full Record in Web of Science")</f>
        <v>View Full Record in Web of Science</v>
      </c>
    </row>
    <row r="708" spans="1:72" customHeight="1" ht="12.75">
      <c r="A708" t="s">
        <v>72</v>
      </c>
      <c r="B708" t="s">
        <v>4974</v>
      </c>
      <c r="C708"/>
      <c r="D708"/>
      <c r="E708"/>
      <c r="F708" t="s">
        <v>4975</v>
      </c>
      <c r="G708"/>
      <c r="H708"/>
      <c r="I708" t="s">
        <v>4976</v>
      </c>
      <c r="J708" t="s">
        <v>1067</v>
      </c>
      <c r="K708"/>
      <c r="L708"/>
      <c r="M708"/>
      <c r="N708" t="s">
        <v>112</v>
      </c>
      <c r="O708"/>
      <c r="P708"/>
      <c r="Q708"/>
      <c r="R708"/>
      <c r="S708"/>
      <c r="T708" t="s">
        <v>4977</v>
      </c>
      <c r="U708" t="s">
        <v>4978</v>
      </c>
      <c r="V708"/>
      <c r="W708"/>
      <c r="X708"/>
      <c r="Y708"/>
      <c r="Z708"/>
      <c r="AA708"/>
      <c r="AB708"/>
      <c r="AC708"/>
      <c r="AD708"/>
      <c r="AE708"/>
      <c r="AF708"/>
      <c r="AG708"/>
      <c r="AH708">
        <v>52</v>
      </c>
      <c r="AI708">
        <v>54</v>
      </c>
      <c r="AJ708"/>
      <c r="AK708"/>
      <c r="AL708"/>
      <c r="AM708"/>
      <c r="AN708"/>
      <c r="AO708" t="s">
        <v>1070</v>
      </c>
      <c r="AP708" t="s">
        <v>1071</v>
      </c>
      <c r="AQ708"/>
      <c r="AR708"/>
      <c r="AS708"/>
      <c r="AT708" t="s">
        <v>2501</v>
      </c>
      <c r="AU708">
        <v>2021</v>
      </c>
      <c r="AV708">
        <v>758</v>
      </c>
      <c r="AW708"/>
      <c r="AX708"/>
      <c r="AY708"/>
      <c r="AZ708"/>
      <c r="BA708"/>
      <c r="BB708"/>
      <c r="BC708"/>
      <c r="BD708">
        <v>143931</v>
      </c>
      <c r="BE708" t="s">
        <v>4979</v>
      </c>
      <c r="BF708" t="str">
        <f>HYPERLINK("http://dx.doi.org/10.1016/j.scitotenv.2020.143931","http://dx.doi.org/10.1016/j.scitotenv.2020.143931")</f>
        <v>http://dx.doi.org/10.1016/j.scitotenv.2020.143931</v>
      </c>
      <c r="BG708"/>
      <c r="BH708"/>
      <c r="BI708"/>
      <c r="BJ708" t="s">
        <v>224</v>
      </c>
      <c r="BK708"/>
      <c r="BL708"/>
      <c r="BM708"/>
      <c r="BN708"/>
      <c r="BO708"/>
      <c r="BP708"/>
      <c r="BQ708"/>
      <c r="BR708"/>
      <c r="BS708"/>
      <c r="BT708" t="str">
        <f>HYPERLINK("https%3A%2F%2Fwww.webofscience.com%2Fwos%2Fwoscc%2Ffull-record%2F","View Full Record in Web of Science")</f>
        <v>View Full Record in Web of Science</v>
      </c>
    </row>
    <row r="709" spans="1:72" customHeight="1" ht="12.75">
      <c r="A709" t="s">
        <v>72</v>
      </c>
      <c r="B709" t="s">
        <v>4980</v>
      </c>
      <c r="C709"/>
      <c r="D709"/>
      <c r="E709"/>
      <c r="F709" t="s">
        <v>4981</v>
      </c>
      <c r="G709"/>
      <c r="H709"/>
      <c r="I709" t="s">
        <v>4982</v>
      </c>
      <c r="J709" t="s">
        <v>2566</v>
      </c>
      <c r="K709"/>
      <c r="L709"/>
      <c r="M709"/>
      <c r="N709" t="s">
        <v>112</v>
      </c>
      <c r="O709"/>
      <c r="P709"/>
      <c r="Q709"/>
      <c r="R709"/>
      <c r="S709"/>
      <c r="T709" t="s">
        <v>4983</v>
      </c>
      <c r="U709" t="s">
        <v>4984</v>
      </c>
      <c r="V709"/>
      <c r="W709"/>
      <c r="X709"/>
      <c r="Y709"/>
      <c r="Z709"/>
      <c r="AA709"/>
      <c r="AB709"/>
      <c r="AC709"/>
      <c r="AD709"/>
      <c r="AE709"/>
      <c r="AF709"/>
      <c r="AG709"/>
      <c r="AH709">
        <v>26</v>
      </c>
      <c r="AI709">
        <v>28</v>
      </c>
      <c r="AJ709"/>
      <c r="AK709"/>
      <c r="AL709"/>
      <c r="AM709"/>
      <c r="AN709"/>
      <c r="AO709" t="s">
        <v>2569</v>
      </c>
      <c r="AP709"/>
      <c r="AQ709"/>
      <c r="AR709"/>
      <c r="AS709"/>
      <c r="AT709" t="s">
        <v>4550</v>
      </c>
      <c r="AU709">
        <v>2018</v>
      </c>
      <c r="AV709">
        <v>137</v>
      </c>
      <c r="AW709"/>
      <c r="AX709"/>
      <c r="AY709"/>
      <c r="AZ709"/>
      <c r="BA709"/>
      <c r="BB709">
        <v>395</v>
      </c>
      <c r="BC709">
        <v>406</v>
      </c>
      <c r="BD709"/>
      <c r="BE709" t="s">
        <v>4985</v>
      </c>
      <c r="BF709" t="str">
        <f>HYPERLINK("http://dx.doi.org/10.1016/j.watres.2018.01.070","http://dx.doi.org/10.1016/j.watres.2018.01.070")</f>
        <v>http://dx.doi.org/10.1016/j.watres.2018.01.070</v>
      </c>
      <c r="BG709"/>
      <c r="BH709"/>
      <c r="BI709"/>
      <c r="BJ709" t="s">
        <v>1184</v>
      </c>
      <c r="BK709"/>
      <c r="BL709"/>
      <c r="BM709"/>
      <c r="BN709"/>
      <c r="BO709"/>
      <c r="BP709"/>
      <c r="BQ709"/>
      <c r="BR709"/>
      <c r="BS709"/>
      <c r="BT709" t="str">
        <f>HYPERLINK("https%3A%2F%2Fwww.webofscience.com%2Fwos%2Fwoscc%2Ffull-record%2F","View Full Record in Web of Science")</f>
        <v>View Full Record in Web of Science</v>
      </c>
    </row>
    <row r="710" spans="1:72" customHeight="1" ht="12.75">
      <c r="A710" t="s">
        <v>72</v>
      </c>
      <c r="B710" t="s">
        <v>4986</v>
      </c>
      <c r="C710"/>
      <c r="D710"/>
      <c r="E710"/>
      <c r="F710" t="s">
        <v>4987</v>
      </c>
      <c r="G710"/>
      <c r="H710"/>
      <c r="I710" t="s">
        <v>4988</v>
      </c>
      <c r="J710" t="s">
        <v>510</v>
      </c>
      <c r="K710"/>
      <c r="L710"/>
      <c r="M710"/>
      <c r="N710" t="s">
        <v>112</v>
      </c>
      <c r="O710"/>
      <c r="P710"/>
      <c r="Q710"/>
      <c r="R710"/>
      <c r="S710"/>
      <c r="T710" t="s">
        <v>4989</v>
      </c>
      <c r="U710" t="s">
        <v>4990</v>
      </c>
      <c r="V710"/>
      <c r="W710"/>
      <c r="X710"/>
      <c r="Y710"/>
      <c r="Z710"/>
      <c r="AA710"/>
      <c r="AB710"/>
      <c r="AC710"/>
      <c r="AD710"/>
      <c r="AE710"/>
      <c r="AF710"/>
      <c r="AG710"/>
      <c r="AH710">
        <v>21</v>
      </c>
      <c r="AI710">
        <v>22</v>
      </c>
      <c r="AJ710"/>
      <c r="AK710"/>
      <c r="AL710"/>
      <c r="AM710"/>
      <c r="AN710"/>
      <c r="AO710" t="s">
        <v>511</v>
      </c>
      <c r="AP710" t="s">
        <v>512</v>
      </c>
      <c r="AQ710"/>
      <c r="AR710"/>
      <c r="AS710"/>
      <c r="AT710" t="s">
        <v>3912</v>
      </c>
      <c r="AU710">
        <v>2018</v>
      </c>
      <c r="AV710">
        <v>369</v>
      </c>
      <c r="AW710"/>
      <c r="AX710"/>
      <c r="AY710"/>
      <c r="AZ710"/>
      <c r="BA710"/>
      <c r="BB710">
        <v>66</v>
      </c>
      <c r="BC710">
        <v>76</v>
      </c>
      <c r="BD710"/>
      <c r="BE710" t="s">
        <v>4991</v>
      </c>
      <c r="BF710" t="str">
        <f>HYPERLINK("http://dx.doi.org/10.1016/j.ecolmodel.2017.12.012","http://dx.doi.org/10.1016/j.ecolmodel.2017.12.012")</f>
        <v>http://dx.doi.org/10.1016/j.ecolmodel.2017.12.012</v>
      </c>
      <c r="BG710"/>
      <c r="BH710"/>
      <c r="BI710"/>
      <c r="BJ710" t="s">
        <v>181</v>
      </c>
      <c r="BK710"/>
      <c r="BL710"/>
      <c r="BM710"/>
      <c r="BN710"/>
      <c r="BO710"/>
      <c r="BP710"/>
      <c r="BQ710"/>
      <c r="BR710"/>
      <c r="BS710"/>
      <c r="BT710" t="str">
        <f>HYPERLINK("https%3A%2F%2Fwww.webofscience.com%2Fwos%2Fwoscc%2Ffull-record%2F","View Full Record in Web of Science")</f>
        <v>View Full Record in Web of Science</v>
      </c>
    </row>
    <row r="711" spans="1:72" customHeight="1" ht="12.75">
      <c r="A711" t="s">
        <v>72</v>
      </c>
      <c r="B711" t="s">
        <v>4992</v>
      </c>
      <c r="C711"/>
      <c r="D711"/>
      <c r="E711"/>
      <c r="F711" t="s">
        <v>4993</v>
      </c>
      <c r="G711"/>
      <c r="H711"/>
      <c r="I711" t="s">
        <v>4994</v>
      </c>
      <c r="J711" t="s">
        <v>4171</v>
      </c>
      <c r="K711"/>
      <c r="L711"/>
      <c r="M711"/>
      <c r="N711" t="s">
        <v>112</v>
      </c>
      <c r="O711"/>
      <c r="P711"/>
      <c r="Q711"/>
      <c r="R711"/>
      <c r="S711"/>
      <c r="T711" t="s">
        <v>4995</v>
      </c>
      <c r="U711" t="s">
        <v>4996</v>
      </c>
      <c r="V711"/>
      <c r="W711"/>
      <c r="X711"/>
      <c r="Y711"/>
      <c r="Z711"/>
      <c r="AA711"/>
      <c r="AB711"/>
      <c r="AC711"/>
      <c r="AD711"/>
      <c r="AE711"/>
      <c r="AF711"/>
      <c r="AG711"/>
      <c r="AH711">
        <v>10</v>
      </c>
      <c r="AI711">
        <v>10</v>
      </c>
      <c r="AJ711"/>
      <c r="AK711"/>
      <c r="AL711"/>
      <c r="AM711"/>
      <c r="AN711"/>
      <c r="AO711" t="s">
        <v>4174</v>
      </c>
      <c r="AP711" t="s">
        <v>4175</v>
      </c>
      <c r="AQ711"/>
      <c r="AR711"/>
      <c r="AS711"/>
      <c r="AT711" t="s">
        <v>190</v>
      </c>
      <c r="AU711">
        <v>2020</v>
      </c>
      <c r="AV711">
        <v>80</v>
      </c>
      <c r="AW711"/>
      <c r="AX711"/>
      <c r="AY711"/>
      <c r="AZ711"/>
      <c r="BA711"/>
      <c r="BB711"/>
      <c r="BC711"/>
      <c r="BD711">
        <v>101427</v>
      </c>
      <c r="BE711" t="s">
        <v>4997</v>
      </c>
      <c r="BF711" t="str">
        <f>HYPERLINK("http://dx.doi.org/10.1016/j.compenvurbsys.2019.101427","http://dx.doi.org/10.1016/j.compenvurbsys.2019.101427")</f>
        <v>http://dx.doi.org/10.1016/j.compenvurbsys.2019.101427</v>
      </c>
      <c r="BG711"/>
      <c r="BH711"/>
      <c r="BI711"/>
      <c r="BJ711" t="s">
        <v>4177</v>
      </c>
      <c r="BK711"/>
      <c r="BL711"/>
      <c r="BM711"/>
      <c r="BN711"/>
      <c r="BO711"/>
      <c r="BP711"/>
      <c r="BQ711"/>
      <c r="BR711"/>
      <c r="BS711"/>
      <c r="BT711" t="str">
        <f>HYPERLINK("https%3A%2F%2Fwww.webofscience.com%2Fwos%2Fwoscc%2Ffull-record%2F","View Full Record in Web of Science")</f>
        <v>View Full Record in Web of Science</v>
      </c>
    </row>
    <row r="712" spans="1:72" customHeight="1" ht="12.75">
      <c r="A712" t="s">
        <v>72</v>
      </c>
      <c r="B712" t="s">
        <v>4998</v>
      </c>
      <c r="C712"/>
      <c r="D712"/>
      <c r="E712"/>
      <c r="F712" t="s">
        <v>4999</v>
      </c>
      <c r="G712"/>
      <c r="H712"/>
      <c r="I712" t="s">
        <v>5000</v>
      </c>
      <c r="J712" t="s">
        <v>587</v>
      </c>
      <c r="K712"/>
      <c r="L712"/>
      <c r="M712"/>
      <c r="N712" t="s">
        <v>112</v>
      </c>
      <c r="O712"/>
      <c r="P712"/>
      <c r="Q712"/>
      <c r="R712"/>
      <c r="S712"/>
      <c r="T712" t="s">
        <v>5001</v>
      </c>
      <c r="U712" t="s">
        <v>5002</v>
      </c>
      <c r="V712"/>
      <c r="W712"/>
      <c r="X712"/>
      <c r="Y712"/>
      <c r="Z712"/>
      <c r="AA712"/>
      <c r="AB712"/>
      <c r="AC712"/>
      <c r="AD712"/>
      <c r="AE712"/>
      <c r="AF712"/>
      <c r="AG712"/>
      <c r="AH712">
        <v>66</v>
      </c>
      <c r="AI712">
        <v>68</v>
      </c>
      <c r="AJ712"/>
      <c r="AK712"/>
      <c r="AL712"/>
      <c r="AM712"/>
      <c r="AN712"/>
      <c r="AO712" t="s">
        <v>590</v>
      </c>
      <c r="AP712" t="s">
        <v>591</v>
      </c>
      <c r="AQ712"/>
      <c r="AR712"/>
      <c r="AS712"/>
      <c r="AT712" t="s">
        <v>4400</v>
      </c>
      <c r="AU712">
        <v>2016</v>
      </c>
      <c r="AV712">
        <v>132</v>
      </c>
      <c r="AW712"/>
      <c r="AX712"/>
      <c r="AY712"/>
      <c r="AZ712"/>
      <c r="BA712"/>
      <c r="BB712">
        <v>70</v>
      </c>
      <c r="BC712">
        <v>80</v>
      </c>
      <c r="BD712"/>
      <c r="BE712" t="s">
        <v>5003</v>
      </c>
      <c r="BF712" t="str">
        <f>HYPERLINK("http://dx.doi.org/10.1016/j.jclepro.2015.02.027","http://dx.doi.org/10.1016/j.jclepro.2015.02.027")</f>
        <v>http://dx.doi.org/10.1016/j.jclepro.2015.02.027</v>
      </c>
      <c r="BG712"/>
      <c r="BH712"/>
      <c r="BI712"/>
      <c r="BJ712" t="s">
        <v>139</v>
      </c>
      <c r="BK712"/>
      <c r="BL712"/>
      <c r="BM712"/>
      <c r="BN712"/>
      <c r="BO712"/>
      <c r="BP712"/>
      <c r="BQ712"/>
      <c r="BR712"/>
      <c r="BS712"/>
      <c r="BT712" t="str">
        <f>HYPERLINK("https%3A%2F%2Fwww.webofscience.com%2Fwos%2Fwoscc%2Ffull-record%2F","View Full Record in Web of Science")</f>
        <v>View Full Record in Web of Science</v>
      </c>
    </row>
    <row r="713" spans="1:72" customHeight="1" ht="12.75">
      <c r="A713" t="s">
        <v>72</v>
      </c>
      <c r="B713" t="s">
        <v>5004</v>
      </c>
      <c r="C713"/>
      <c r="D713"/>
      <c r="E713"/>
      <c r="F713" t="s">
        <v>5005</v>
      </c>
      <c r="G713"/>
      <c r="H713"/>
      <c r="I713" t="s">
        <v>5006</v>
      </c>
      <c r="J713" t="s">
        <v>399</v>
      </c>
      <c r="K713"/>
      <c r="L713"/>
      <c r="M713"/>
      <c r="N713" t="s">
        <v>325</v>
      </c>
      <c r="O713"/>
      <c r="P713"/>
      <c r="Q713"/>
      <c r="R713"/>
      <c r="S713"/>
      <c r="T713" t="s">
        <v>5007</v>
      </c>
      <c r="U713" t="s">
        <v>5008</v>
      </c>
      <c r="V713"/>
      <c r="W713"/>
      <c r="X713"/>
      <c r="Y713"/>
      <c r="Z713"/>
      <c r="AA713"/>
      <c r="AB713"/>
      <c r="AC713"/>
      <c r="AD713"/>
      <c r="AE713"/>
      <c r="AF713"/>
      <c r="AG713"/>
      <c r="AH713">
        <v>18</v>
      </c>
      <c r="AI713">
        <v>18</v>
      </c>
      <c r="AJ713"/>
      <c r="AK713"/>
      <c r="AL713"/>
      <c r="AM713"/>
      <c r="AN713"/>
      <c r="AO713" t="s">
        <v>402</v>
      </c>
      <c r="AP713" t="s">
        <v>403</v>
      </c>
      <c r="AQ713"/>
      <c r="AR713"/>
      <c r="AS713"/>
      <c r="AT713" t="s">
        <v>5009</v>
      </c>
      <c r="AU713">
        <v>2022</v>
      </c>
      <c r="AV713">
        <v>143</v>
      </c>
      <c r="AW713"/>
      <c r="AX713"/>
      <c r="AY713"/>
      <c r="AZ713"/>
      <c r="BA713"/>
      <c r="BB713">
        <v>23</v>
      </c>
      <c r="BC713">
        <v>34</v>
      </c>
      <c r="BD713"/>
      <c r="BE713" t="s">
        <v>5010</v>
      </c>
      <c r="BF713" t="str">
        <f>HYPERLINK("http://dx.doi.org/10.1016/j.wasman.2022.02.011","http://dx.doi.org/10.1016/j.wasman.2022.02.011")</f>
        <v>http://dx.doi.org/10.1016/j.wasman.2022.02.011</v>
      </c>
      <c r="BG713"/>
      <c r="BH713" t="s">
        <v>106</v>
      </c>
      <c r="BI713"/>
      <c r="BJ713" t="s">
        <v>119</v>
      </c>
      <c r="BK713"/>
      <c r="BL713"/>
      <c r="BM713"/>
      <c r="BN713"/>
      <c r="BO713"/>
      <c r="BP713"/>
      <c r="BQ713"/>
      <c r="BR713"/>
      <c r="BS713"/>
      <c r="BT713" t="str">
        <f>HYPERLINK("https%3A%2F%2Fwww.webofscience.com%2Fwos%2Fwoscc%2Ffull-record%2F","View Full Record in Web of Science")</f>
        <v>View Full Record in Web of Science</v>
      </c>
    </row>
    <row r="714" spans="1:72" customHeight="1" ht="12.75">
      <c r="A714" t="s">
        <v>72</v>
      </c>
      <c r="B714" t="s">
        <v>5011</v>
      </c>
      <c r="C714"/>
      <c r="D714"/>
      <c r="E714"/>
      <c r="F714" t="s">
        <v>5012</v>
      </c>
      <c r="G714"/>
      <c r="H714"/>
      <c r="I714" t="s">
        <v>5013</v>
      </c>
      <c r="J714" t="s">
        <v>409</v>
      </c>
      <c r="K714"/>
      <c r="L714"/>
      <c r="M714"/>
      <c r="N714" t="s">
        <v>112</v>
      </c>
      <c r="O714"/>
      <c r="P714"/>
      <c r="Q714"/>
      <c r="R714"/>
      <c r="S714"/>
      <c r="T714" t="s">
        <v>5014</v>
      </c>
      <c r="U714" t="s">
        <v>5015</v>
      </c>
      <c r="V714"/>
      <c r="W714"/>
      <c r="X714"/>
      <c r="Y714"/>
      <c r="Z714"/>
      <c r="AA714"/>
      <c r="AB714"/>
      <c r="AC714"/>
      <c r="AD714"/>
      <c r="AE714"/>
      <c r="AF714"/>
      <c r="AG714"/>
      <c r="AH714">
        <v>34</v>
      </c>
      <c r="AI714">
        <v>38</v>
      </c>
      <c r="AJ714"/>
      <c r="AK714"/>
      <c r="AL714"/>
      <c r="AM714"/>
      <c r="AN714"/>
      <c r="AO714" t="s">
        <v>1080</v>
      </c>
      <c r="AP714" t="s">
        <v>1081</v>
      </c>
      <c r="AQ714"/>
      <c r="AR714"/>
      <c r="AS714"/>
      <c r="AT714" t="s">
        <v>394</v>
      </c>
      <c r="AU714">
        <v>2017</v>
      </c>
      <c r="AV714">
        <v>60</v>
      </c>
      <c r="AW714"/>
      <c r="AX714" t="s">
        <v>2294</v>
      </c>
      <c r="AY714"/>
      <c r="AZ714"/>
      <c r="BA714"/>
      <c r="BB714">
        <v>13</v>
      </c>
      <c r="BC714">
        <v>27</v>
      </c>
      <c r="BD714"/>
      <c r="BE714" t="s">
        <v>5016</v>
      </c>
      <c r="BF714" t="str">
        <f>HYPERLINK("http://dx.doi.org/10.1016/j.cities.2016.07.003","http://dx.doi.org/10.1016/j.cities.2016.07.003")</f>
        <v>http://dx.doi.org/10.1016/j.cities.2016.07.003</v>
      </c>
      <c r="BG714"/>
      <c r="BH714"/>
      <c r="BI714"/>
      <c r="BJ714" t="s">
        <v>243</v>
      </c>
      <c r="BK714"/>
      <c r="BL714"/>
      <c r="BM714"/>
      <c r="BN714"/>
      <c r="BO714"/>
      <c r="BP714"/>
      <c r="BQ714"/>
      <c r="BR714"/>
      <c r="BS714"/>
      <c r="BT714" t="str">
        <f>HYPERLINK("https%3A%2F%2Fwww.webofscience.com%2Fwos%2Fwoscc%2Ffull-record%2F","View Full Record in Web of Science")</f>
        <v>View Full Record in Web of Science</v>
      </c>
    </row>
    <row r="715" spans="1:72" customHeight="1" ht="12.75">
      <c r="A715" t="s">
        <v>72</v>
      </c>
      <c r="B715" t="s">
        <v>1296</v>
      </c>
      <c r="C715"/>
      <c r="D715"/>
      <c r="E715"/>
      <c r="F715" t="s">
        <v>1297</v>
      </c>
      <c r="G715"/>
      <c r="H715"/>
      <c r="I715" t="s">
        <v>5017</v>
      </c>
      <c r="J715" t="s">
        <v>510</v>
      </c>
      <c r="K715"/>
      <c r="L715"/>
      <c r="M715"/>
      <c r="N715" t="s">
        <v>112</v>
      </c>
      <c r="O715"/>
      <c r="P715"/>
      <c r="Q715"/>
      <c r="R715"/>
      <c r="S715"/>
      <c r="T715" t="s">
        <v>5018</v>
      </c>
      <c r="U715" t="s">
        <v>5019</v>
      </c>
      <c r="V715"/>
      <c r="W715"/>
      <c r="X715"/>
      <c r="Y715"/>
      <c r="Z715"/>
      <c r="AA715"/>
      <c r="AB715"/>
      <c r="AC715"/>
      <c r="AD715"/>
      <c r="AE715"/>
      <c r="AF715"/>
      <c r="AG715"/>
      <c r="AH715">
        <v>103</v>
      </c>
      <c r="AI715">
        <v>116</v>
      </c>
      <c r="AJ715"/>
      <c r="AK715"/>
      <c r="AL715"/>
      <c r="AM715"/>
      <c r="AN715"/>
      <c r="AO715" t="s">
        <v>511</v>
      </c>
      <c r="AP715" t="s">
        <v>512</v>
      </c>
      <c r="AQ715"/>
      <c r="AR715"/>
      <c r="AS715"/>
      <c r="AT715" t="s">
        <v>3307</v>
      </c>
      <c r="AU715">
        <v>2009</v>
      </c>
      <c r="AV715">
        <v>220</v>
      </c>
      <c r="AW715">
        <v>11</v>
      </c>
      <c r="AX715"/>
      <c r="AY715"/>
      <c r="AZ715"/>
      <c r="BA715"/>
      <c r="BB715">
        <v>1431</v>
      </c>
      <c r="BC715">
        <v>1442</v>
      </c>
      <c r="BD715"/>
      <c r="BE715" t="s">
        <v>5020</v>
      </c>
      <c r="BF715" t="str">
        <f>HYPERLINK("http://dx.doi.org/10.1016/j.ecolmodel.2009.02.001","http://dx.doi.org/10.1016/j.ecolmodel.2009.02.001")</f>
        <v>http://dx.doi.org/10.1016/j.ecolmodel.2009.02.001</v>
      </c>
      <c r="BG715"/>
      <c r="BH715"/>
      <c r="BI715"/>
      <c r="BJ715" t="s">
        <v>181</v>
      </c>
      <c r="BK715"/>
      <c r="BL715"/>
      <c r="BM715"/>
      <c r="BN715"/>
      <c r="BO715"/>
      <c r="BP715"/>
      <c r="BQ715"/>
      <c r="BR715"/>
      <c r="BS715"/>
      <c r="BT715" t="str">
        <f>HYPERLINK("https%3A%2F%2Fwww.webofscience.com%2Fwos%2Fwoscc%2Ffull-record%2F","View Full Record in Web of Science")</f>
        <v>View Full Record in Web of Science</v>
      </c>
    </row>
    <row r="716" spans="1:72" customHeight="1" ht="12.75">
      <c r="A716" t="s">
        <v>72</v>
      </c>
      <c r="B716" t="s">
        <v>5021</v>
      </c>
      <c r="C716"/>
      <c r="D716"/>
      <c r="E716"/>
      <c r="F716" t="s">
        <v>5022</v>
      </c>
      <c r="G716"/>
      <c r="H716"/>
      <c r="I716" t="s">
        <v>5023</v>
      </c>
      <c r="J716" t="s">
        <v>486</v>
      </c>
      <c r="K716"/>
      <c r="L716"/>
      <c r="M716"/>
      <c r="N716" t="s">
        <v>112</v>
      </c>
      <c r="O716"/>
      <c r="P716"/>
      <c r="Q716"/>
      <c r="R716"/>
      <c r="S716"/>
      <c r="T716" t="s">
        <v>5024</v>
      </c>
      <c r="U716" t="s">
        <v>5025</v>
      </c>
      <c r="V716"/>
      <c r="W716"/>
      <c r="X716"/>
      <c r="Y716"/>
      <c r="Z716"/>
      <c r="AA716"/>
      <c r="AB716"/>
      <c r="AC716"/>
      <c r="AD716"/>
      <c r="AE716"/>
      <c r="AF716"/>
      <c r="AG716"/>
      <c r="AH716">
        <v>4</v>
      </c>
      <c r="AI716">
        <v>4</v>
      </c>
      <c r="AJ716"/>
      <c r="AK716"/>
      <c r="AL716"/>
      <c r="AM716"/>
      <c r="AN716"/>
      <c r="AO716"/>
      <c r="AP716" t="s">
        <v>489</v>
      </c>
      <c r="AQ716"/>
      <c r="AR716"/>
      <c r="AS716"/>
      <c r="AT716" t="s">
        <v>117</v>
      </c>
      <c r="AU716">
        <v>2022</v>
      </c>
      <c r="AV716">
        <v>19</v>
      </c>
      <c r="AW716">
        <v>10</v>
      </c>
      <c r="AX716"/>
      <c r="AY716"/>
      <c r="AZ716"/>
      <c r="BA716"/>
      <c r="BB716"/>
      <c r="BC716"/>
      <c r="BD716">
        <v>5793</v>
      </c>
      <c r="BE716" t="s">
        <v>5026</v>
      </c>
      <c r="BF716" t="str">
        <f>HYPERLINK("http://dx.doi.org/10.3390/ijerph19105793","http://dx.doi.org/10.3390/ijerph19105793")</f>
        <v>http://dx.doi.org/10.3390/ijerph19105793</v>
      </c>
      <c r="BG716"/>
      <c r="BH716"/>
      <c r="BI716"/>
      <c r="BJ716" t="s">
        <v>492</v>
      </c>
      <c r="BK716"/>
      <c r="BL716"/>
      <c r="BM716"/>
      <c r="BN716"/>
      <c r="BO716"/>
      <c r="BP716"/>
      <c r="BQ716"/>
      <c r="BR716"/>
      <c r="BS716"/>
      <c r="BT716" t="str">
        <f>HYPERLINK("https%3A%2F%2Fwww.webofscience.com%2Fwos%2Fwoscc%2Ffull-record%2F","View Full Record in Web of Science")</f>
        <v>View Full Record in Web of Science</v>
      </c>
    </row>
    <row r="717" spans="1:72" customHeight="1" ht="12.75">
      <c r="A717" t="s">
        <v>72</v>
      </c>
      <c r="B717" t="s">
        <v>5027</v>
      </c>
      <c r="C717"/>
      <c r="D717"/>
      <c r="E717"/>
      <c r="F717" t="s">
        <v>5028</v>
      </c>
      <c r="G717"/>
      <c r="H717"/>
      <c r="I717" t="s">
        <v>5029</v>
      </c>
      <c r="J717" t="s">
        <v>87</v>
      </c>
      <c r="K717"/>
      <c r="L717"/>
      <c r="M717"/>
      <c r="N717" t="s">
        <v>112</v>
      </c>
      <c r="O717"/>
      <c r="P717"/>
      <c r="Q717"/>
      <c r="R717"/>
      <c r="S717"/>
      <c r="T717" t="s">
        <v>5030</v>
      </c>
      <c r="U717" t="s">
        <v>5031</v>
      </c>
      <c r="V717"/>
      <c r="W717"/>
      <c r="X717"/>
      <c r="Y717"/>
      <c r="Z717"/>
      <c r="AA717"/>
      <c r="AB717"/>
      <c r="AC717"/>
      <c r="AD717"/>
      <c r="AE717"/>
      <c r="AF717"/>
      <c r="AG717"/>
      <c r="AH717">
        <v>43</v>
      </c>
      <c r="AI717">
        <v>45</v>
      </c>
      <c r="AJ717"/>
      <c r="AK717"/>
      <c r="AL717"/>
      <c r="AM717"/>
      <c r="AN717"/>
      <c r="AO717" t="s">
        <v>90</v>
      </c>
      <c r="AP717" t="s">
        <v>91</v>
      </c>
      <c r="AQ717"/>
      <c r="AR717"/>
      <c r="AS717"/>
      <c r="AT717" t="s">
        <v>128</v>
      </c>
      <c r="AU717">
        <v>2018</v>
      </c>
      <c r="AV717">
        <v>95</v>
      </c>
      <c r="AW717"/>
      <c r="AX717">
        <v>1</v>
      </c>
      <c r="AY717"/>
      <c r="AZ717"/>
      <c r="BA717"/>
      <c r="BB717">
        <v>474</v>
      </c>
      <c r="BC717">
        <v>484</v>
      </c>
      <c r="BD717"/>
      <c r="BE717" t="s">
        <v>5032</v>
      </c>
      <c r="BF717" t="str">
        <f>HYPERLINK("http://dx.doi.org/10.1016/j.ecolind.2018.07.053","http://dx.doi.org/10.1016/j.ecolind.2018.07.053")</f>
        <v>http://dx.doi.org/10.1016/j.ecolind.2018.07.053</v>
      </c>
      <c r="BG717"/>
      <c r="BH717"/>
      <c r="BI717"/>
      <c r="BJ717" t="s">
        <v>94</v>
      </c>
      <c r="BK717"/>
      <c r="BL717"/>
      <c r="BM717"/>
      <c r="BN717"/>
      <c r="BO717"/>
      <c r="BP717"/>
      <c r="BQ717"/>
      <c r="BR717"/>
      <c r="BS717"/>
      <c r="BT717" t="str">
        <f>HYPERLINK("https%3A%2F%2Fwww.webofscience.com%2Fwos%2Fwoscc%2Ffull-record%2F","View Full Record in Web of Science")</f>
        <v>View Full Record in Web of Science</v>
      </c>
    </row>
    <row r="718" spans="1:72" customHeight="1" ht="12.75">
      <c r="A718" t="s">
        <v>72</v>
      </c>
      <c r="B718" t="s">
        <v>5033</v>
      </c>
      <c r="C718"/>
      <c r="D718"/>
      <c r="E718"/>
      <c r="F718" t="s">
        <v>5034</v>
      </c>
      <c r="G718"/>
      <c r="H718"/>
      <c r="I718" t="s">
        <v>5035</v>
      </c>
      <c r="J718" t="s">
        <v>3461</v>
      </c>
      <c r="K718"/>
      <c r="L718"/>
      <c r="M718"/>
      <c r="N718" t="s">
        <v>112</v>
      </c>
      <c r="O718"/>
      <c r="P718"/>
      <c r="Q718"/>
      <c r="R718"/>
      <c r="S718"/>
      <c r="T718" t="s">
        <v>5036</v>
      </c>
      <c r="U718" t="s">
        <v>5037</v>
      </c>
      <c r="V718"/>
      <c r="W718"/>
      <c r="X718"/>
      <c r="Y718"/>
      <c r="Z718"/>
      <c r="AA718"/>
      <c r="AB718"/>
      <c r="AC718"/>
      <c r="AD718"/>
      <c r="AE718"/>
      <c r="AF718"/>
      <c r="AG718"/>
      <c r="AH718">
        <v>17</v>
      </c>
      <c r="AI718">
        <v>17</v>
      </c>
      <c r="AJ718"/>
      <c r="AK718"/>
      <c r="AL718"/>
      <c r="AM718"/>
      <c r="AN718"/>
      <c r="AO718" t="s">
        <v>3464</v>
      </c>
      <c r="AP718" t="s">
        <v>3465</v>
      </c>
      <c r="AQ718"/>
      <c r="AR718"/>
      <c r="AS718"/>
      <c r="AT718" t="s">
        <v>128</v>
      </c>
      <c r="AU718">
        <v>2017</v>
      </c>
      <c r="AV718">
        <v>42</v>
      </c>
      <c r="AW718">
        <v>4</v>
      </c>
      <c r="AX718"/>
      <c r="AY718"/>
      <c r="AZ718"/>
      <c r="BA718"/>
      <c r="BB718">
        <v>559</v>
      </c>
      <c r="BC718">
        <v>571</v>
      </c>
      <c r="BD718"/>
      <c r="BE718" t="s">
        <v>5038</v>
      </c>
      <c r="BF718" t="str">
        <f>HYPERLINK("http://dx.doi.org/10.1111/tran.12187","http://dx.doi.org/10.1111/tran.12187")</f>
        <v>http://dx.doi.org/10.1111/tran.12187</v>
      </c>
      <c r="BG718"/>
      <c r="BH718"/>
      <c r="BI718"/>
      <c r="BJ718" t="s">
        <v>83</v>
      </c>
      <c r="BK718"/>
      <c r="BL718"/>
      <c r="BM718"/>
      <c r="BN718"/>
      <c r="BO718"/>
      <c r="BP718"/>
      <c r="BQ718"/>
      <c r="BR718"/>
      <c r="BS718"/>
      <c r="BT718" t="str">
        <f>HYPERLINK("https%3A%2F%2Fwww.webofscience.com%2Fwos%2Fwoscc%2Ffull-record%2F","View Full Record in Web of Science")</f>
        <v>View Full Record in Web of Science</v>
      </c>
    </row>
    <row r="719" spans="1:72" customHeight="1" ht="12.75">
      <c r="A719" t="s">
        <v>72</v>
      </c>
      <c r="B719" t="s">
        <v>5039</v>
      </c>
      <c r="C719"/>
      <c r="D719"/>
      <c r="E719"/>
      <c r="F719" t="s">
        <v>5040</v>
      </c>
      <c r="G719"/>
      <c r="H719"/>
      <c r="I719" t="s">
        <v>5041</v>
      </c>
      <c r="J719" t="s">
        <v>587</v>
      </c>
      <c r="K719"/>
      <c r="L719"/>
      <c r="M719"/>
      <c r="N719" t="s">
        <v>112</v>
      </c>
      <c r="O719"/>
      <c r="P719"/>
      <c r="Q719"/>
      <c r="R719"/>
      <c r="S719"/>
      <c r="T719" t="s">
        <v>5042</v>
      </c>
      <c r="U719" t="s">
        <v>5043</v>
      </c>
      <c r="V719"/>
      <c r="W719"/>
      <c r="X719"/>
      <c r="Y719"/>
      <c r="Z719"/>
      <c r="AA719"/>
      <c r="AB719"/>
      <c r="AC719"/>
      <c r="AD719"/>
      <c r="AE719"/>
      <c r="AF719"/>
      <c r="AG719"/>
      <c r="AH719">
        <v>8</v>
      </c>
      <c r="AI719">
        <v>9</v>
      </c>
      <c r="AJ719"/>
      <c r="AK719"/>
      <c r="AL719"/>
      <c r="AM719"/>
      <c r="AN719"/>
      <c r="AO719" t="s">
        <v>590</v>
      </c>
      <c r="AP719" t="s">
        <v>591</v>
      </c>
      <c r="AQ719"/>
      <c r="AR719"/>
      <c r="AS719"/>
      <c r="AT719" t="s">
        <v>5044</v>
      </c>
      <c r="AU719">
        <v>2019</v>
      </c>
      <c r="AV719">
        <v>241</v>
      </c>
      <c r="AW719"/>
      <c r="AX719"/>
      <c r="AY719"/>
      <c r="AZ719"/>
      <c r="BA719"/>
      <c r="BB719"/>
      <c r="BC719"/>
      <c r="BD719">
        <v>118236</v>
      </c>
      <c r="BE719" t="s">
        <v>5045</v>
      </c>
      <c r="BF719" t="str">
        <f>HYPERLINK("http://dx.doi.org/10.1016/j.jclepro.2019.118236","http://dx.doi.org/10.1016/j.jclepro.2019.118236")</f>
        <v>http://dx.doi.org/10.1016/j.jclepro.2019.118236</v>
      </c>
      <c r="BG719"/>
      <c r="BH719"/>
      <c r="BI719"/>
      <c r="BJ719" t="s">
        <v>139</v>
      </c>
      <c r="BK719"/>
      <c r="BL719"/>
      <c r="BM719"/>
      <c r="BN719"/>
      <c r="BO719"/>
      <c r="BP719"/>
      <c r="BQ719"/>
      <c r="BR719"/>
      <c r="BS719"/>
      <c r="BT719" t="str">
        <f>HYPERLINK("https%3A%2F%2Fwww.webofscience.com%2Fwos%2Fwoscc%2Ffull-record%2F","View Full Record in Web of Science")</f>
        <v>View Full Record in Web of Science</v>
      </c>
    </row>
    <row r="720" spans="1:72" customHeight="1" ht="12.75">
      <c r="A720" t="s">
        <v>72</v>
      </c>
      <c r="B720" t="s">
        <v>5046</v>
      </c>
      <c r="C720"/>
      <c r="D720"/>
      <c r="E720"/>
      <c r="F720" t="s">
        <v>5047</v>
      </c>
      <c r="G720"/>
      <c r="H720"/>
      <c r="I720" t="s">
        <v>5048</v>
      </c>
      <c r="J720" t="s">
        <v>111</v>
      </c>
      <c r="K720"/>
      <c r="L720"/>
      <c r="M720"/>
      <c r="N720" t="s">
        <v>112</v>
      </c>
      <c r="O720"/>
      <c r="P720"/>
      <c r="Q720"/>
      <c r="R720"/>
      <c r="S720"/>
      <c r="T720" t="s">
        <v>5049</v>
      </c>
      <c r="U720" t="s">
        <v>5050</v>
      </c>
      <c r="V720"/>
      <c r="W720"/>
      <c r="X720"/>
      <c r="Y720"/>
      <c r="Z720"/>
      <c r="AA720"/>
      <c r="AB720"/>
      <c r="AC720"/>
      <c r="AD720"/>
      <c r="AE720"/>
      <c r="AF720"/>
      <c r="AG720"/>
      <c r="AH720">
        <v>32</v>
      </c>
      <c r="AI720">
        <v>34</v>
      </c>
      <c r="AJ720"/>
      <c r="AK720"/>
      <c r="AL720"/>
      <c r="AM720"/>
      <c r="AN720"/>
      <c r="AO720" t="s">
        <v>115</v>
      </c>
      <c r="AP720" t="s">
        <v>116</v>
      </c>
      <c r="AQ720"/>
      <c r="AR720"/>
      <c r="AS720"/>
      <c r="AT720" t="s">
        <v>117</v>
      </c>
      <c r="AU720">
        <v>2018</v>
      </c>
      <c r="AV720">
        <v>132</v>
      </c>
      <c r="AW720"/>
      <c r="AX720"/>
      <c r="AY720"/>
      <c r="AZ720"/>
      <c r="BA720"/>
      <c r="BB720">
        <v>339</v>
      </c>
      <c r="BC720">
        <v>351</v>
      </c>
      <c r="BD720"/>
      <c r="BE720" t="s">
        <v>5051</v>
      </c>
      <c r="BF720" t="str">
        <f>HYPERLINK("http://dx.doi.org/10.1016/j.resconrec.2017.05.010","http://dx.doi.org/10.1016/j.resconrec.2017.05.010")</f>
        <v>http://dx.doi.org/10.1016/j.resconrec.2017.05.010</v>
      </c>
      <c r="BG720"/>
      <c r="BH720"/>
      <c r="BI720"/>
      <c r="BJ720" t="s">
        <v>119</v>
      </c>
      <c r="BK720"/>
      <c r="BL720"/>
      <c r="BM720"/>
      <c r="BN720"/>
      <c r="BO720"/>
      <c r="BP720"/>
      <c r="BQ720"/>
      <c r="BR720"/>
      <c r="BS720"/>
      <c r="BT720" t="str">
        <f>HYPERLINK("https%3A%2F%2Fwww.webofscience.com%2Fwos%2Fwoscc%2Ffull-record%2F","View Full Record in Web of Science")</f>
        <v>View Full Record in Web of Science</v>
      </c>
    </row>
    <row r="721" spans="1:72" customHeight="1" ht="12.75">
      <c r="A721" t="s">
        <v>72</v>
      </c>
      <c r="B721" t="s">
        <v>5052</v>
      </c>
      <c r="C721"/>
      <c r="D721"/>
      <c r="E721"/>
      <c r="F721" t="s">
        <v>5053</v>
      </c>
      <c r="G721"/>
      <c r="H721"/>
      <c r="I721" t="s">
        <v>5054</v>
      </c>
      <c r="J721" t="s">
        <v>283</v>
      </c>
      <c r="K721"/>
      <c r="L721"/>
      <c r="M721"/>
      <c r="N721" t="s">
        <v>112</v>
      </c>
      <c r="O721"/>
      <c r="P721"/>
      <c r="Q721"/>
      <c r="R721"/>
      <c r="S721"/>
      <c r="T721" t="s">
        <v>5055</v>
      </c>
      <c r="U721" t="s">
        <v>5056</v>
      </c>
      <c r="V721"/>
      <c r="W721"/>
      <c r="X721"/>
      <c r="Y721"/>
      <c r="Z721"/>
      <c r="AA721"/>
      <c r="AB721"/>
      <c r="AC721"/>
      <c r="AD721"/>
      <c r="AE721"/>
      <c r="AF721"/>
      <c r="AG721"/>
      <c r="AH721">
        <v>4</v>
      </c>
      <c r="AI721">
        <v>5</v>
      </c>
      <c r="AJ721"/>
      <c r="AK721"/>
      <c r="AL721"/>
      <c r="AM721"/>
      <c r="AN721"/>
      <c r="AO721" t="s">
        <v>286</v>
      </c>
      <c r="AP721" t="s">
        <v>287</v>
      </c>
      <c r="AQ721"/>
      <c r="AR721"/>
      <c r="AS721"/>
      <c r="AT721" t="s">
        <v>128</v>
      </c>
      <c r="AU721">
        <v>2021</v>
      </c>
      <c r="AV721">
        <v>127</v>
      </c>
      <c r="AW721"/>
      <c r="AX721"/>
      <c r="AY721"/>
      <c r="AZ721"/>
      <c r="BA721"/>
      <c r="BB721">
        <v>424</v>
      </c>
      <c r="BC721">
        <v>434</v>
      </c>
      <c r="BD721"/>
      <c r="BE721" t="s">
        <v>5057</v>
      </c>
      <c r="BF721" t="str">
        <f>HYPERLINK("http://dx.doi.org/10.1016/j.geoforum.2021.03.005","http://dx.doi.org/10.1016/j.geoforum.2021.03.005")</f>
        <v>http://dx.doi.org/10.1016/j.geoforum.2021.03.005</v>
      </c>
      <c r="BG721"/>
      <c r="BH721"/>
      <c r="BI721"/>
      <c r="BJ721" t="s">
        <v>83</v>
      </c>
      <c r="BK721"/>
      <c r="BL721"/>
      <c r="BM721"/>
      <c r="BN721"/>
      <c r="BO721"/>
      <c r="BP721"/>
      <c r="BQ721"/>
      <c r="BR721"/>
      <c r="BS721"/>
      <c r="BT721" t="str">
        <f>HYPERLINK("https%3A%2F%2Fwww.webofscience.com%2Fwos%2Fwoscc%2Ffull-record%2F","View Full Record in Web of Science")</f>
        <v>View Full Record in Web of Science</v>
      </c>
    </row>
    <row r="722" spans="1:72" customHeight="1" ht="12.75">
      <c r="A722" t="s">
        <v>72</v>
      </c>
      <c r="B722" t="s">
        <v>5058</v>
      </c>
      <c r="C722"/>
      <c r="D722"/>
      <c r="E722"/>
      <c r="F722" t="s">
        <v>5059</v>
      </c>
      <c r="G722"/>
      <c r="H722"/>
      <c r="I722" t="s">
        <v>5060</v>
      </c>
      <c r="J722" t="s">
        <v>5061</v>
      </c>
      <c r="K722"/>
      <c r="L722"/>
      <c r="M722"/>
      <c r="N722" t="s">
        <v>112</v>
      </c>
      <c r="O722"/>
      <c r="P722"/>
      <c r="Q722"/>
      <c r="R722"/>
      <c r="S722"/>
      <c r="T722" t="s">
        <v>5062</v>
      </c>
      <c r="U722" t="s">
        <v>5063</v>
      </c>
      <c r="V722"/>
      <c r="W722"/>
      <c r="X722"/>
      <c r="Y722"/>
      <c r="Z722"/>
      <c r="AA722"/>
      <c r="AB722"/>
      <c r="AC722"/>
      <c r="AD722"/>
      <c r="AE722"/>
      <c r="AF722"/>
      <c r="AG722"/>
      <c r="AH722">
        <v>9</v>
      </c>
      <c r="AI722">
        <v>9</v>
      </c>
      <c r="AJ722"/>
      <c r="AK722"/>
      <c r="AL722"/>
      <c r="AM722"/>
      <c r="AN722"/>
      <c r="AO722" t="s">
        <v>5064</v>
      </c>
      <c r="AP722" t="s">
        <v>5065</v>
      </c>
      <c r="AQ722"/>
      <c r="AR722"/>
      <c r="AS722"/>
      <c r="AT722" t="s">
        <v>708</v>
      </c>
      <c r="AU722">
        <v>2020</v>
      </c>
      <c r="AV722">
        <v>223</v>
      </c>
      <c r="AW722"/>
      <c r="AX722"/>
      <c r="AY722"/>
      <c r="AZ722"/>
      <c r="BA722"/>
      <c r="BB722"/>
      <c r="BC722"/>
      <c r="BD722">
        <v>117204</v>
      </c>
      <c r="BE722" t="s">
        <v>5066</v>
      </c>
      <c r="BF722" t="str">
        <f>HYPERLINK("http://dx.doi.org/10.1016/j.atmosenv.2019.117204","http://dx.doi.org/10.1016/j.atmosenv.2019.117204")</f>
        <v>http://dx.doi.org/10.1016/j.atmosenv.2019.117204</v>
      </c>
      <c r="BG722"/>
      <c r="BH722"/>
      <c r="BI722"/>
      <c r="BJ722" t="s">
        <v>453</v>
      </c>
      <c r="BK722"/>
      <c r="BL722"/>
      <c r="BM722"/>
      <c r="BN722"/>
      <c r="BO722"/>
      <c r="BP722"/>
      <c r="BQ722"/>
      <c r="BR722"/>
      <c r="BS722"/>
      <c r="BT722" t="str">
        <f>HYPERLINK("https%3A%2F%2Fwww.webofscience.com%2Fwos%2Fwoscc%2Ffull-record%2F","View Full Record in Web of Science")</f>
        <v>View Full Record in Web of Science</v>
      </c>
    </row>
    <row r="723" spans="1:72" customHeight="1" ht="12.75">
      <c r="A723" t="s">
        <v>72</v>
      </c>
      <c r="B723" t="s">
        <v>5067</v>
      </c>
      <c r="C723"/>
      <c r="D723"/>
      <c r="E723"/>
      <c r="F723" t="s">
        <v>5068</v>
      </c>
      <c r="G723"/>
      <c r="H723"/>
      <c r="I723" t="s">
        <v>5069</v>
      </c>
      <c r="J723" t="s">
        <v>5070</v>
      </c>
      <c r="K723"/>
      <c r="L723"/>
      <c r="M723"/>
      <c r="N723" t="s">
        <v>112</v>
      </c>
      <c r="O723"/>
      <c r="P723"/>
      <c r="Q723"/>
      <c r="R723"/>
      <c r="S723"/>
      <c r="T723" t="s">
        <v>5071</v>
      </c>
      <c r="U723" t="s">
        <v>5072</v>
      </c>
      <c r="V723"/>
      <c r="W723"/>
      <c r="X723"/>
      <c r="Y723"/>
      <c r="Z723"/>
      <c r="AA723"/>
      <c r="AB723"/>
      <c r="AC723"/>
      <c r="AD723"/>
      <c r="AE723"/>
      <c r="AF723"/>
      <c r="AG723"/>
      <c r="AH723">
        <v>37</v>
      </c>
      <c r="AI723">
        <v>37</v>
      </c>
      <c r="AJ723"/>
      <c r="AK723"/>
      <c r="AL723"/>
      <c r="AM723"/>
      <c r="AN723"/>
      <c r="AO723"/>
      <c r="AP723" t="s">
        <v>5073</v>
      </c>
      <c r="AQ723"/>
      <c r="AR723"/>
      <c r="AS723"/>
      <c r="AT723" t="s">
        <v>154</v>
      </c>
      <c r="AU723">
        <v>2020</v>
      </c>
      <c r="AV723">
        <v>20</v>
      </c>
      <c r="AW723">
        <v>16</v>
      </c>
      <c r="AX723"/>
      <c r="AY723"/>
      <c r="AZ723"/>
      <c r="BA723"/>
      <c r="BB723"/>
      <c r="BC723"/>
      <c r="BD723">
        <v>4391</v>
      </c>
      <c r="BE723" t="s">
        <v>5074</v>
      </c>
      <c r="BF723" t="str">
        <f>HYPERLINK("http://dx.doi.org/10.3390/s20164391","http://dx.doi.org/10.3390/s20164391")</f>
        <v>http://dx.doi.org/10.3390/s20164391</v>
      </c>
      <c r="BG723"/>
      <c r="BH723"/>
      <c r="BI723"/>
      <c r="BJ723" t="s">
        <v>5075</v>
      </c>
      <c r="BK723"/>
      <c r="BL723"/>
      <c r="BM723"/>
      <c r="BN723"/>
      <c r="BO723"/>
      <c r="BP723"/>
      <c r="BQ723"/>
      <c r="BR723"/>
      <c r="BS723"/>
      <c r="BT723" t="str">
        <f>HYPERLINK("https%3A%2F%2Fwww.webofscience.com%2Fwos%2Fwoscc%2Ffull-record%2F","View Full Record in Web of Science")</f>
        <v>View Full Record in Web of Science</v>
      </c>
    </row>
    <row r="724" spans="1:72" customHeight="1" ht="12.75">
      <c r="A724" t="s">
        <v>72</v>
      </c>
      <c r="B724" t="s">
        <v>5076</v>
      </c>
      <c r="C724"/>
      <c r="D724"/>
      <c r="E724"/>
      <c r="F724" t="s">
        <v>5077</v>
      </c>
      <c r="G724"/>
      <c r="H724"/>
      <c r="I724" t="s">
        <v>5078</v>
      </c>
      <c r="J724" t="s">
        <v>587</v>
      </c>
      <c r="K724"/>
      <c r="L724"/>
      <c r="M724"/>
      <c r="N724" t="s">
        <v>112</v>
      </c>
      <c r="O724"/>
      <c r="P724"/>
      <c r="Q724"/>
      <c r="R724"/>
      <c r="S724"/>
      <c r="T724" t="s">
        <v>5079</v>
      </c>
      <c r="U724" t="s">
        <v>5080</v>
      </c>
      <c r="V724"/>
      <c r="W724"/>
      <c r="X724"/>
      <c r="Y724"/>
      <c r="Z724"/>
      <c r="AA724"/>
      <c r="AB724"/>
      <c r="AC724"/>
      <c r="AD724"/>
      <c r="AE724"/>
      <c r="AF724"/>
      <c r="AG724"/>
      <c r="AH724">
        <v>46</v>
      </c>
      <c r="AI724">
        <v>49</v>
      </c>
      <c r="AJ724"/>
      <c r="AK724"/>
      <c r="AL724"/>
      <c r="AM724"/>
      <c r="AN724"/>
      <c r="AO724" t="s">
        <v>590</v>
      </c>
      <c r="AP724" t="s">
        <v>591</v>
      </c>
      <c r="AQ724"/>
      <c r="AR724"/>
      <c r="AS724"/>
      <c r="AT724" t="s">
        <v>4400</v>
      </c>
      <c r="AU724">
        <v>2018</v>
      </c>
      <c r="AV724">
        <v>196</v>
      </c>
      <c r="AW724"/>
      <c r="AX724"/>
      <c r="AY724"/>
      <c r="AZ724"/>
      <c r="BA724"/>
      <c r="BB724">
        <v>747</v>
      </c>
      <c r="BC724">
        <v>762</v>
      </c>
      <c r="BD724"/>
      <c r="BE724" t="s">
        <v>5081</v>
      </c>
      <c r="BF724" t="str">
        <f>HYPERLINK("http://dx.doi.org/10.1016/j.jclepro.2018.06.084","http://dx.doi.org/10.1016/j.jclepro.2018.06.084")</f>
        <v>http://dx.doi.org/10.1016/j.jclepro.2018.06.084</v>
      </c>
      <c r="BG724"/>
      <c r="BH724"/>
      <c r="BI724"/>
      <c r="BJ724" t="s">
        <v>139</v>
      </c>
      <c r="BK724"/>
      <c r="BL724"/>
      <c r="BM724"/>
      <c r="BN724"/>
      <c r="BO724"/>
      <c r="BP724"/>
      <c r="BQ724"/>
      <c r="BR724"/>
      <c r="BS724"/>
      <c r="BT724" t="str">
        <f>HYPERLINK("https%3A%2F%2Fwww.webofscience.com%2Fwos%2Fwoscc%2Ffull-record%2F","View Full Record in Web of Science")</f>
        <v>View Full Record in Web of Science</v>
      </c>
    </row>
    <row r="725" spans="1:72" customHeight="1" ht="12.75">
      <c r="A725" t="s">
        <v>72</v>
      </c>
      <c r="B725" t="s">
        <v>5082</v>
      </c>
      <c r="C725"/>
      <c r="D725"/>
      <c r="E725"/>
      <c r="F725" t="s">
        <v>5083</v>
      </c>
      <c r="G725"/>
      <c r="H725"/>
      <c r="I725" t="s">
        <v>5084</v>
      </c>
      <c r="J725" t="s">
        <v>1699</v>
      </c>
      <c r="K725"/>
      <c r="L725"/>
      <c r="M725"/>
      <c r="N725" t="s">
        <v>77</v>
      </c>
      <c r="O725"/>
      <c r="P725"/>
      <c r="Q725"/>
      <c r="R725"/>
      <c r="S725"/>
      <c r="T725" t="s">
        <v>5085</v>
      </c>
      <c r="U725" t="s">
        <v>2975</v>
      </c>
      <c r="V725"/>
      <c r="W725"/>
      <c r="X725"/>
      <c r="Y725"/>
      <c r="Z725"/>
      <c r="AA725"/>
      <c r="AB725"/>
      <c r="AC725"/>
      <c r="AD725"/>
      <c r="AE725"/>
      <c r="AF725"/>
      <c r="AG725"/>
      <c r="AH725">
        <v>9</v>
      </c>
      <c r="AI725">
        <v>11</v>
      </c>
      <c r="AJ725"/>
      <c r="AK725"/>
      <c r="AL725"/>
      <c r="AM725"/>
      <c r="AN725"/>
      <c r="AO725" t="s">
        <v>1702</v>
      </c>
      <c r="AP725"/>
      <c r="AQ725"/>
      <c r="AR725"/>
      <c r="AS725"/>
      <c r="AT725" t="s">
        <v>92</v>
      </c>
      <c r="AU725">
        <v>2016</v>
      </c>
      <c r="AV725">
        <v>65</v>
      </c>
      <c r="AW725"/>
      <c r="AX725"/>
      <c r="AY725"/>
      <c r="AZ725"/>
      <c r="BA725"/>
      <c r="BB725">
        <v>1299</v>
      </c>
      <c r="BC725">
        <v>1309</v>
      </c>
      <c r="BD725"/>
      <c r="BE725" t="s">
        <v>5086</v>
      </c>
      <c r="BF725" t="str">
        <f>HYPERLINK("http://dx.doi.org/10.1016/j.rser.2016.07.019","http://dx.doi.org/10.1016/j.rser.2016.07.019")</f>
        <v>http://dx.doi.org/10.1016/j.rser.2016.07.019</v>
      </c>
      <c r="BG725"/>
      <c r="BH725"/>
      <c r="BI725"/>
      <c r="BJ725" t="s">
        <v>1705</v>
      </c>
      <c r="BK725"/>
      <c r="BL725"/>
      <c r="BM725"/>
      <c r="BN725"/>
      <c r="BO725"/>
      <c r="BP725"/>
      <c r="BQ725"/>
      <c r="BR725"/>
      <c r="BS725"/>
      <c r="BT725" t="str">
        <f>HYPERLINK("https%3A%2F%2Fwww.webofscience.com%2Fwos%2Fwoscc%2Ffull-record%2F","View Full Record in Web of Science")</f>
        <v>View Full Record in Web of Science</v>
      </c>
    </row>
    <row r="726" spans="1:72" customHeight="1" ht="12.75">
      <c r="A726" t="s">
        <v>72</v>
      </c>
      <c r="B726" t="s">
        <v>5087</v>
      </c>
      <c r="C726"/>
      <c r="D726"/>
      <c r="E726"/>
      <c r="F726" t="s">
        <v>5088</v>
      </c>
      <c r="G726"/>
      <c r="H726"/>
      <c r="I726" t="s">
        <v>5089</v>
      </c>
      <c r="J726" t="s">
        <v>2566</v>
      </c>
      <c r="K726"/>
      <c r="L726"/>
      <c r="M726"/>
      <c r="N726" t="s">
        <v>112</v>
      </c>
      <c r="O726"/>
      <c r="P726"/>
      <c r="Q726"/>
      <c r="R726"/>
      <c r="S726"/>
      <c r="T726" t="s">
        <v>5090</v>
      </c>
      <c r="U726" t="s">
        <v>5091</v>
      </c>
      <c r="V726"/>
      <c r="W726"/>
      <c r="X726"/>
      <c r="Y726"/>
      <c r="Z726"/>
      <c r="AA726"/>
      <c r="AB726"/>
      <c r="AC726"/>
      <c r="AD726"/>
      <c r="AE726"/>
      <c r="AF726"/>
      <c r="AG726"/>
      <c r="AH726">
        <v>29</v>
      </c>
      <c r="AI726">
        <v>31</v>
      </c>
      <c r="AJ726"/>
      <c r="AK726"/>
      <c r="AL726"/>
      <c r="AM726"/>
      <c r="AN726"/>
      <c r="AO726" t="s">
        <v>2569</v>
      </c>
      <c r="AP726"/>
      <c r="AQ726"/>
      <c r="AR726"/>
      <c r="AS726"/>
      <c r="AT726" t="s">
        <v>249</v>
      </c>
      <c r="AU726">
        <v>2014</v>
      </c>
      <c r="AV726">
        <v>61</v>
      </c>
      <c r="AW726"/>
      <c r="AX726"/>
      <c r="AY726"/>
      <c r="AZ726"/>
      <c r="BA726"/>
      <c r="BB726">
        <v>19</v>
      </c>
      <c r="BC726">
        <v>33</v>
      </c>
      <c r="BD726"/>
      <c r="BE726" t="s">
        <v>5092</v>
      </c>
      <c r="BF726" t="str">
        <f>HYPERLINK("http://dx.doi.org/10.1016/j.watres.2014.05.004","http://dx.doi.org/10.1016/j.watres.2014.05.004")</f>
        <v>http://dx.doi.org/10.1016/j.watres.2014.05.004</v>
      </c>
      <c r="BG726"/>
      <c r="BH726"/>
      <c r="BI726"/>
      <c r="BJ726" t="s">
        <v>1184</v>
      </c>
      <c r="BK726"/>
      <c r="BL726"/>
      <c r="BM726"/>
      <c r="BN726"/>
      <c r="BO726"/>
      <c r="BP726"/>
      <c r="BQ726"/>
      <c r="BR726"/>
      <c r="BS726"/>
      <c r="BT726" t="str">
        <f>HYPERLINK("https%3A%2F%2Fwww.webofscience.com%2Fwos%2Fwoscc%2Ffull-record%2F","View Full Record in Web of Science")</f>
        <v>View Full Record in Web of Science</v>
      </c>
    </row>
    <row r="727" spans="1:72" customHeight="1" ht="12.75">
      <c r="A727" t="s">
        <v>72</v>
      </c>
      <c r="B727" t="s">
        <v>5093</v>
      </c>
      <c r="C727"/>
      <c r="D727"/>
      <c r="E727"/>
      <c r="F727" t="s">
        <v>5094</v>
      </c>
      <c r="G727"/>
      <c r="H727"/>
      <c r="I727" t="s">
        <v>5095</v>
      </c>
      <c r="J727" t="s">
        <v>5096</v>
      </c>
      <c r="K727"/>
      <c r="L727"/>
      <c r="M727"/>
      <c r="N727" t="s">
        <v>112</v>
      </c>
      <c r="O727"/>
      <c r="P727"/>
      <c r="Q727"/>
      <c r="R727"/>
      <c r="S727"/>
      <c r="T727" t="s">
        <v>5097</v>
      </c>
      <c r="U727" t="s">
        <v>5098</v>
      </c>
      <c r="V727"/>
      <c r="W727"/>
      <c r="X727"/>
      <c r="Y727"/>
      <c r="Z727"/>
      <c r="AA727"/>
      <c r="AB727"/>
      <c r="AC727"/>
      <c r="AD727"/>
      <c r="AE727"/>
      <c r="AF727"/>
      <c r="AG727"/>
      <c r="AH727">
        <v>14</v>
      </c>
      <c r="AI727">
        <v>19</v>
      </c>
      <c r="AJ727"/>
      <c r="AK727"/>
      <c r="AL727"/>
      <c r="AM727"/>
      <c r="AN727"/>
      <c r="AO727" t="s">
        <v>5099</v>
      </c>
      <c r="AP727" t="s">
        <v>5100</v>
      </c>
      <c r="AQ727"/>
      <c r="AR727"/>
      <c r="AS727"/>
      <c r="AT727"/>
      <c r="AU727">
        <v>2008</v>
      </c>
      <c r="AV727">
        <v>74</v>
      </c>
      <c r="AW727">
        <v>2</v>
      </c>
      <c r="AX727"/>
      <c r="AY727"/>
      <c r="AZ727"/>
      <c r="BA727"/>
      <c r="BB727">
        <v>231</v>
      </c>
      <c r="BC727">
        <v>254</v>
      </c>
      <c r="BD727" t="s">
        <v>5101</v>
      </c>
      <c r="BE727" t="s">
        <v>5102</v>
      </c>
      <c r="BF727" t="str">
        <f>HYPERLINK("http://dx.doi.org/10.1080/01944360801993531","http://dx.doi.org/10.1080/01944360801993531")</f>
        <v>http://dx.doi.org/10.1080/01944360801993531</v>
      </c>
      <c r="BG727"/>
      <c r="BH727"/>
      <c r="BI727"/>
      <c r="BJ727" t="s">
        <v>156</v>
      </c>
      <c r="BK727"/>
      <c r="BL727"/>
      <c r="BM727"/>
      <c r="BN727"/>
      <c r="BO727"/>
      <c r="BP727"/>
      <c r="BQ727"/>
      <c r="BR727"/>
      <c r="BS727"/>
      <c r="BT727" t="str">
        <f>HYPERLINK("https%3A%2F%2Fwww.webofscience.com%2Fwos%2Fwoscc%2Ffull-record%2F","View Full Record in Web of Science")</f>
        <v>View Full Record in Web of Science</v>
      </c>
    </row>
    <row r="728" spans="1:72" customHeight="1" ht="12.75">
      <c r="A728" t="s">
        <v>72</v>
      </c>
      <c r="B728" t="s">
        <v>5103</v>
      </c>
      <c r="C728"/>
      <c r="D728"/>
      <c r="E728"/>
      <c r="F728" t="s">
        <v>5104</v>
      </c>
      <c r="G728"/>
      <c r="H728"/>
      <c r="I728" t="s">
        <v>5105</v>
      </c>
      <c r="J728" t="s">
        <v>464</v>
      </c>
      <c r="K728"/>
      <c r="L728"/>
      <c r="M728"/>
      <c r="N728" t="s">
        <v>112</v>
      </c>
      <c r="O728"/>
      <c r="P728"/>
      <c r="Q728"/>
      <c r="R728"/>
      <c r="S728"/>
      <c r="T728" t="s">
        <v>5106</v>
      </c>
      <c r="U728" t="s">
        <v>5107</v>
      </c>
      <c r="V728"/>
      <c r="W728"/>
      <c r="X728"/>
      <c r="Y728"/>
      <c r="Z728"/>
      <c r="AA728"/>
      <c r="AB728"/>
      <c r="AC728"/>
      <c r="AD728"/>
      <c r="AE728"/>
      <c r="AF728"/>
      <c r="AG728"/>
      <c r="AH728">
        <v>38</v>
      </c>
      <c r="AI728">
        <v>42</v>
      </c>
      <c r="AJ728"/>
      <c r="AK728"/>
      <c r="AL728"/>
      <c r="AM728"/>
      <c r="AN728"/>
      <c r="AO728" t="s">
        <v>465</v>
      </c>
      <c r="AP728" t="s">
        <v>466</v>
      </c>
      <c r="AQ728"/>
      <c r="AR728"/>
      <c r="AS728"/>
      <c r="AT728" t="s">
        <v>128</v>
      </c>
      <c r="AU728">
        <v>2013</v>
      </c>
      <c r="AV728">
        <v>16</v>
      </c>
      <c r="AW728">
        <v>4</v>
      </c>
      <c r="AX728"/>
      <c r="AY728"/>
      <c r="AZ728" t="s">
        <v>222</v>
      </c>
      <c r="BA728"/>
      <c r="BB728">
        <v>763</v>
      </c>
      <c r="BC728">
        <v>782</v>
      </c>
      <c r="BD728"/>
      <c r="BE728" t="s">
        <v>5108</v>
      </c>
      <c r="BF728" t="str">
        <f>HYPERLINK("http://dx.doi.org/10.1007/s11252-012-0270-3","http://dx.doi.org/10.1007/s11252-012-0270-3")</f>
        <v>http://dx.doi.org/10.1007/s11252-012-0270-3</v>
      </c>
      <c r="BG728"/>
      <c r="BH728"/>
      <c r="BI728"/>
      <c r="BJ728" t="s">
        <v>468</v>
      </c>
      <c r="BK728"/>
      <c r="BL728"/>
      <c r="BM728"/>
      <c r="BN728"/>
      <c r="BO728"/>
      <c r="BP728"/>
      <c r="BQ728"/>
      <c r="BR728"/>
      <c r="BS728"/>
      <c r="BT728" t="str">
        <f>HYPERLINK("https%3A%2F%2Fwww.webofscience.com%2Fwos%2Fwoscc%2Ffull-record%2F","View Full Record in Web of Science")</f>
        <v>View Full Record in Web of Science</v>
      </c>
    </row>
    <row r="729" spans="1:72" customHeight="1" ht="12.75">
      <c r="A729" t="s">
        <v>72</v>
      </c>
      <c r="B729" t="s">
        <v>5109</v>
      </c>
      <c r="C729"/>
      <c r="D729"/>
      <c r="E729"/>
      <c r="F729" t="s">
        <v>5110</v>
      </c>
      <c r="G729"/>
      <c r="H729"/>
      <c r="I729" t="s">
        <v>5111</v>
      </c>
      <c r="J729" t="s">
        <v>5112</v>
      </c>
      <c r="K729"/>
      <c r="L729"/>
      <c r="M729"/>
      <c r="N729" t="s">
        <v>112</v>
      </c>
      <c r="O729"/>
      <c r="P729"/>
      <c r="Q729"/>
      <c r="R729"/>
      <c r="S729"/>
      <c r="T729" t="s">
        <v>5113</v>
      </c>
      <c r="U729" t="s">
        <v>1330</v>
      </c>
      <c r="V729"/>
      <c r="W729"/>
      <c r="X729"/>
      <c r="Y729"/>
      <c r="Z729"/>
      <c r="AA729"/>
      <c r="AB729"/>
      <c r="AC729"/>
      <c r="AD729"/>
      <c r="AE729"/>
      <c r="AF729"/>
      <c r="AG729"/>
      <c r="AH729">
        <v>1</v>
      </c>
      <c r="AI729">
        <v>1</v>
      </c>
      <c r="AJ729"/>
      <c r="AK729"/>
      <c r="AL729"/>
      <c r="AM729"/>
      <c r="AN729"/>
      <c r="AO729" t="s">
        <v>5114</v>
      </c>
      <c r="AP729" t="s">
        <v>5115</v>
      </c>
      <c r="AQ729"/>
      <c r="AR729"/>
      <c r="AS729"/>
      <c r="AT729" t="s">
        <v>198</v>
      </c>
      <c r="AU729">
        <v>2022</v>
      </c>
      <c r="AV729">
        <v>118</v>
      </c>
      <c r="AW729"/>
      <c r="AX729"/>
      <c r="AY729"/>
      <c r="AZ729" t="s">
        <v>222</v>
      </c>
      <c r="BA729"/>
      <c r="BB729"/>
      <c r="BC729"/>
      <c r="BD729">
        <v>12552</v>
      </c>
      <c r="BE729" t="s">
        <v>5116</v>
      </c>
      <c r="BF729" t="str">
        <f>HYPERLINK("http://dx.doi.org/10.17159/sajs.2022/12552","http://dx.doi.org/10.17159/sajs.2022/12552")</f>
        <v>http://dx.doi.org/10.17159/sajs.2022/12552</v>
      </c>
      <c r="BG729"/>
      <c r="BH729"/>
      <c r="BI729"/>
      <c r="BJ729" t="s">
        <v>1579</v>
      </c>
      <c r="BK729"/>
      <c r="BL729"/>
      <c r="BM729"/>
      <c r="BN729"/>
      <c r="BO729"/>
      <c r="BP729"/>
      <c r="BQ729"/>
      <c r="BR729"/>
      <c r="BS729"/>
      <c r="BT729" t="str">
        <f>HYPERLINK("https%3A%2F%2Fwww.webofscience.com%2Fwos%2Fwoscc%2Ffull-record%2F","View Full Record in Web of Science")</f>
        <v>View Full Record in Web of Science</v>
      </c>
    </row>
    <row r="730" spans="1:72" customHeight="1" ht="12.75">
      <c r="A730" t="s">
        <v>72</v>
      </c>
      <c r="B730" t="s">
        <v>5117</v>
      </c>
      <c r="C730"/>
      <c r="D730"/>
      <c r="E730"/>
      <c r="F730" t="s">
        <v>5118</v>
      </c>
      <c r="G730"/>
      <c r="H730"/>
      <c r="I730" t="s">
        <v>5119</v>
      </c>
      <c r="J730" t="s">
        <v>5120</v>
      </c>
      <c r="K730"/>
      <c r="L730"/>
      <c r="M730"/>
      <c r="N730" t="s">
        <v>325</v>
      </c>
      <c r="O730"/>
      <c r="P730"/>
      <c r="Q730"/>
      <c r="R730"/>
      <c r="S730"/>
      <c r="T730" t="s">
        <v>5121</v>
      </c>
      <c r="U730" t="s">
        <v>5122</v>
      </c>
      <c r="V730"/>
      <c r="W730"/>
      <c r="X730"/>
      <c r="Y730"/>
      <c r="Z730"/>
      <c r="AA730"/>
      <c r="AB730"/>
      <c r="AC730"/>
      <c r="AD730"/>
      <c r="AE730"/>
      <c r="AF730"/>
      <c r="AG730"/>
      <c r="AH730">
        <v>4</v>
      </c>
      <c r="AI730">
        <v>4</v>
      </c>
      <c r="AJ730"/>
      <c r="AK730"/>
      <c r="AL730"/>
      <c r="AM730"/>
      <c r="AN730"/>
      <c r="AO730" t="s">
        <v>5123</v>
      </c>
      <c r="AP730"/>
      <c r="AQ730"/>
      <c r="AR730"/>
      <c r="AS730"/>
      <c r="AT730" t="s">
        <v>867</v>
      </c>
      <c r="AU730">
        <v>2022</v>
      </c>
      <c r="AV730">
        <v>56</v>
      </c>
      <c r="AW730"/>
      <c r="AX730"/>
      <c r="AY730"/>
      <c r="AZ730"/>
      <c r="BA730"/>
      <c r="BB730"/>
      <c r="BC730"/>
      <c r="BD730">
        <v>101454</v>
      </c>
      <c r="BE730" t="s">
        <v>5124</v>
      </c>
      <c r="BF730" t="str">
        <f>HYPERLINK("http://dx.doi.org/10.1016/j.ecoser.2022.101454","http://dx.doi.org/10.1016/j.ecoser.2022.101454")</f>
        <v>http://dx.doi.org/10.1016/j.ecoser.2022.101454</v>
      </c>
      <c r="BG730"/>
      <c r="BH730" t="s">
        <v>3401</v>
      </c>
      <c r="BI730"/>
      <c r="BJ730" t="s">
        <v>5125</v>
      </c>
      <c r="BK730"/>
      <c r="BL730"/>
      <c r="BM730"/>
      <c r="BN730"/>
      <c r="BO730"/>
      <c r="BP730"/>
      <c r="BQ730"/>
      <c r="BR730"/>
      <c r="BS730"/>
      <c r="BT730" t="str">
        <f>HYPERLINK("https%3A%2F%2Fwww.webofscience.com%2Fwos%2Fwoscc%2Ffull-record%2F","View Full Record in Web of Science")</f>
        <v>View Full Record in Web of Science</v>
      </c>
    </row>
    <row r="731" spans="1:72" customHeight="1" ht="12.75">
      <c r="A731" t="s">
        <v>72</v>
      </c>
      <c r="B731" t="s">
        <v>5126</v>
      </c>
      <c r="C731"/>
      <c r="D731"/>
      <c r="E731"/>
      <c r="F731" t="s">
        <v>5127</v>
      </c>
      <c r="G731"/>
      <c r="H731"/>
      <c r="I731" t="s">
        <v>5128</v>
      </c>
      <c r="J731" t="s">
        <v>1957</v>
      </c>
      <c r="K731"/>
      <c r="L731"/>
      <c r="M731"/>
      <c r="N731" t="s">
        <v>325</v>
      </c>
      <c r="O731"/>
      <c r="P731"/>
      <c r="Q731"/>
      <c r="R731"/>
      <c r="S731"/>
      <c r="T731" t="s">
        <v>5129</v>
      </c>
      <c r="U731" t="s">
        <v>5130</v>
      </c>
      <c r="V731"/>
      <c r="W731"/>
      <c r="X731"/>
      <c r="Y731"/>
      <c r="Z731"/>
      <c r="AA731"/>
      <c r="AB731"/>
      <c r="AC731"/>
      <c r="AD731"/>
      <c r="AE731"/>
      <c r="AF731"/>
      <c r="AG731"/>
      <c r="AH731">
        <v>5</v>
      </c>
      <c r="AI731">
        <v>5</v>
      </c>
      <c r="AJ731"/>
      <c r="AK731"/>
      <c r="AL731"/>
      <c r="AM731"/>
      <c r="AN731"/>
      <c r="AO731" t="s">
        <v>1959</v>
      </c>
      <c r="AP731" t="s">
        <v>3003</v>
      </c>
      <c r="AQ731"/>
      <c r="AR731"/>
      <c r="AS731"/>
      <c r="AT731" t="s">
        <v>5131</v>
      </c>
      <c r="AU731">
        <v>2023</v>
      </c>
      <c r="AV731"/>
      <c r="AW731"/>
      <c r="AX731"/>
      <c r="AY731"/>
      <c r="AZ731"/>
      <c r="BA731"/>
      <c r="BB731"/>
      <c r="BC731"/>
      <c r="BD731"/>
      <c r="BE731" t="s">
        <v>5132</v>
      </c>
      <c r="BF731" t="str">
        <f>HYPERLINK("http://dx.doi.org/10.1007/s11356-023-27670-2","http://dx.doi.org/10.1007/s11356-023-27670-2")</f>
        <v>http://dx.doi.org/10.1007/s11356-023-27670-2</v>
      </c>
      <c r="BG731"/>
      <c r="BH731" t="s">
        <v>2573</v>
      </c>
      <c r="BI731"/>
      <c r="BJ731" t="s">
        <v>224</v>
      </c>
      <c r="BK731"/>
      <c r="BL731"/>
      <c r="BM731"/>
      <c r="BN731"/>
      <c r="BO731"/>
      <c r="BP731"/>
      <c r="BQ731"/>
      <c r="BR731"/>
      <c r="BS731"/>
      <c r="BT731" t="str">
        <f>HYPERLINK("https%3A%2F%2Fwww.webofscience.com%2Fwos%2Fwoscc%2Ffull-record%2F","View Full Record in Web of Science")</f>
        <v>View Full Record in Web of Science</v>
      </c>
    </row>
    <row r="732" spans="1:72" customHeight="1" ht="12.75">
      <c r="A732" t="s">
        <v>72</v>
      </c>
      <c r="B732" t="s">
        <v>5133</v>
      </c>
      <c r="C732"/>
      <c r="D732"/>
      <c r="E732"/>
      <c r="F732" t="s">
        <v>5134</v>
      </c>
      <c r="G732"/>
      <c r="H732"/>
      <c r="I732" t="s">
        <v>5135</v>
      </c>
      <c r="J732" t="s">
        <v>1680</v>
      </c>
      <c r="K732"/>
      <c r="L732"/>
      <c r="M732"/>
      <c r="N732" t="s">
        <v>325</v>
      </c>
      <c r="O732"/>
      <c r="P732"/>
      <c r="Q732"/>
      <c r="R732"/>
      <c r="S732"/>
      <c r="T732" t="s">
        <v>5136</v>
      </c>
      <c r="U732" t="s">
        <v>5137</v>
      </c>
      <c r="V732"/>
      <c r="W732"/>
      <c r="X732"/>
      <c r="Y732"/>
      <c r="Z732"/>
      <c r="AA732"/>
      <c r="AB732"/>
      <c r="AC732"/>
      <c r="AD732"/>
      <c r="AE732"/>
      <c r="AF732"/>
      <c r="AG732"/>
      <c r="AH732">
        <v>5</v>
      </c>
      <c r="AI732">
        <v>5</v>
      </c>
      <c r="AJ732"/>
      <c r="AK732"/>
      <c r="AL732"/>
      <c r="AM732"/>
      <c r="AN732"/>
      <c r="AO732" t="s">
        <v>1683</v>
      </c>
      <c r="AP732" t="s">
        <v>1684</v>
      </c>
      <c r="AQ732"/>
      <c r="AR732"/>
      <c r="AS732"/>
      <c r="AT732" t="s">
        <v>5138</v>
      </c>
      <c r="AU732">
        <v>2023</v>
      </c>
      <c r="AV732">
        <v>329</v>
      </c>
      <c r="AW732"/>
      <c r="AX732"/>
      <c r="AY732"/>
      <c r="AZ732"/>
      <c r="BA732"/>
      <c r="BB732"/>
      <c r="BC732"/>
      <c r="BD732">
        <v>117046</v>
      </c>
      <c r="BE732" t="s">
        <v>5139</v>
      </c>
      <c r="BF732" t="str">
        <f>HYPERLINK("http://dx.doi.org/10.1016/j.jenvman.2022.117046","http://dx.doi.org/10.1016/j.jenvman.2022.117046")</f>
        <v>http://dx.doi.org/10.1016/j.jenvman.2022.117046</v>
      </c>
      <c r="BG732"/>
      <c r="BH732" t="s">
        <v>444</v>
      </c>
      <c r="BI732"/>
      <c r="BJ732" t="s">
        <v>224</v>
      </c>
      <c r="BK732"/>
      <c r="BL732"/>
      <c r="BM732"/>
      <c r="BN732"/>
      <c r="BO732"/>
      <c r="BP732"/>
      <c r="BQ732"/>
      <c r="BR732"/>
      <c r="BS732"/>
      <c r="BT732" t="str">
        <f>HYPERLINK("https%3A%2F%2Fwww.webofscience.com%2Fwos%2Fwoscc%2Ffull-record%2F","View Full Record in Web of Science")</f>
        <v>View Full Record in Web of Science</v>
      </c>
    </row>
    <row r="733" spans="1:72" customHeight="1" ht="12.75">
      <c r="A733" t="s">
        <v>72</v>
      </c>
      <c r="B733" t="s">
        <v>5140</v>
      </c>
      <c r="C733"/>
      <c r="D733"/>
      <c r="E733"/>
      <c r="F733" t="s">
        <v>5141</v>
      </c>
      <c r="G733"/>
      <c r="H733"/>
      <c r="I733" t="s">
        <v>5142</v>
      </c>
      <c r="J733" t="s">
        <v>5143</v>
      </c>
      <c r="K733"/>
      <c r="L733"/>
      <c r="M733"/>
      <c r="N733" t="s">
        <v>77</v>
      </c>
      <c r="O733"/>
      <c r="P733"/>
      <c r="Q733"/>
      <c r="R733"/>
      <c r="S733"/>
      <c r="T733" t="s">
        <v>5144</v>
      </c>
      <c r="U733" t="s">
        <v>5145</v>
      </c>
      <c r="V733"/>
      <c r="W733"/>
      <c r="X733"/>
      <c r="Y733"/>
      <c r="Z733"/>
      <c r="AA733"/>
      <c r="AB733"/>
      <c r="AC733"/>
      <c r="AD733"/>
      <c r="AE733"/>
      <c r="AF733"/>
      <c r="AG733"/>
      <c r="AH733">
        <v>77</v>
      </c>
      <c r="AI733">
        <v>79</v>
      </c>
      <c r="AJ733"/>
      <c r="AK733"/>
      <c r="AL733"/>
      <c r="AM733"/>
      <c r="AN733"/>
      <c r="AO733"/>
      <c r="AP733" t="s">
        <v>5146</v>
      </c>
      <c r="AQ733"/>
      <c r="AR733"/>
      <c r="AS733"/>
      <c r="AT733"/>
      <c r="AU733">
        <v>2019</v>
      </c>
      <c r="AV733">
        <v>2</v>
      </c>
      <c r="AW733"/>
      <c r="AX733"/>
      <c r="AY733"/>
      <c r="AZ733"/>
      <c r="BA733"/>
      <c r="BB733"/>
      <c r="BC733"/>
      <c r="BD733" t="s">
        <v>5147</v>
      </c>
      <c r="BE733" t="s">
        <v>5148</v>
      </c>
      <c r="BF733" t="str">
        <f>HYPERLINK("http://dx.doi.org/10.1017/sus.2018.16","http://dx.doi.org/10.1017/sus.2018.16")</f>
        <v>http://dx.doi.org/10.1017/sus.2018.16</v>
      </c>
      <c r="BG733"/>
      <c r="BH733"/>
      <c r="BI733"/>
      <c r="BJ733" t="s">
        <v>460</v>
      </c>
      <c r="BK733"/>
      <c r="BL733"/>
      <c r="BM733"/>
      <c r="BN733"/>
      <c r="BO733"/>
      <c r="BP733"/>
      <c r="BQ733"/>
      <c r="BR733"/>
      <c r="BS733"/>
      <c r="BT733" t="str">
        <f>HYPERLINK("https%3A%2F%2Fwww.webofscience.com%2Fwos%2Fwoscc%2Ffull-record%2F","View Full Record in Web of Science")</f>
        <v>View Full Record in Web of Science</v>
      </c>
    </row>
    <row r="734" spans="1:72" customHeight="1" ht="12.75">
      <c r="A734" t="s">
        <v>72</v>
      </c>
      <c r="B734" t="s">
        <v>5149</v>
      </c>
      <c r="C734"/>
      <c r="D734"/>
      <c r="E734"/>
      <c r="F734" t="s">
        <v>5150</v>
      </c>
      <c r="G734"/>
      <c r="H734"/>
      <c r="I734" t="s">
        <v>5151</v>
      </c>
      <c r="J734" t="s">
        <v>5152</v>
      </c>
      <c r="K734"/>
      <c r="L734"/>
      <c r="M734"/>
      <c r="N734" t="s">
        <v>112</v>
      </c>
      <c r="O734"/>
      <c r="P734"/>
      <c r="Q734"/>
      <c r="R734"/>
      <c r="S734"/>
      <c r="T734" t="s">
        <v>5153</v>
      </c>
      <c r="U734" t="s">
        <v>5154</v>
      </c>
      <c r="V734"/>
      <c r="W734"/>
      <c r="X734"/>
      <c r="Y734"/>
      <c r="Z734"/>
      <c r="AA734"/>
      <c r="AB734"/>
      <c r="AC734"/>
      <c r="AD734"/>
      <c r="AE734"/>
      <c r="AF734"/>
      <c r="AG734"/>
      <c r="AH734">
        <v>6</v>
      </c>
      <c r="AI734">
        <v>8</v>
      </c>
      <c r="AJ734"/>
      <c r="AK734"/>
      <c r="AL734"/>
      <c r="AM734"/>
      <c r="AN734"/>
      <c r="AO734" t="s">
        <v>5155</v>
      </c>
      <c r="AP734"/>
      <c r="AQ734"/>
      <c r="AR734"/>
      <c r="AS734"/>
      <c r="AT734" t="s">
        <v>362</v>
      </c>
      <c r="AU734">
        <v>2018</v>
      </c>
      <c r="AV734">
        <v>11</v>
      </c>
      <c r="AW734">
        <v>2</v>
      </c>
      <c r="AX734"/>
      <c r="AY734"/>
      <c r="AZ734"/>
      <c r="BA734"/>
      <c r="BB734">
        <v>260</v>
      </c>
      <c r="BC734">
        <v>283</v>
      </c>
      <c r="BD734"/>
      <c r="BE734"/>
      <c r="BF734"/>
      <c r="BG734"/>
      <c r="BH734"/>
      <c r="BI734"/>
      <c r="BJ734" t="s">
        <v>5156</v>
      </c>
      <c r="BK734"/>
      <c r="BL734"/>
      <c r="BM734"/>
      <c r="BN734"/>
      <c r="BO734"/>
      <c r="BP734"/>
      <c r="BQ734"/>
      <c r="BR734"/>
      <c r="BS734"/>
      <c r="BT734" t="str">
        <f>HYPERLINK("https%3A%2F%2Fwww.webofscience.com%2Fwos%2Fwoscc%2Ffull-record%2F","View Full Record in Web of Science")</f>
        <v>View Full Record in Web of Science</v>
      </c>
    </row>
    <row r="735" spans="1:72" customHeight="1" ht="12.75">
      <c r="A735" t="s">
        <v>72</v>
      </c>
      <c r="B735" t="s">
        <v>2532</v>
      </c>
      <c r="C735"/>
      <c r="D735"/>
      <c r="E735"/>
      <c r="F735" t="s">
        <v>2533</v>
      </c>
      <c r="G735"/>
      <c r="H735"/>
      <c r="I735" t="s">
        <v>5157</v>
      </c>
      <c r="J735" t="s">
        <v>587</v>
      </c>
      <c r="K735"/>
      <c r="L735"/>
      <c r="M735"/>
      <c r="N735" t="s">
        <v>112</v>
      </c>
      <c r="O735"/>
      <c r="P735"/>
      <c r="Q735"/>
      <c r="R735"/>
      <c r="S735"/>
      <c r="T735" t="s">
        <v>5158</v>
      </c>
      <c r="U735" t="s">
        <v>5159</v>
      </c>
      <c r="V735"/>
      <c r="W735"/>
      <c r="X735"/>
      <c r="Y735"/>
      <c r="Z735"/>
      <c r="AA735"/>
      <c r="AB735"/>
      <c r="AC735"/>
      <c r="AD735"/>
      <c r="AE735"/>
      <c r="AF735"/>
      <c r="AG735"/>
      <c r="AH735">
        <v>47</v>
      </c>
      <c r="AI735">
        <v>50</v>
      </c>
      <c r="AJ735"/>
      <c r="AK735"/>
      <c r="AL735"/>
      <c r="AM735"/>
      <c r="AN735"/>
      <c r="AO735" t="s">
        <v>590</v>
      </c>
      <c r="AP735"/>
      <c r="AQ735"/>
      <c r="AR735"/>
      <c r="AS735"/>
      <c r="AT735" t="s">
        <v>5160</v>
      </c>
      <c r="AU735">
        <v>2011</v>
      </c>
      <c r="AV735">
        <v>19</v>
      </c>
      <c r="AW735" t="s">
        <v>5161</v>
      </c>
      <c r="AX735"/>
      <c r="AY735"/>
      <c r="AZ735"/>
      <c r="BA735"/>
      <c r="BB735">
        <v>967</v>
      </c>
      <c r="BC735">
        <v>976</v>
      </c>
      <c r="BD735"/>
      <c r="BE735" t="s">
        <v>5162</v>
      </c>
      <c r="BF735" t="str">
        <f>HYPERLINK("http://dx.doi.org/10.1016/j.jclepro.2011.01.007","http://dx.doi.org/10.1016/j.jclepro.2011.01.007")</f>
        <v>http://dx.doi.org/10.1016/j.jclepro.2011.01.007</v>
      </c>
      <c r="BG735"/>
      <c r="BH735"/>
      <c r="BI735"/>
      <c r="BJ735" t="s">
        <v>139</v>
      </c>
      <c r="BK735"/>
      <c r="BL735"/>
      <c r="BM735"/>
      <c r="BN735"/>
      <c r="BO735"/>
      <c r="BP735"/>
      <c r="BQ735"/>
      <c r="BR735"/>
      <c r="BS735"/>
      <c r="BT735" t="str">
        <f>HYPERLINK("https%3A%2F%2Fwww.webofscience.com%2Fwos%2Fwoscc%2Ffull-record%2F","View Full Record in Web of Science")</f>
        <v>View Full Record in Web of Science</v>
      </c>
    </row>
    <row r="736" spans="1:72" customHeight="1" ht="12.75">
      <c r="A736" t="s">
        <v>72</v>
      </c>
      <c r="B736" t="s">
        <v>5163</v>
      </c>
      <c r="C736"/>
      <c r="D736"/>
      <c r="E736"/>
      <c r="F736" t="s">
        <v>5164</v>
      </c>
      <c r="G736"/>
      <c r="H736"/>
      <c r="I736" t="s">
        <v>5165</v>
      </c>
      <c r="J736" t="s">
        <v>587</v>
      </c>
      <c r="K736"/>
      <c r="L736"/>
      <c r="M736"/>
      <c r="N736" t="s">
        <v>112</v>
      </c>
      <c r="O736"/>
      <c r="P736"/>
      <c r="Q736"/>
      <c r="R736"/>
      <c r="S736"/>
      <c r="T736" t="s">
        <v>5166</v>
      </c>
      <c r="U736" t="s">
        <v>5167</v>
      </c>
      <c r="V736"/>
      <c r="W736"/>
      <c r="X736"/>
      <c r="Y736"/>
      <c r="Z736"/>
      <c r="AA736"/>
      <c r="AB736"/>
      <c r="AC736"/>
      <c r="AD736"/>
      <c r="AE736"/>
      <c r="AF736"/>
      <c r="AG736"/>
      <c r="AH736">
        <v>11</v>
      </c>
      <c r="AI736">
        <v>11</v>
      </c>
      <c r="AJ736"/>
      <c r="AK736"/>
      <c r="AL736"/>
      <c r="AM736"/>
      <c r="AN736"/>
      <c r="AO736" t="s">
        <v>590</v>
      </c>
      <c r="AP736" t="s">
        <v>591</v>
      </c>
      <c r="AQ736"/>
      <c r="AR736"/>
      <c r="AS736"/>
      <c r="AT736" t="s">
        <v>2162</v>
      </c>
      <c r="AU736">
        <v>2020</v>
      </c>
      <c r="AV736">
        <v>244</v>
      </c>
      <c r="AW736"/>
      <c r="AX736"/>
      <c r="AY736"/>
      <c r="AZ736"/>
      <c r="BA736"/>
      <c r="BB736"/>
      <c r="BC736"/>
      <c r="BD736">
        <v>118780</v>
      </c>
      <c r="BE736" t="s">
        <v>5168</v>
      </c>
      <c r="BF736" t="str">
        <f>HYPERLINK("http://dx.doi.org/10.1016/j.jclepro.2019.118780","http://dx.doi.org/10.1016/j.jclepro.2019.118780")</f>
        <v>http://dx.doi.org/10.1016/j.jclepro.2019.118780</v>
      </c>
      <c r="BG736"/>
      <c r="BH736"/>
      <c r="BI736"/>
      <c r="BJ736" t="s">
        <v>139</v>
      </c>
      <c r="BK736"/>
      <c r="BL736"/>
      <c r="BM736"/>
      <c r="BN736"/>
      <c r="BO736"/>
      <c r="BP736"/>
      <c r="BQ736"/>
      <c r="BR736"/>
      <c r="BS736"/>
      <c r="BT736" t="str">
        <f>HYPERLINK("https%3A%2F%2Fwww.webofscience.com%2Fwos%2Fwoscc%2Ffull-record%2F","View Full Record in Web of Science")</f>
        <v>View Full Record in Web of Science</v>
      </c>
    </row>
    <row r="737" spans="1:72" customHeight="1" ht="12.75">
      <c r="A737" t="s">
        <v>72</v>
      </c>
      <c r="B737" t="s">
        <v>5169</v>
      </c>
      <c r="C737"/>
      <c r="D737"/>
      <c r="E737"/>
      <c r="F737" t="s">
        <v>5170</v>
      </c>
      <c r="G737"/>
      <c r="H737"/>
      <c r="I737" t="s">
        <v>5171</v>
      </c>
      <c r="J737" t="s">
        <v>448</v>
      </c>
      <c r="K737"/>
      <c r="L737"/>
      <c r="M737"/>
      <c r="N737" t="s">
        <v>112</v>
      </c>
      <c r="O737"/>
      <c r="P737"/>
      <c r="Q737"/>
      <c r="R737"/>
      <c r="S737"/>
      <c r="T737" t="s">
        <v>5172</v>
      </c>
      <c r="U737" t="s">
        <v>5173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>
        <v>12</v>
      </c>
      <c r="AI737">
        <v>13</v>
      </c>
      <c r="AJ737"/>
      <c r="AK737"/>
      <c r="AL737"/>
      <c r="AM737"/>
      <c r="AN737"/>
      <c r="AO737" t="s">
        <v>451</v>
      </c>
      <c r="AP737"/>
      <c r="AQ737"/>
      <c r="AR737"/>
      <c r="AS737"/>
      <c r="AT737" t="s">
        <v>128</v>
      </c>
      <c r="AU737">
        <v>2017</v>
      </c>
      <c r="AV737">
        <v>12</v>
      </c>
      <c r="AW737">
        <v>12</v>
      </c>
      <c r="AX737"/>
      <c r="AY737"/>
      <c r="AZ737"/>
      <c r="BA737"/>
      <c r="BB737"/>
      <c r="BC737"/>
      <c r="BD737">
        <v>125009</v>
      </c>
      <c r="BE737" t="s">
        <v>5174</v>
      </c>
      <c r="BF737" t="str">
        <f>HYPERLINK("http://dx.doi.org/10.1088/1748-9326/aa98ca","http://dx.doi.org/10.1088/1748-9326/aa98ca")</f>
        <v>http://dx.doi.org/10.1088/1748-9326/aa98ca</v>
      </c>
      <c r="BG737"/>
      <c r="BH737"/>
      <c r="BI737"/>
      <c r="BJ737" t="s">
        <v>453</v>
      </c>
      <c r="BK737"/>
      <c r="BL737"/>
      <c r="BM737"/>
      <c r="BN737"/>
      <c r="BO737"/>
      <c r="BP737"/>
      <c r="BQ737"/>
      <c r="BR737"/>
      <c r="BS737"/>
      <c r="BT737" t="str">
        <f>HYPERLINK("https%3A%2F%2Fwww.webofscience.com%2Fwos%2Fwoscc%2Ffull-record%2F","View Full Record in Web of Science")</f>
        <v>View Full Record in Web of Science</v>
      </c>
    </row>
    <row r="738" spans="1:72" customHeight="1" ht="12.75">
      <c r="A738" t="s">
        <v>72</v>
      </c>
      <c r="B738" t="s">
        <v>5175</v>
      </c>
      <c r="C738"/>
      <c r="D738"/>
      <c r="E738"/>
      <c r="F738" t="s">
        <v>5176</v>
      </c>
      <c r="G738"/>
      <c r="H738"/>
      <c r="I738" t="s">
        <v>5177</v>
      </c>
      <c r="J738" t="s">
        <v>4697</v>
      </c>
      <c r="K738"/>
      <c r="L738"/>
      <c r="M738"/>
      <c r="N738" t="s">
        <v>325</v>
      </c>
      <c r="O738"/>
      <c r="P738"/>
      <c r="Q738"/>
      <c r="R738"/>
      <c r="S738"/>
      <c r="T738" t="s">
        <v>5178</v>
      </c>
      <c r="U738" t="s">
        <v>5179</v>
      </c>
      <c r="V738"/>
      <c r="W738"/>
      <c r="X738"/>
      <c r="Y738"/>
      <c r="Z738"/>
      <c r="AA738"/>
      <c r="AB738"/>
      <c r="AC738"/>
      <c r="AD738"/>
      <c r="AE738"/>
      <c r="AF738"/>
      <c r="AG738"/>
      <c r="AH738">
        <v>15</v>
      </c>
      <c r="AI738">
        <v>15</v>
      </c>
      <c r="AJ738"/>
      <c r="AK738"/>
      <c r="AL738"/>
      <c r="AM738"/>
      <c r="AN738"/>
      <c r="AO738" t="s">
        <v>4700</v>
      </c>
      <c r="AP738"/>
      <c r="AQ738"/>
      <c r="AR738"/>
      <c r="AS738"/>
      <c r="AT738" t="s">
        <v>3496</v>
      </c>
      <c r="AU738">
        <v>2022</v>
      </c>
      <c r="AV738">
        <v>44</v>
      </c>
      <c r="AW738"/>
      <c r="AX738"/>
      <c r="AY738"/>
      <c r="AZ738"/>
      <c r="BA738"/>
      <c r="BB738"/>
      <c r="BC738"/>
      <c r="BD738">
        <v>101195</v>
      </c>
      <c r="BE738" t="s">
        <v>5180</v>
      </c>
      <c r="BF738" t="str">
        <f>HYPERLINK("http://dx.doi.org/10.1016/j.uclim.2022.101195","http://dx.doi.org/10.1016/j.uclim.2022.101195")</f>
        <v>http://dx.doi.org/10.1016/j.uclim.2022.101195</v>
      </c>
      <c r="BG738"/>
      <c r="BH738" t="s">
        <v>3445</v>
      </c>
      <c r="BI738"/>
      <c r="BJ738" t="s">
        <v>453</v>
      </c>
      <c r="BK738"/>
      <c r="BL738"/>
      <c r="BM738"/>
      <c r="BN738"/>
      <c r="BO738"/>
      <c r="BP738"/>
      <c r="BQ738"/>
      <c r="BR738"/>
      <c r="BS738"/>
      <c r="BT738" t="str">
        <f>HYPERLINK("https%3A%2F%2Fwww.webofscience.com%2Fwos%2Fwoscc%2Ffull-record%2F","View Full Record in Web of Science")</f>
        <v>View Full Record in Web of Science</v>
      </c>
    </row>
    <row r="739" spans="1:72" customHeight="1" ht="12.75">
      <c r="A739" t="s">
        <v>72</v>
      </c>
      <c r="B739" t="s">
        <v>5181</v>
      </c>
      <c r="C739"/>
      <c r="D739"/>
      <c r="E739"/>
      <c r="F739" t="s">
        <v>5182</v>
      </c>
      <c r="G739"/>
      <c r="H739"/>
      <c r="I739" t="s">
        <v>5183</v>
      </c>
      <c r="J739" t="s">
        <v>587</v>
      </c>
      <c r="K739"/>
      <c r="L739"/>
      <c r="M739"/>
      <c r="N739" t="s">
        <v>112</v>
      </c>
      <c r="O739"/>
      <c r="P739"/>
      <c r="Q739"/>
      <c r="R739"/>
      <c r="S739"/>
      <c r="T739" t="s">
        <v>5184</v>
      </c>
      <c r="U739" t="s">
        <v>5185</v>
      </c>
      <c r="V739"/>
      <c r="W739"/>
      <c r="X739"/>
      <c r="Y739"/>
      <c r="Z739"/>
      <c r="AA739"/>
      <c r="AB739"/>
      <c r="AC739"/>
      <c r="AD739"/>
      <c r="AE739"/>
      <c r="AF739"/>
      <c r="AG739"/>
      <c r="AH739">
        <v>14</v>
      </c>
      <c r="AI739">
        <v>14</v>
      </c>
      <c r="AJ739"/>
      <c r="AK739"/>
      <c r="AL739"/>
      <c r="AM739"/>
      <c r="AN739"/>
      <c r="AO739" t="s">
        <v>590</v>
      </c>
      <c r="AP739" t="s">
        <v>591</v>
      </c>
      <c r="AQ739"/>
      <c r="AR739"/>
      <c r="AS739"/>
      <c r="AT739" t="s">
        <v>5186</v>
      </c>
      <c r="AU739">
        <v>2020</v>
      </c>
      <c r="AV739">
        <v>276</v>
      </c>
      <c r="AW739"/>
      <c r="AX739"/>
      <c r="AY739"/>
      <c r="AZ739"/>
      <c r="BA739"/>
      <c r="BB739"/>
      <c r="BC739"/>
      <c r="BD739">
        <v>123510</v>
      </c>
      <c r="BE739" t="s">
        <v>5187</v>
      </c>
      <c r="BF739" t="str">
        <f>HYPERLINK("http://dx.doi.org/10.1016/j.jclepro.2020.123510","http://dx.doi.org/10.1016/j.jclepro.2020.123510")</f>
        <v>http://dx.doi.org/10.1016/j.jclepro.2020.123510</v>
      </c>
      <c r="BG739"/>
      <c r="BH739"/>
      <c r="BI739"/>
      <c r="BJ739" t="s">
        <v>139</v>
      </c>
      <c r="BK739"/>
      <c r="BL739"/>
      <c r="BM739"/>
      <c r="BN739"/>
      <c r="BO739"/>
      <c r="BP739"/>
      <c r="BQ739"/>
      <c r="BR739"/>
      <c r="BS739"/>
      <c r="BT739" t="str">
        <f>HYPERLINK("https%3A%2F%2Fwww.webofscience.com%2Fwos%2Fwoscc%2Ffull-record%2F","View Full Record in Web of Science")</f>
        <v>View Full Record in Web of Science</v>
      </c>
    </row>
    <row r="740" spans="1:72" customHeight="1" ht="12.75">
      <c r="A740" t="s">
        <v>72</v>
      </c>
      <c r="B740" t="s">
        <v>5188</v>
      </c>
      <c r="C740"/>
      <c r="D740"/>
      <c r="E740"/>
      <c r="F740" t="s">
        <v>5189</v>
      </c>
      <c r="G740"/>
      <c r="H740"/>
      <c r="I740" t="s">
        <v>5190</v>
      </c>
      <c r="J740" t="s">
        <v>2566</v>
      </c>
      <c r="K740"/>
      <c r="L740"/>
      <c r="M740"/>
      <c r="N740" t="s">
        <v>325</v>
      </c>
      <c r="O740"/>
      <c r="P740"/>
      <c r="Q740"/>
      <c r="R740"/>
      <c r="S740"/>
      <c r="T740" t="s">
        <v>5191</v>
      </c>
      <c r="U740" t="s">
        <v>5192</v>
      </c>
      <c r="V740"/>
      <c r="W740"/>
      <c r="X740"/>
      <c r="Y740"/>
      <c r="Z740"/>
      <c r="AA740"/>
      <c r="AB740"/>
      <c r="AC740"/>
      <c r="AD740"/>
      <c r="AE740"/>
      <c r="AF740"/>
      <c r="AG740"/>
      <c r="AH740">
        <v>17</v>
      </c>
      <c r="AI740">
        <v>17</v>
      </c>
      <c r="AJ740"/>
      <c r="AK740"/>
      <c r="AL740"/>
      <c r="AM740"/>
      <c r="AN740"/>
      <c r="AO740" t="s">
        <v>2569</v>
      </c>
      <c r="AP740" t="s">
        <v>2570</v>
      </c>
      <c r="AQ740"/>
      <c r="AR740"/>
      <c r="AS740"/>
      <c r="AT740" t="s">
        <v>5193</v>
      </c>
      <c r="AU740">
        <v>2021</v>
      </c>
      <c r="AV740">
        <v>193</v>
      </c>
      <c r="AW740"/>
      <c r="AX740"/>
      <c r="AY740"/>
      <c r="AZ740"/>
      <c r="BA740"/>
      <c r="BB740"/>
      <c r="BC740"/>
      <c r="BD740">
        <v>116892</v>
      </c>
      <c r="BE740" t="s">
        <v>5194</v>
      </c>
      <c r="BF740" t="str">
        <f>HYPERLINK("http://dx.doi.org/10.1016/j.watres.2021.116892","http://dx.doi.org/10.1016/j.watres.2021.116892")</f>
        <v>http://dx.doi.org/10.1016/j.watres.2021.116892</v>
      </c>
      <c r="BG740"/>
      <c r="BH740" t="s">
        <v>2111</v>
      </c>
      <c r="BI740"/>
      <c r="BJ740" t="s">
        <v>1184</v>
      </c>
      <c r="BK740"/>
      <c r="BL740"/>
      <c r="BM740"/>
      <c r="BN740"/>
      <c r="BO740"/>
      <c r="BP740"/>
      <c r="BQ740"/>
      <c r="BR740"/>
      <c r="BS740"/>
      <c r="BT740" t="str">
        <f>HYPERLINK("https%3A%2F%2Fwww.webofscience.com%2Fwos%2Fwoscc%2Ffull-record%2F","View Full Record in Web of Science")</f>
        <v>View Full Record in Web of Science</v>
      </c>
    </row>
    <row r="741" spans="1:72" customHeight="1" ht="12.75">
      <c r="A741" t="s">
        <v>72</v>
      </c>
      <c r="B741" t="s">
        <v>5195</v>
      </c>
      <c r="C741"/>
      <c r="D741"/>
      <c r="E741"/>
      <c r="F741" t="s">
        <v>5196</v>
      </c>
      <c r="G741"/>
      <c r="H741"/>
      <c r="I741" t="s">
        <v>5197</v>
      </c>
      <c r="J741" t="s">
        <v>510</v>
      </c>
      <c r="K741"/>
      <c r="L741"/>
      <c r="M741"/>
      <c r="N741" t="s">
        <v>112</v>
      </c>
      <c r="O741"/>
      <c r="P741"/>
      <c r="Q741"/>
      <c r="R741"/>
      <c r="S741"/>
      <c r="T741" t="s">
        <v>5198</v>
      </c>
      <c r="U741" t="s">
        <v>5199</v>
      </c>
      <c r="V741"/>
      <c r="W741"/>
      <c r="X741"/>
      <c r="Y741"/>
      <c r="Z741"/>
      <c r="AA741"/>
      <c r="AB741"/>
      <c r="AC741"/>
      <c r="AD741"/>
      <c r="AE741"/>
      <c r="AF741"/>
      <c r="AG741"/>
      <c r="AH741">
        <v>28</v>
      </c>
      <c r="AI741">
        <v>32</v>
      </c>
      <c r="AJ741"/>
      <c r="AK741"/>
      <c r="AL741"/>
      <c r="AM741"/>
      <c r="AN741"/>
      <c r="AO741" t="s">
        <v>511</v>
      </c>
      <c r="AP741" t="s">
        <v>512</v>
      </c>
      <c r="AQ741"/>
      <c r="AR741"/>
      <c r="AS741"/>
      <c r="AT741" t="s">
        <v>5200</v>
      </c>
      <c r="AU741">
        <v>2016</v>
      </c>
      <c r="AV741">
        <v>337</v>
      </c>
      <c r="AW741"/>
      <c r="AX741"/>
      <c r="AY741"/>
      <c r="AZ741"/>
      <c r="BA741"/>
      <c r="BB741">
        <v>29</v>
      </c>
      <c r="BC741">
        <v>38</v>
      </c>
      <c r="BD741"/>
      <c r="BE741" t="s">
        <v>5201</v>
      </c>
      <c r="BF741" t="str">
        <f>HYPERLINK("http://dx.doi.org/10.1016/j.ecolmodel.2016.06.001","http://dx.doi.org/10.1016/j.ecolmodel.2016.06.001")</f>
        <v>http://dx.doi.org/10.1016/j.ecolmodel.2016.06.001</v>
      </c>
      <c r="BG741"/>
      <c r="BH741"/>
      <c r="BI741"/>
      <c r="BJ741" t="s">
        <v>181</v>
      </c>
      <c r="BK741"/>
      <c r="BL741"/>
      <c r="BM741"/>
      <c r="BN741"/>
      <c r="BO741"/>
      <c r="BP741"/>
      <c r="BQ741"/>
      <c r="BR741"/>
      <c r="BS741"/>
      <c r="BT741" t="str">
        <f>HYPERLINK("https%3A%2F%2Fwww.webofscience.com%2Fwos%2Fwoscc%2Ffull-record%2F","View Full Record in Web of Science")</f>
        <v>View Full Record in Web of Science</v>
      </c>
    </row>
    <row r="742" spans="1:72" customHeight="1" ht="12.75">
      <c r="A742" t="s">
        <v>72</v>
      </c>
      <c r="B742" t="s">
        <v>5202</v>
      </c>
      <c r="C742"/>
      <c r="D742"/>
      <c r="E742"/>
      <c r="F742" t="s">
        <v>5203</v>
      </c>
      <c r="G742"/>
      <c r="H742"/>
      <c r="I742" t="s">
        <v>5204</v>
      </c>
      <c r="J742" t="s">
        <v>1680</v>
      </c>
      <c r="K742"/>
      <c r="L742"/>
      <c r="M742"/>
      <c r="N742" t="s">
        <v>325</v>
      </c>
      <c r="O742"/>
      <c r="P742"/>
      <c r="Q742"/>
      <c r="R742"/>
      <c r="S742"/>
      <c r="T742" t="s">
        <v>5205</v>
      </c>
      <c r="U742" t="s">
        <v>5206</v>
      </c>
      <c r="V742"/>
      <c r="W742"/>
      <c r="X742"/>
      <c r="Y742"/>
      <c r="Z742"/>
      <c r="AA742"/>
      <c r="AB742"/>
      <c r="AC742"/>
      <c r="AD742"/>
      <c r="AE742"/>
      <c r="AF742"/>
      <c r="AG742"/>
      <c r="AH742">
        <v>2</v>
      </c>
      <c r="AI742">
        <v>3</v>
      </c>
      <c r="AJ742"/>
      <c r="AK742"/>
      <c r="AL742"/>
      <c r="AM742"/>
      <c r="AN742"/>
      <c r="AO742" t="s">
        <v>1683</v>
      </c>
      <c r="AP742" t="s">
        <v>1684</v>
      </c>
      <c r="AQ742"/>
      <c r="AR742"/>
      <c r="AS742"/>
      <c r="AT742" t="s">
        <v>5207</v>
      </c>
      <c r="AU742">
        <v>2021</v>
      </c>
      <c r="AV742">
        <v>300</v>
      </c>
      <c r="AW742"/>
      <c r="AX742"/>
      <c r="AY742"/>
      <c r="AZ742"/>
      <c r="BA742"/>
      <c r="BB742"/>
      <c r="BC742"/>
      <c r="BD742">
        <v>113618</v>
      </c>
      <c r="BE742" t="s">
        <v>5208</v>
      </c>
      <c r="BF742" t="str">
        <f>HYPERLINK("http://dx.doi.org/10.1016/j.jenvman.2021.113618","http://dx.doi.org/10.1016/j.jenvman.2021.113618")</f>
        <v>http://dx.doi.org/10.1016/j.jenvman.2021.113618</v>
      </c>
      <c r="BG742"/>
      <c r="BH742" t="s">
        <v>2963</v>
      </c>
      <c r="BI742"/>
      <c r="BJ742" t="s">
        <v>224</v>
      </c>
      <c r="BK742"/>
      <c r="BL742"/>
      <c r="BM742"/>
      <c r="BN742"/>
      <c r="BO742"/>
      <c r="BP742"/>
      <c r="BQ742"/>
      <c r="BR742"/>
      <c r="BS742"/>
      <c r="BT742" t="str">
        <f>HYPERLINK("https%3A%2F%2Fwww.webofscience.com%2Fwos%2Fwoscc%2Ffull-record%2F","View Full Record in Web of Science")</f>
        <v>View Full Record in Web of Science</v>
      </c>
    </row>
    <row r="743" spans="1:72" customHeight="1" ht="12.75">
      <c r="A743" t="s">
        <v>72</v>
      </c>
      <c r="B743" t="s">
        <v>5209</v>
      </c>
      <c r="C743"/>
      <c r="D743"/>
      <c r="E743"/>
      <c r="F743" t="s">
        <v>5210</v>
      </c>
      <c r="G743"/>
      <c r="H743"/>
      <c r="I743" t="s">
        <v>5211</v>
      </c>
      <c r="J743" t="s">
        <v>1957</v>
      </c>
      <c r="K743"/>
      <c r="L743"/>
      <c r="M743"/>
      <c r="N743" t="s">
        <v>325</v>
      </c>
      <c r="O743"/>
      <c r="P743"/>
      <c r="Q743"/>
      <c r="R743"/>
      <c r="S743"/>
      <c r="T743" t="s">
        <v>5212</v>
      </c>
      <c r="U743" t="s">
        <v>5213</v>
      </c>
      <c r="V743"/>
      <c r="W743"/>
      <c r="X743"/>
      <c r="Y743"/>
      <c r="Z743"/>
      <c r="AA743"/>
      <c r="AB743"/>
      <c r="AC743"/>
      <c r="AD743"/>
      <c r="AE743"/>
      <c r="AF743"/>
      <c r="AG743"/>
      <c r="AH743">
        <v>0.0</v>
      </c>
      <c r="AI743">
        <v>0.0</v>
      </c>
      <c r="AJ743"/>
      <c r="AK743"/>
      <c r="AL743"/>
      <c r="AM743"/>
      <c r="AN743"/>
      <c r="AO743" t="s">
        <v>1959</v>
      </c>
      <c r="AP743" t="s">
        <v>3003</v>
      </c>
      <c r="AQ743"/>
      <c r="AR743"/>
      <c r="AS743"/>
      <c r="AT743" t="s">
        <v>328</v>
      </c>
      <c r="AU743">
        <v>2023</v>
      </c>
      <c r="AV743">
        <v>30</v>
      </c>
      <c r="AW743">
        <v>48</v>
      </c>
      <c r="AX743"/>
      <c r="AY743"/>
      <c r="AZ743"/>
      <c r="BA743"/>
      <c r="BB743">
        <v>106533</v>
      </c>
      <c r="BC743">
        <v>106548</v>
      </c>
      <c r="BD743"/>
      <c r="BE743" t="s">
        <v>5214</v>
      </c>
      <c r="BF743" t="str">
        <f>HYPERLINK("http://dx.doi.org/10.1007/s11356-023-29735-8","http://dx.doi.org/10.1007/s11356-023-29735-8")</f>
        <v>http://dx.doi.org/10.1007/s11356-023-29735-8</v>
      </c>
      <c r="BG743"/>
      <c r="BH743" t="s">
        <v>3346</v>
      </c>
      <c r="BI743"/>
      <c r="BJ743" t="s">
        <v>224</v>
      </c>
      <c r="BK743"/>
      <c r="BL743"/>
      <c r="BM743"/>
      <c r="BN743"/>
      <c r="BO743"/>
      <c r="BP743"/>
      <c r="BQ743"/>
      <c r="BR743"/>
      <c r="BS743"/>
      <c r="BT743" t="str">
        <f>HYPERLINK("https%3A%2F%2Fwww.webofscience.com%2Fwos%2Fwoscc%2Ffull-record%2F","View Full Record in Web of Science")</f>
        <v>View Full Record in Web of Science</v>
      </c>
    </row>
    <row r="744" spans="1:72" customHeight="1" ht="12.75">
      <c r="A744" t="s">
        <v>72</v>
      </c>
      <c r="B744" t="s">
        <v>5215</v>
      </c>
      <c r="C744"/>
      <c r="D744"/>
      <c r="E744"/>
      <c r="F744" t="s">
        <v>5216</v>
      </c>
      <c r="G744"/>
      <c r="H744"/>
      <c r="I744" t="s">
        <v>5217</v>
      </c>
      <c r="J744" t="s">
        <v>1067</v>
      </c>
      <c r="K744"/>
      <c r="L744"/>
      <c r="M744"/>
      <c r="N744" t="s">
        <v>325</v>
      </c>
      <c r="O744"/>
      <c r="P744"/>
      <c r="Q744"/>
      <c r="R744"/>
      <c r="S744"/>
      <c r="T744" t="s">
        <v>5218</v>
      </c>
      <c r="U744" t="s">
        <v>5219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>
        <v>2</v>
      </c>
      <c r="AI744">
        <v>2</v>
      </c>
      <c r="AJ744"/>
      <c r="AK744"/>
      <c r="AL744"/>
      <c r="AM744"/>
      <c r="AN744"/>
      <c r="AO744" t="s">
        <v>1070</v>
      </c>
      <c r="AP744" t="s">
        <v>1071</v>
      </c>
      <c r="AQ744"/>
      <c r="AR744"/>
      <c r="AS744"/>
      <c r="AT744" t="s">
        <v>4413</v>
      </c>
      <c r="AU744">
        <v>2023</v>
      </c>
      <c r="AV744">
        <v>879</v>
      </c>
      <c r="AW744"/>
      <c r="AX744"/>
      <c r="AY744"/>
      <c r="AZ744"/>
      <c r="BA744"/>
      <c r="BB744"/>
      <c r="BC744"/>
      <c r="BD744">
        <v>162991</v>
      </c>
      <c r="BE744" t="s">
        <v>5220</v>
      </c>
      <c r="BF744" t="str">
        <f>HYPERLINK("http://dx.doi.org/10.1016/j.scitotenv.2023.162991","http://dx.doi.org/10.1016/j.scitotenv.2023.162991")</f>
        <v>http://dx.doi.org/10.1016/j.scitotenv.2023.162991</v>
      </c>
      <c r="BG744"/>
      <c r="BH744" t="s">
        <v>4415</v>
      </c>
      <c r="BI744"/>
      <c r="BJ744" t="s">
        <v>224</v>
      </c>
      <c r="BK744"/>
      <c r="BL744"/>
      <c r="BM744"/>
      <c r="BN744"/>
      <c r="BO744"/>
      <c r="BP744"/>
      <c r="BQ744"/>
      <c r="BR744"/>
      <c r="BS744"/>
      <c r="BT744" t="str">
        <f>HYPERLINK("https%3A%2F%2Fwww.webofscience.com%2Fwos%2Fwoscc%2Ffull-record%2F","View Full Record in Web of Science")</f>
        <v>View Full Record in Web of Science</v>
      </c>
    </row>
    <row r="745" spans="1:72" customHeight="1" ht="12.75">
      <c r="A745" t="s">
        <v>72</v>
      </c>
      <c r="B745" t="s">
        <v>5221</v>
      </c>
      <c r="C745"/>
      <c r="D745"/>
      <c r="E745"/>
      <c r="F745" t="s">
        <v>5222</v>
      </c>
      <c r="G745"/>
      <c r="H745"/>
      <c r="I745" t="s">
        <v>5223</v>
      </c>
      <c r="J745" t="s">
        <v>133</v>
      </c>
      <c r="K745"/>
      <c r="L745"/>
      <c r="M745"/>
      <c r="N745" t="s">
        <v>112</v>
      </c>
      <c r="O745"/>
      <c r="P745"/>
      <c r="Q745"/>
      <c r="R745"/>
      <c r="S745"/>
      <c r="T745" t="s">
        <v>5224</v>
      </c>
      <c r="U745" t="s">
        <v>5225</v>
      </c>
      <c r="V745"/>
      <c r="W745"/>
      <c r="X745"/>
      <c r="Y745"/>
      <c r="Z745"/>
      <c r="AA745"/>
      <c r="AB745"/>
      <c r="AC745"/>
      <c r="AD745"/>
      <c r="AE745"/>
      <c r="AF745"/>
      <c r="AG745"/>
      <c r="AH745">
        <v>61</v>
      </c>
      <c r="AI745">
        <v>71</v>
      </c>
      <c r="AJ745"/>
      <c r="AK745"/>
      <c r="AL745"/>
      <c r="AM745"/>
      <c r="AN745"/>
      <c r="AO745" t="s">
        <v>136</v>
      </c>
      <c r="AP745" t="s">
        <v>137</v>
      </c>
      <c r="AQ745"/>
      <c r="AR745"/>
      <c r="AS745"/>
      <c r="AT745" t="s">
        <v>198</v>
      </c>
      <c r="AU745">
        <v>2017</v>
      </c>
      <c r="AV745">
        <v>21</v>
      </c>
      <c r="AW745">
        <v>5</v>
      </c>
      <c r="AX745"/>
      <c r="AY745"/>
      <c r="AZ745"/>
      <c r="BA745"/>
      <c r="BB745">
        <v>1277</v>
      </c>
      <c r="BC745">
        <v>1290</v>
      </c>
      <c r="BD745"/>
      <c r="BE745" t="s">
        <v>5226</v>
      </c>
      <c r="BF745" t="str">
        <f>HYPERLINK("http://dx.doi.org/10.1111/jiec.12491","http://dx.doi.org/10.1111/jiec.12491")</f>
        <v>http://dx.doi.org/10.1111/jiec.12491</v>
      </c>
      <c r="BG745"/>
      <c r="BH745"/>
      <c r="BI745"/>
      <c r="BJ745" t="s">
        <v>139</v>
      </c>
      <c r="BK745"/>
      <c r="BL745"/>
      <c r="BM745"/>
      <c r="BN745"/>
      <c r="BO745"/>
      <c r="BP745"/>
      <c r="BQ745"/>
      <c r="BR745"/>
      <c r="BS745"/>
      <c r="BT745" t="str">
        <f>HYPERLINK("https%3A%2F%2Fwww.webofscience.com%2Fwos%2Fwoscc%2Ffull-record%2F","View Full Record in Web of Science")</f>
        <v>View Full Record in Web of Science</v>
      </c>
    </row>
    <row r="746" spans="1:72" customHeight="1" ht="12.75">
      <c r="A746" t="s">
        <v>72</v>
      </c>
      <c r="B746" t="s">
        <v>5227</v>
      </c>
      <c r="C746"/>
      <c r="D746"/>
      <c r="E746"/>
      <c r="F746" t="s">
        <v>5228</v>
      </c>
      <c r="G746"/>
      <c r="H746"/>
      <c r="I746" t="s">
        <v>5229</v>
      </c>
      <c r="J746" t="s">
        <v>5230</v>
      </c>
      <c r="K746"/>
      <c r="L746"/>
      <c r="M746"/>
      <c r="N746" t="s">
        <v>112</v>
      </c>
      <c r="O746"/>
      <c r="P746"/>
      <c r="Q746"/>
      <c r="R746"/>
      <c r="S746"/>
      <c r="T746" t="s">
        <v>5231</v>
      </c>
      <c r="U746" t="s">
        <v>5232</v>
      </c>
      <c r="V746"/>
      <c r="W746"/>
      <c r="X746"/>
      <c r="Y746"/>
      <c r="Z746"/>
      <c r="AA746"/>
      <c r="AB746"/>
      <c r="AC746"/>
      <c r="AD746"/>
      <c r="AE746"/>
      <c r="AF746"/>
      <c r="AG746"/>
      <c r="AH746">
        <v>7</v>
      </c>
      <c r="AI746">
        <v>7</v>
      </c>
      <c r="AJ746"/>
      <c r="AK746"/>
      <c r="AL746"/>
      <c r="AM746"/>
      <c r="AN746"/>
      <c r="AO746" t="s">
        <v>5233</v>
      </c>
      <c r="AP746"/>
      <c r="AQ746"/>
      <c r="AR746"/>
      <c r="AS746"/>
      <c r="AT746" t="s">
        <v>5234</v>
      </c>
      <c r="AU746">
        <v>2020</v>
      </c>
      <c r="AV746">
        <v>11</v>
      </c>
      <c r="AW746"/>
      <c r="AX746"/>
      <c r="AY746"/>
      <c r="AZ746"/>
      <c r="BA746"/>
      <c r="BB746"/>
      <c r="BC746"/>
      <c r="BD746">
        <v>596550</v>
      </c>
      <c r="BE746" t="s">
        <v>5235</v>
      </c>
      <c r="BF746" t="str">
        <f>HYPERLINK("http://dx.doi.org/10.3389/fpls.2020.596550","http://dx.doi.org/10.3389/fpls.2020.596550")</f>
        <v>http://dx.doi.org/10.3389/fpls.2020.596550</v>
      </c>
      <c r="BG746"/>
      <c r="BH746"/>
      <c r="BI746"/>
      <c r="BJ746" t="s">
        <v>5236</v>
      </c>
      <c r="BK746"/>
      <c r="BL746"/>
      <c r="BM746"/>
      <c r="BN746"/>
      <c r="BO746"/>
      <c r="BP746"/>
      <c r="BQ746"/>
      <c r="BR746"/>
      <c r="BS746"/>
      <c r="BT746" t="str">
        <f>HYPERLINK("https%3A%2F%2Fwww.webofscience.com%2Fwos%2Fwoscc%2Ffull-record%2F","View Full Record in Web of Science")</f>
        <v>View Full Record in Web of Science</v>
      </c>
    </row>
    <row r="747" spans="1:72" customHeight="1" ht="12.75">
      <c r="A747" t="s">
        <v>72</v>
      </c>
      <c r="B747" t="s">
        <v>5237</v>
      </c>
      <c r="C747"/>
      <c r="D747"/>
      <c r="E747"/>
      <c r="F747" t="s">
        <v>5238</v>
      </c>
      <c r="G747"/>
      <c r="H747"/>
      <c r="I747" t="s">
        <v>5239</v>
      </c>
      <c r="J747" t="s">
        <v>457</v>
      </c>
      <c r="K747"/>
      <c r="L747"/>
      <c r="M747"/>
      <c r="N747" t="s">
        <v>112</v>
      </c>
      <c r="O747"/>
      <c r="P747"/>
      <c r="Q747"/>
      <c r="R747"/>
      <c r="S747"/>
      <c r="T747" t="s">
        <v>5240</v>
      </c>
      <c r="U747" t="s">
        <v>5241</v>
      </c>
      <c r="V747"/>
      <c r="W747"/>
      <c r="X747"/>
      <c r="Y747"/>
      <c r="Z747"/>
      <c r="AA747"/>
      <c r="AB747"/>
      <c r="AC747"/>
      <c r="AD747"/>
      <c r="AE747"/>
      <c r="AF747"/>
      <c r="AG747"/>
      <c r="AH747">
        <v>0.0</v>
      </c>
      <c r="AI747">
        <v>0.0</v>
      </c>
      <c r="AJ747"/>
      <c r="AK747"/>
      <c r="AL747"/>
      <c r="AM747"/>
      <c r="AN747"/>
      <c r="AO747"/>
      <c r="AP747" t="s">
        <v>458</v>
      </c>
      <c r="AQ747"/>
      <c r="AR747"/>
      <c r="AS747"/>
      <c r="AT747" t="s">
        <v>128</v>
      </c>
      <c r="AU747">
        <v>2021</v>
      </c>
      <c r="AV747">
        <v>13</v>
      </c>
      <c r="AW747">
        <v>23</v>
      </c>
      <c r="AX747"/>
      <c r="AY747"/>
      <c r="AZ747"/>
      <c r="BA747"/>
      <c r="BB747"/>
      <c r="BC747"/>
      <c r="BD747">
        <v>13181</v>
      </c>
      <c r="BE747" t="s">
        <v>5242</v>
      </c>
      <c r="BF747" t="str">
        <f>HYPERLINK("http://dx.doi.org/10.3390/su132313181","http://dx.doi.org/10.3390/su132313181")</f>
        <v>http://dx.doi.org/10.3390/su132313181</v>
      </c>
      <c r="BG747"/>
      <c r="BH747"/>
      <c r="BI747"/>
      <c r="BJ747" t="s">
        <v>460</v>
      </c>
      <c r="BK747"/>
      <c r="BL747"/>
      <c r="BM747"/>
      <c r="BN747"/>
      <c r="BO747"/>
      <c r="BP747"/>
      <c r="BQ747"/>
      <c r="BR747"/>
      <c r="BS747"/>
      <c r="BT747" t="str">
        <f>HYPERLINK("https%3A%2F%2Fwww.webofscience.com%2Fwos%2Fwoscc%2Ffull-record%2F","View Full Record in Web of Science")</f>
        <v>View Full Record in Web of Science</v>
      </c>
    </row>
    <row r="748" spans="1:72" customHeight="1" ht="12.75">
      <c r="A748" t="s">
        <v>72</v>
      </c>
      <c r="B748" t="s">
        <v>5243</v>
      </c>
      <c r="C748"/>
      <c r="D748"/>
      <c r="E748"/>
      <c r="F748" t="s">
        <v>5244</v>
      </c>
      <c r="G748"/>
      <c r="H748"/>
      <c r="I748" t="s">
        <v>5245</v>
      </c>
      <c r="J748" t="s">
        <v>5246</v>
      </c>
      <c r="K748"/>
      <c r="L748"/>
      <c r="M748"/>
      <c r="N748" t="s">
        <v>112</v>
      </c>
      <c r="O748"/>
      <c r="P748"/>
      <c r="Q748"/>
      <c r="R748"/>
      <c r="S748"/>
      <c r="T748" t="s">
        <v>5247</v>
      </c>
      <c r="U748" t="s">
        <v>5248</v>
      </c>
      <c r="V748"/>
      <c r="W748"/>
      <c r="X748"/>
      <c r="Y748"/>
      <c r="Z748"/>
      <c r="AA748"/>
      <c r="AB748"/>
      <c r="AC748"/>
      <c r="AD748"/>
      <c r="AE748"/>
      <c r="AF748"/>
      <c r="AG748"/>
      <c r="AH748">
        <v>17</v>
      </c>
      <c r="AI748">
        <v>18</v>
      </c>
      <c r="AJ748"/>
      <c r="AK748"/>
      <c r="AL748"/>
      <c r="AM748"/>
      <c r="AN748"/>
      <c r="AO748"/>
      <c r="AP748" t="s">
        <v>5249</v>
      </c>
      <c r="AQ748"/>
      <c r="AR748"/>
      <c r="AS748"/>
      <c r="AT748" t="s">
        <v>362</v>
      </c>
      <c r="AU748">
        <v>2019</v>
      </c>
      <c r="AV748">
        <v>8</v>
      </c>
      <c r="AW748">
        <v>2</v>
      </c>
      <c r="AX748"/>
      <c r="AY748"/>
      <c r="AZ748"/>
      <c r="BA748"/>
      <c r="BB748"/>
      <c r="BC748"/>
      <c r="BD748">
        <v>62</v>
      </c>
      <c r="BE748" t="s">
        <v>5250</v>
      </c>
      <c r="BF748" t="str">
        <f>HYPERLINK("http://dx.doi.org/10.3390/resources8020062","http://dx.doi.org/10.3390/resources8020062")</f>
        <v>http://dx.doi.org/10.3390/resources8020062</v>
      </c>
      <c r="BG748"/>
      <c r="BH748"/>
      <c r="BI748"/>
      <c r="BJ748" t="s">
        <v>654</v>
      </c>
      <c r="BK748"/>
      <c r="BL748"/>
      <c r="BM748"/>
      <c r="BN748"/>
      <c r="BO748"/>
      <c r="BP748"/>
      <c r="BQ748"/>
      <c r="BR748"/>
      <c r="BS748"/>
      <c r="BT748" t="str">
        <f>HYPERLINK("https%3A%2F%2Fwww.webofscience.com%2Fwos%2Fwoscc%2Ffull-record%2F","View Full Record in Web of Science")</f>
        <v>View Full Record in Web of Science</v>
      </c>
    </row>
    <row r="749" spans="1:72" customHeight="1" ht="12.75">
      <c r="A749" t="s">
        <v>72</v>
      </c>
      <c r="B749" t="s">
        <v>5251</v>
      </c>
      <c r="C749"/>
      <c r="D749"/>
      <c r="E749"/>
      <c r="F749" t="s">
        <v>5252</v>
      </c>
      <c r="G749"/>
      <c r="H749"/>
      <c r="I749" t="s">
        <v>5253</v>
      </c>
      <c r="J749" t="s">
        <v>1680</v>
      </c>
      <c r="K749"/>
      <c r="L749"/>
      <c r="M749"/>
      <c r="N749" t="s">
        <v>325</v>
      </c>
      <c r="O749"/>
      <c r="P749"/>
      <c r="Q749"/>
      <c r="R749"/>
      <c r="S749"/>
      <c r="T749" t="s">
        <v>5254</v>
      </c>
      <c r="U749" t="s">
        <v>5255</v>
      </c>
      <c r="V749"/>
      <c r="W749"/>
      <c r="X749"/>
      <c r="Y749"/>
      <c r="Z749"/>
      <c r="AA749"/>
      <c r="AB749"/>
      <c r="AC749"/>
      <c r="AD749"/>
      <c r="AE749"/>
      <c r="AF749"/>
      <c r="AG749"/>
      <c r="AH749">
        <v>3</v>
      </c>
      <c r="AI749">
        <v>3</v>
      </c>
      <c r="AJ749"/>
      <c r="AK749"/>
      <c r="AL749"/>
      <c r="AM749"/>
      <c r="AN749"/>
      <c r="AO749" t="s">
        <v>1683</v>
      </c>
      <c r="AP749" t="s">
        <v>1684</v>
      </c>
      <c r="AQ749"/>
      <c r="AR749"/>
      <c r="AS749"/>
      <c r="AT749" t="s">
        <v>2301</v>
      </c>
      <c r="AU749">
        <v>2022</v>
      </c>
      <c r="AV749">
        <v>317</v>
      </c>
      <c r="AW749"/>
      <c r="AX749"/>
      <c r="AY749"/>
      <c r="AZ749"/>
      <c r="BA749"/>
      <c r="BB749"/>
      <c r="BC749"/>
      <c r="BD749">
        <v>115371</v>
      </c>
      <c r="BE749" t="s">
        <v>5256</v>
      </c>
      <c r="BF749" t="str">
        <f>HYPERLINK("http://dx.doi.org/10.1016/j.jenvman.2022.115371","http://dx.doi.org/10.1016/j.jenvman.2022.115371")</f>
        <v>http://dx.doi.org/10.1016/j.jenvman.2022.115371</v>
      </c>
      <c r="BG749"/>
      <c r="BH749" t="s">
        <v>1109</v>
      </c>
      <c r="BI749"/>
      <c r="BJ749" t="s">
        <v>224</v>
      </c>
      <c r="BK749"/>
      <c r="BL749"/>
      <c r="BM749"/>
      <c r="BN749"/>
      <c r="BO749"/>
      <c r="BP749"/>
      <c r="BQ749"/>
      <c r="BR749"/>
      <c r="BS749"/>
      <c r="BT749" t="str">
        <f>HYPERLINK("https%3A%2F%2Fwww.webofscience.com%2Fwos%2Fwoscc%2Ffull-record%2F","View Full Record in Web of Science")</f>
        <v>View Full Record in Web of Science</v>
      </c>
    </row>
    <row r="750" spans="1:72" customHeight="1" ht="12.75">
      <c r="A750" t="s">
        <v>72</v>
      </c>
      <c r="B750" t="s">
        <v>5257</v>
      </c>
      <c r="C750"/>
      <c r="D750"/>
      <c r="E750"/>
      <c r="F750" t="s">
        <v>5258</v>
      </c>
      <c r="G750"/>
      <c r="H750"/>
      <c r="I750" t="s">
        <v>5259</v>
      </c>
      <c r="J750" t="s">
        <v>1590</v>
      </c>
      <c r="K750"/>
      <c r="L750"/>
      <c r="M750"/>
      <c r="N750" t="s">
        <v>112</v>
      </c>
      <c r="O750"/>
      <c r="P750"/>
      <c r="Q750"/>
      <c r="R750"/>
      <c r="S750"/>
      <c r="T750" t="s">
        <v>5260</v>
      </c>
      <c r="U750" t="s">
        <v>5261</v>
      </c>
      <c r="V750"/>
      <c r="W750"/>
      <c r="X750"/>
      <c r="Y750"/>
      <c r="Z750"/>
      <c r="AA750"/>
      <c r="AB750"/>
      <c r="AC750"/>
      <c r="AD750"/>
      <c r="AE750"/>
      <c r="AF750"/>
      <c r="AG750"/>
      <c r="AH750">
        <v>28</v>
      </c>
      <c r="AI750">
        <v>28</v>
      </c>
      <c r="AJ750"/>
      <c r="AK750"/>
      <c r="AL750"/>
      <c r="AM750"/>
      <c r="AN750"/>
      <c r="AO750" t="s">
        <v>1593</v>
      </c>
      <c r="AP750" t="s">
        <v>1594</v>
      </c>
      <c r="AQ750"/>
      <c r="AR750"/>
      <c r="AS750"/>
      <c r="AT750" t="s">
        <v>117</v>
      </c>
      <c r="AU750">
        <v>2016</v>
      </c>
      <c r="AV750">
        <v>91</v>
      </c>
      <c r="AW750"/>
      <c r="AX750"/>
      <c r="AY750"/>
      <c r="AZ750"/>
      <c r="BA750"/>
      <c r="BB750">
        <v>168</v>
      </c>
      <c r="BC750">
        <v>179</v>
      </c>
      <c r="BD750"/>
      <c r="BE750" t="s">
        <v>5262</v>
      </c>
      <c r="BF750" t="str">
        <f>HYPERLINK("http://dx.doi.org/10.1016/j.envint.2016.02.032","http://dx.doi.org/10.1016/j.envint.2016.02.032")</f>
        <v>http://dx.doi.org/10.1016/j.envint.2016.02.032</v>
      </c>
      <c r="BG750"/>
      <c r="BH750"/>
      <c r="BI750"/>
      <c r="BJ750" t="s">
        <v>224</v>
      </c>
      <c r="BK750"/>
      <c r="BL750"/>
      <c r="BM750"/>
      <c r="BN750"/>
      <c r="BO750"/>
      <c r="BP750"/>
      <c r="BQ750"/>
      <c r="BR750"/>
      <c r="BS750"/>
      <c r="BT750" t="str">
        <f>HYPERLINK("https%3A%2F%2Fwww.webofscience.com%2Fwos%2Fwoscc%2Ffull-record%2F","View Full Record in Web of Science")</f>
        <v>View Full Record in Web of Science</v>
      </c>
    </row>
    <row r="751" spans="1:72" customHeight="1" ht="12.75">
      <c r="A751" t="s">
        <v>72</v>
      </c>
      <c r="B751" t="s">
        <v>5263</v>
      </c>
      <c r="C751"/>
      <c r="D751"/>
      <c r="E751"/>
      <c r="F751" t="s">
        <v>5264</v>
      </c>
      <c r="G751"/>
      <c r="H751"/>
      <c r="I751" t="s">
        <v>5265</v>
      </c>
      <c r="J751" t="s">
        <v>2937</v>
      </c>
      <c r="K751"/>
      <c r="L751"/>
      <c r="M751"/>
      <c r="N751" t="s">
        <v>112</v>
      </c>
      <c r="O751"/>
      <c r="P751"/>
      <c r="Q751"/>
      <c r="R751"/>
      <c r="S751"/>
      <c r="T751" t="s">
        <v>5266</v>
      </c>
      <c r="U751" t="s">
        <v>5267</v>
      </c>
      <c r="V751"/>
      <c r="W751"/>
      <c r="X751"/>
      <c r="Y751"/>
      <c r="Z751"/>
      <c r="AA751"/>
      <c r="AB751"/>
      <c r="AC751"/>
      <c r="AD751"/>
      <c r="AE751"/>
      <c r="AF751"/>
      <c r="AG751"/>
      <c r="AH751">
        <v>112</v>
      </c>
      <c r="AI751">
        <v>122</v>
      </c>
      <c r="AJ751"/>
      <c r="AK751"/>
      <c r="AL751"/>
      <c r="AM751"/>
      <c r="AN751"/>
      <c r="AO751" t="s">
        <v>2940</v>
      </c>
      <c r="AP751" t="s">
        <v>2941</v>
      </c>
      <c r="AQ751"/>
      <c r="AR751"/>
      <c r="AS751"/>
      <c r="AT751" t="s">
        <v>190</v>
      </c>
      <c r="AU751">
        <v>2016</v>
      </c>
      <c r="AV751">
        <v>48</v>
      </c>
      <c r="AW751">
        <v>2</v>
      </c>
      <c r="AX751"/>
      <c r="AY751"/>
      <c r="AZ751"/>
      <c r="BA751"/>
      <c r="BB751">
        <v>293</v>
      </c>
      <c r="BC751">
        <v>313</v>
      </c>
      <c r="BD751"/>
      <c r="BE751" t="s">
        <v>5268</v>
      </c>
      <c r="BF751" t="str">
        <f>HYPERLINK("http://dx.doi.org/10.1111/anti.12191","http://dx.doi.org/10.1111/anti.12191")</f>
        <v>http://dx.doi.org/10.1111/anti.12191</v>
      </c>
      <c r="BG751"/>
      <c r="BH751"/>
      <c r="BI751"/>
      <c r="BJ751" t="s">
        <v>83</v>
      </c>
      <c r="BK751"/>
      <c r="BL751"/>
      <c r="BM751"/>
      <c r="BN751"/>
      <c r="BO751"/>
      <c r="BP751"/>
      <c r="BQ751"/>
      <c r="BR751"/>
      <c r="BS751"/>
      <c r="BT751" t="str">
        <f>HYPERLINK("https%3A%2F%2Fwww.webofscience.com%2Fwos%2Fwoscc%2Ffull-record%2F","View Full Record in Web of Science")</f>
        <v>View Full Record in Web of Science</v>
      </c>
    </row>
    <row r="752" spans="1:72" customHeight="1" ht="12.75">
      <c r="A752" t="s">
        <v>72</v>
      </c>
      <c r="B752" t="s">
        <v>5269</v>
      </c>
      <c r="C752"/>
      <c r="D752"/>
      <c r="E752"/>
      <c r="F752" t="s">
        <v>5270</v>
      </c>
      <c r="G752"/>
      <c r="H752"/>
      <c r="I752" t="s">
        <v>5271</v>
      </c>
      <c r="J752" t="s">
        <v>587</v>
      </c>
      <c r="K752"/>
      <c r="L752"/>
      <c r="M752"/>
      <c r="N752" t="s">
        <v>112</v>
      </c>
      <c r="O752"/>
      <c r="P752"/>
      <c r="Q752"/>
      <c r="R752"/>
      <c r="S752"/>
      <c r="T752" t="s">
        <v>5272</v>
      </c>
      <c r="U752" t="s">
        <v>5273</v>
      </c>
      <c r="V752"/>
      <c r="W752"/>
      <c r="X752"/>
      <c r="Y752"/>
      <c r="Z752"/>
      <c r="AA752"/>
      <c r="AB752"/>
      <c r="AC752"/>
      <c r="AD752"/>
      <c r="AE752"/>
      <c r="AF752"/>
      <c r="AG752"/>
      <c r="AH752">
        <v>53</v>
      </c>
      <c r="AI752">
        <v>54</v>
      </c>
      <c r="AJ752"/>
      <c r="AK752"/>
      <c r="AL752"/>
      <c r="AM752"/>
      <c r="AN752"/>
      <c r="AO752" t="s">
        <v>590</v>
      </c>
      <c r="AP752" t="s">
        <v>591</v>
      </c>
      <c r="AQ752"/>
      <c r="AR752"/>
      <c r="AS752"/>
      <c r="AT752" t="s">
        <v>490</v>
      </c>
      <c r="AU752">
        <v>2020</v>
      </c>
      <c r="AV752">
        <v>242</v>
      </c>
      <c r="AW752"/>
      <c r="AX752"/>
      <c r="AY752"/>
      <c r="AZ752"/>
      <c r="BA752"/>
      <c r="BB752"/>
      <c r="BC752"/>
      <c r="BD752">
        <v>118433</v>
      </c>
      <c r="BE752" t="s">
        <v>5274</v>
      </c>
      <c r="BF752" t="str">
        <f>HYPERLINK("http://dx.doi.org/10.1016/j.jclepro.2019.118433","http://dx.doi.org/10.1016/j.jclepro.2019.118433")</f>
        <v>http://dx.doi.org/10.1016/j.jclepro.2019.118433</v>
      </c>
      <c r="BG752"/>
      <c r="BH752"/>
      <c r="BI752"/>
      <c r="BJ752" t="s">
        <v>139</v>
      </c>
      <c r="BK752"/>
      <c r="BL752"/>
      <c r="BM752"/>
      <c r="BN752"/>
      <c r="BO752"/>
      <c r="BP752"/>
      <c r="BQ752"/>
      <c r="BR752"/>
      <c r="BS752"/>
      <c r="BT752" t="str">
        <f>HYPERLINK("https%3A%2F%2Fwww.webofscience.com%2Fwos%2Fwoscc%2Ffull-record%2F","View Full Record in Web of Science")</f>
        <v>View Full Record in Web of Science</v>
      </c>
    </row>
    <row r="753" spans="1:72" customHeight="1" ht="12.75">
      <c r="A753" t="s">
        <v>72</v>
      </c>
      <c r="B753" t="s">
        <v>5275</v>
      </c>
      <c r="C753"/>
      <c r="D753"/>
      <c r="E753"/>
      <c r="F753" t="s">
        <v>5275</v>
      </c>
      <c r="G753"/>
      <c r="H753"/>
      <c r="I753" t="s">
        <v>5276</v>
      </c>
      <c r="J753" t="s">
        <v>5277</v>
      </c>
      <c r="K753"/>
      <c r="L753"/>
      <c r="M753"/>
      <c r="N753" t="s">
        <v>112</v>
      </c>
      <c r="O753"/>
      <c r="P753"/>
      <c r="Q753"/>
      <c r="R753"/>
      <c r="S753"/>
      <c r="T753" t="s">
        <v>5278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>
        <v>90</v>
      </c>
      <c r="AI753">
        <v>100</v>
      </c>
      <c r="AJ753"/>
      <c r="AK753"/>
      <c r="AL753"/>
      <c r="AM753"/>
      <c r="AN753"/>
      <c r="AO753" t="s">
        <v>5279</v>
      </c>
      <c r="AP753"/>
      <c r="AQ753"/>
      <c r="AR753"/>
      <c r="AS753"/>
      <c r="AT753" t="s">
        <v>92</v>
      </c>
      <c r="AU753">
        <v>2002</v>
      </c>
      <c r="AV753">
        <v>29</v>
      </c>
      <c r="AW753">
        <v>4</v>
      </c>
      <c r="AX753"/>
      <c r="AY753"/>
      <c r="AZ753"/>
      <c r="BA753"/>
      <c r="BB753">
        <v>459</v>
      </c>
      <c r="BC753">
        <v>493</v>
      </c>
      <c r="BD753"/>
      <c r="BE753" t="s">
        <v>5280</v>
      </c>
      <c r="BF753" t="str">
        <f>HYPERLINK("http://dx.doi.org/10.1023/A:1016302913909","http://dx.doi.org/10.1023/A:1016302913909")</f>
        <v>http://dx.doi.org/10.1023/A:1016302913909</v>
      </c>
      <c r="BG753"/>
      <c r="BH753"/>
      <c r="BI753"/>
      <c r="BJ753" t="s">
        <v>5281</v>
      </c>
      <c r="BK753"/>
      <c r="BL753"/>
      <c r="BM753"/>
      <c r="BN753"/>
      <c r="BO753"/>
      <c r="BP753"/>
      <c r="BQ753"/>
      <c r="BR753"/>
      <c r="BS753"/>
      <c r="BT753" t="str">
        <f>HYPERLINK("https%3A%2F%2Fwww.webofscience.com%2Fwos%2Fwoscc%2Ffull-record%2F","View Full Record in Web of Science")</f>
        <v>View Full Record in Web of Science</v>
      </c>
    </row>
    <row r="754" spans="1:72" customHeight="1" ht="12.75">
      <c r="A754" t="s">
        <v>72</v>
      </c>
      <c r="B754" t="s">
        <v>5282</v>
      </c>
      <c r="C754"/>
      <c r="D754"/>
      <c r="E754"/>
      <c r="F754" t="s">
        <v>5283</v>
      </c>
      <c r="G754"/>
      <c r="H754"/>
      <c r="I754" t="s">
        <v>5284</v>
      </c>
      <c r="J754" t="s">
        <v>457</v>
      </c>
      <c r="K754"/>
      <c r="L754"/>
      <c r="M754"/>
      <c r="N754" t="s">
        <v>112</v>
      </c>
      <c r="O754"/>
      <c r="P754"/>
      <c r="Q754"/>
      <c r="R754"/>
      <c r="S754"/>
      <c r="T754" t="s">
        <v>5285</v>
      </c>
      <c r="U754" t="s">
        <v>5286</v>
      </c>
      <c r="V754"/>
      <c r="W754"/>
      <c r="X754"/>
      <c r="Y754"/>
      <c r="Z754"/>
      <c r="AA754"/>
      <c r="AB754"/>
      <c r="AC754"/>
      <c r="AD754"/>
      <c r="AE754"/>
      <c r="AF754"/>
      <c r="AG754"/>
      <c r="AH754">
        <v>2</v>
      </c>
      <c r="AI754">
        <v>2</v>
      </c>
      <c r="AJ754"/>
      <c r="AK754"/>
      <c r="AL754"/>
      <c r="AM754"/>
      <c r="AN754"/>
      <c r="AO754"/>
      <c r="AP754" t="s">
        <v>458</v>
      </c>
      <c r="AQ754"/>
      <c r="AR754"/>
      <c r="AS754"/>
      <c r="AT754" t="s">
        <v>352</v>
      </c>
      <c r="AU754">
        <v>2023</v>
      </c>
      <c r="AV754">
        <v>15</v>
      </c>
      <c r="AW754">
        <v>17</v>
      </c>
      <c r="AX754"/>
      <c r="AY754"/>
      <c r="AZ754"/>
      <c r="BA754"/>
      <c r="BB754"/>
      <c r="BC754"/>
      <c r="BD754">
        <v>12680</v>
      </c>
      <c r="BE754" t="s">
        <v>5287</v>
      </c>
      <c r="BF754" t="str">
        <f>HYPERLINK("http://dx.doi.org/10.3390/su151712680","http://dx.doi.org/10.3390/su151712680")</f>
        <v>http://dx.doi.org/10.3390/su151712680</v>
      </c>
      <c r="BG754"/>
      <c r="BH754"/>
      <c r="BI754"/>
      <c r="BJ754" t="s">
        <v>460</v>
      </c>
      <c r="BK754"/>
      <c r="BL754"/>
      <c r="BM754"/>
      <c r="BN754"/>
      <c r="BO754"/>
      <c r="BP754"/>
      <c r="BQ754"/>
      <c r="BR754"/>
      <c r="BS754"/>
      <c r="BT754" t="str">
        <f>HYPERLINK("https%3A%2F%2Fwww.webofscience.com%2Fwos%2Fwoscc%2Ffull-record%2F","View Full Record in Web of Science")</f>
        <v>View Full Record in Web of Science</v>
      </c>
    </row>
    <row r="755" spans="1:72" customHeight="1" ht="12.75">
      <c r="A755" t="s">
        <v>72</v>
      </c>
      <c r="B755" t="s">
        <v>5288</v>
      </c>
      <c r="C755"/>
      <c r="D755"/>
      <c r="E755"/>
      <c r="F755" t="s">
        <v>5289</v>
      </c>
      <c r="G755"/>
      <c r="H755"/>
      <c r="I755" t="s">
        <v>5290</v>
      </c>
      <c r="J755" t="s">
        <v>457</v>
      </c>
      <c r="K755"/>
      <c r="L755"/>
      <c r="M755"/>
      <c r="N755" t="s">
        <v>112</v>
      </c>
      <c r="O755"/>
      <c r="P755"/>
      <c r="Q755"/>
      <c r="R755"/>
      <c r="S755"/>
      <c r="T755" t="s">
        <v>5291</v>
      </c>
      <c r="U755" t="s">
        <v>5292</v>
      </c>
      <c r="V755"/>
      <c r="W755"/>
      <c r="X755"/>
      <c r="Y755"/>
      <c r="Z755"/>
      <c r="AA755"/>
      <c r="AB755"/>
      <c r="AC755"/>
      <c r="AD755"/>
      <c r="AE755"/>
      <c r="AF755"/>
      <c r="AG755"/>
      <c r="AH755">
        <v>1</v>
      </c>
      <c r="AI755">
        <v>1</v>
      </c>
      <c r="AJ755"/>
      <c r="AK755"/>
      <c r="AL755"/>
      <c r="AM755"/>
      <c r="AN755"/>
      <c r="AO755"/>
      <c r="AP755" t="s">
        <v>458</v>
      </c>
      <c r="AQ755"/>
      <c r="AR755"/>
      <c r="AS755"/>
      <c r="AT755" t="s">
        <v>190</v>
      </c>
      <c r="AU755">
        <v>2023</v>
      </c>
      <c r="AV755">
        <v>15</v>
      </c>
      <c r="AW755">
        <v>6</v>
      </c>
      <c r="AX755"/>
      <c r="AY755"/>
      <c r="AZ755"/>
      <c r="BA755"/>
      <c r="BB755"/>
      <c r="BC755"/>
      <c r="BD755">
        <v>5284</v>
      </c>
      <c r="BE755" t="s">
        <v>5293</v>
      </c>
      <c r="BF755" t="str">
        <f>HYPERLINK("http://dx.doi.org/10.3390/su15065284","http://dx.doi.org/10.3390/su15065284")</f>
        <v>http://dx.doi.org/10.3390/su15065284</v>
      </c>
      <c r="BG755"/>
      <c r="BH755"/>
      <c r="BI755"/>
      <c r="BJ755" t="s">
        <v>460</v>
      </c>
      <c r="BK755"/>
      <c r="BL755"/>
      <c r="BM755"/>
      <c r="BN755"/>
      <c r="BO755"/>
      <c r="BP755"/>
      <c r="BQ755"/>
      <c r="BR755"/>
      <c r="BS755"/>
      <c r="BT755" t="str">
        <f>HYPERLINK("https%3A%2F%2Fwww.webofscience.com%2Fwos%2Fwoscc%2Ffull-record%2F","View Full Record in Web of Science")</f>
        <v>View Full Record in Web of Science</v>
      </c>
    </row>
    <row r="756" spans="1:72" customHeight="1" ht="12.75">
      <c r="A756" t="s">
        <v>72</v>
      </c>
      <c r="B756" t="s">
        <v>5294</v>
      </c>
      <c r="C756"/>
      <c r="D756"/>
      <c r="E756"/>
      <c r="F756" t="s">
        <v>5295</v>
      </c>
      <c r="G756"/>
      <c r="H756"/>
      <c r="I756" t="s">
        <v>5296</v>
      </c>
      <c r="J756" t="s">
        <v>2135</v>
      </c>
      <c r="K756"/>
      <c r="L756"/>
      <c r="M756"/>
      <c r="N756" t="s">
        <v>112</v>
      </c>
      <c r="O756"/>
      <c r="P756"/>
      <c r="Q756"/>
      <c r="R756"/>
      <c r="S756"/>
      <c r="T756" t="s">
        <v>5297</v>
      </c>
      <c r="U756" t="s">
        <v>5298</v>
      </c>
      <c r="V756"/>
      <c r="W756"/>
      <c r="X756"/>
      <c r="Y756"/>
      <c r="Z756"/>
      <c r="AA756"/>
      <c r="AB756"/>
      <c r="AC756"/>
      <c r="AD756"/>
      <c r="AE756"/>
      <c r="AF756"/>
      <c r="AG756"/>
      <c r="AH756">
        <v>20</v>
      </c>
      <c r="AI756">
        <v>21</v>
      </c>
      <c r="AJ756"/>
      <c r="AK756"/>
      <c r="AL756"/>
      <c r="AM756"/>
      <c r="AN756"/>
      <c r="AO756"/>
      <c r="AP756" t="s">
        <v>2139</v>
      </c>
      <c r="AQ756"/>
      <c r="AR756"/>
      <c r="AS756"/>
      <c r="AT756" t="s">
        <v>404</v>
      </c>
      <c r="AU756">
        <v>2022</v>
      </c>
      <c r="AV756">
        <v>14</v>
      </c>
      <c r="AW756">
        <v>1</v>
      </c>
      <c r="AX756"/>
      <c r="AY756"/>
      <c r="AZ756"/>
      <c r="BA756"/>
      <c r="BB756"/>
      <c r="BC756"/>
      <c r="BD756">
        <v>198</v>
      </c>
      <c r="BE756" t="s">
        <v>5299</v>
      </c>
      <c r="BF756" t="str">
        <f>HYPERLINK("http://dx.doi.org/10.3390/rs14010198","http://dx.doi.org/10.3390/rs14010198")</f>
        <v>http://dx.doi.org/10.3390/rs14010198</v>
      </c>
      <c r="BG756"/>
      <c r="BH756"/>
      <c r="BI756"/>
      <c r="BJ756" t="s">
        <v>2141</v>
      </c>
      <c r="BK756"/>
      <c r="BL756"/>
      <c r="BM756"/>
      <c r="BN756"/>
      <c r="BO756"/>
      <c r="BP756"/>
      <c r="BQ756"/>
      <c r="BR756"/>
      <c r="BS756"/>
      <c r="BT756" t="str">
        <f>HYPERLINK("https%3A%2F%2Fwww.webofscience.com%2Fwos%2Fwoscc%2Ffull-record%2F","View Full Record in Web of Science")</f>
        <v>View Full Record in Web of Science</v>
      </c>
    </row>
    <row r="757" spans="1:72" customHeight="1" ht="12.75">
      <c r="A757" t="s">
        <v>72</v>
      </c>
      <c r="B757" t="s">
        <v>2119</v>
      </c>
      <c r="C757"/>
      <c r="D757"/>
      <c r="E757"/>
      <c r="F757" t="s">
        <v>2119</v>
      </c>
      <c r="G757"/>
      <c r="H757"/>
      <c r="I757" t="s">
        <v>5300</v>
      </c>
      <c r="J757" t="s">
        <v>510</v>
      </c>
      <c r="K757"/>
      <c r="L757"/>
      <c r="M757"/>
      <c r="N757" t="s">
        <v>112</v>
      </c>
      <c r="O757"/>
      <c r="P757"/>
      <c r="Q757"/>
      <c r="R757"/>
      <c r="S757"/>
      <c r="T757" t="s">
        <v>5301</v>
      </c>
      <c r="U757" t="s">
        <v>5302</v>
      </c>
      <c r="V757"/>
      <c r="W757"/>
      <c r="X757"/>
      <c r="Y757"/>
      <c r="Z757"/>
      <c r="AA757"/>
      <c r="AB757"/>
      <c r="AC757"/>
      <c r="AD757"/>
      <c r="AE757"/>
      <c r="AF757"/>
      <c r="AG757"/>
      <c r="AH757">
        <v>106</v>
      </c>
      <c r="AI757">
        <v>123</v>
      </c>
      <c r="AJ757"/>
      <c r="AK757"/>
      <c r="AL757"/>
      <c r="AM757"/>
      <c r="AN757"/>
      <c r="AO757" t="s">
        <v>511</v>
      </c>
      <c r="AP757" t="s">
        <v>512</v>
      </c>
      <c r="AQ757"/>
      <c r="AR757"/>
      <c r="AS757"/>
      <c r="AT757" t="s">
        <v>5303</v>
      </c>
      <c r="AU757">
        <v>2005</v>
      </c>
      <c r="AV757">
        <v>189</v>
      </c>
      <c r="AW757" t="s">
        <v>2232</v>
      </c>
      <c r="AX757"/>
      <c r="AY757"/>
      <c r="AZ757"/>
      <c r="BA757"/>
      <c r="BB757">
        <v>49</v>
      </c>
      <c r="BC757">
        <v>71</v>
      </c>
      <c r="BD757"/>
      <c r="BE757" t="s">
        <v>5304</v>
      </c>
      <c r="BF757" t="str">
        <f>HYPERLINK("http://dx.doi.org/10.1016/j.ecolmodel.2005.03.004","http://dx.doi.org/10.1016/j.ecolmodel.2005.03.004")</f>
        <v>http://dx.doi.org/10.1016/j.ecolmodel.2005.03.004</v>
      </c>
      <c r="BG757"/>
      <c r="BH757"/>
      <c r="BI757"/>
      <c r="BJ757" t="s">
        <v>181</v>
      </c>
      <c r="BK757"/>
      <c r="BL757"/>
      <c r="BM757"/>
      <c r="BN757"/>
      <c r="BO757"/>
      <c r="BP757"/>
      <c r="BQ757"/>
      <c r="BR757"/>
      <c r="BS757"/>
      <c r="BT757" t="str">
        <f>HYPERLINK("https%3A%2F%2Fwww.webofscience.com%2Fwos%2Fwoscc%2Ffull-record%2F","View Full Record in Web of Science")</f>
        <v>View Full Record in Web of Science</v>
      </c>
    </row>
    <row r="758" spans="1:72" customHeight="1" ht="12.75">
      <c r="A758" t="s">
        <v>72</v>
      </c>
      <c r="B758" t="s">
        <v>5305</v>
      </c>
      <c r="C758"/>
      <c r="D758"/>
      <c r="E758"/>
      <c r="F758" t="s">
        <v>5306</v>
      </c>
      <c r="G758"/>
      <c r="H758"/>
      <c r="I758" t="s">
        <v>5307</v>
      </c>
      <c r="J758" t="s">
        <v>5308</v>
      </c>
      <c r="K758"/>
      <c r="L758"/>
      <c r="M758"/>
      <c r="N758" t="s">
        <v>112</v>
      </c>
      <c r="O758"/>
      <c r="P758"/>
      <c r="Q758"/>
      <c r="R758"/>
      <c r="S758"/>
      <c r="T758" t="s">
        <v>5309</v>
      </c>
      <c r="U758" t="s">
        <v>5310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>
        <v>37</v>
      </c>
      <c r="AI758">
        <v>49</v>
      </c>
      <c r="AJ758"/>
      <c r="AK758"/>
      <c r="AL758"/>
      <c r="AM758"/>
      <c r="AN758"/>
      <c r="AO758" t="s">
        <v>5311</v>
      </c>
      <c r="AP758" t="s">
        <v>5312</v>
      </c>
      <c r="AQ758"/>
      <c r="AR758"/>
      <c r="AS758"/>
      <c r="AT758" t="s">
        <v>385</v>
      </c>
      <c r="AU758">
        <v>2009</v>
      </c>
      <c r="AV758">
        <v>19</v>
      </c>
      <c r="AW758">
        <v>4</v>
      </c>
      <c r="AX758"/>
      <c r="AY758"/>
      <c r="AZ758"/>
      <c r="BA758"/>
      <c r="BB758">
        <v>974</v>
      </c>
      <c r="BC758">
        <v>988</v>
      </c>
      <c r="BD758"/>
      <c r="BE758" t="s">
        <v>5313</v>
      </c>
      <c r="BF758" t="str">
        <f>HYPERLINK("http://dx.doi.org/10.1890/08-0027.1","http://dx.doi.org/10.1890/08-0027.1")</f>
        <v>http://dx.doi.org/10.1890/08-0027.1</v>
      </c>
      <c r="BG758"/>
      <c r="BH758"/>
      <c r="BI758"/>
      <c r="BJ758" t="s">
        <v>3361</v>
      </c>
      <c r="BK758"/>
      <c r="BL758"/>
      <c r="BM758"/>
      <c r="BN758"/>
      <c r="BO758"/>
      <c r="BP758"/>
      <c r="BQ758"/>
      <c r="BR758"/>
      <c r="BS758"/>
      <c r="BT758" t="str">
        <f>HYPERLINK("https%3A%2F%2Fwww.webofscience.com%2Fwos%2Fwoscc%2Ffull-record%2F","View Full Record in Web of Science")</f>
        <v>View Full Record in Web of Science</v>
      </c>
    </row>
    <row r="759" spans="1:72" customHeight="1" ht="12.75">
      <c r="A759" t="s">
        <v>72</v>
      </c>
      <c r="B759" t="s">
        <v>5314</v>
      </c>
      <c r="C759"/>
      <c r="D759"/>
      <c r="E759"/>
      <c r="F759" t="s">
        <v>5315</v>
      </c>
      <c r="G759"/>
      <c r="H759"/>
      <c r="I759" t="s">
        <v>5316</v>
      </c>
      <c r="J759" t="s">
        <v>587</v>
      </c>
      <c r="K759"/>
      <c r="L759"/>
      <c r="M759"/>
      <c r="N759" t="s">
        <v>112</v>
      </c>
      <c r="O759"/>
      <c r="P759"/>
      <c r="Q759"/>
      <c r="R759"/>
      <c r="S759"/>
      <c r="T759" t="s">
        <v>5317</v>
      </c>
      <c r="U759" t="s">
        <v>5318</v>
      </c>
      <c r="V759"/>
      <c r="W759"/>
      <c r="X759"/>
      <c r="Y759"/>
      <c r="Z759"/>
      <c r="AA759"/>
      <c r="AB759"/>
      <c r="AC759"/>
      <c r="AD759"/>
      <c r="AE759"/>
      <c r="AF759"/>
      <c r="AG759"/>
      <c r="AH759">
        <v>51</v>
      </c>
      <c r="AI759">
        <v>52</v>
      </c>
      <c r="AJ759"/>
      <c r="AK759"/>
      <c r="AL759"/>
      <c r="AM759"/>
      <c r="AN759"/>
      <c r="AO759" t="s">
        <v>590</v>
      </c>
      <c r="AP759" t="s">
        <v>591</v>
      </c>
      <c r="AQ759"/>
      <c r="AR759"/>
      <c r="AS759"/>
      <c r="AT759" t="s">
        <v>4400</v>
      </c>
      <c r="AU759">
        <v>2019</v>
      </c>
      <c r="AV759">
        <v>232</v>
      </c>
      <c r="AW759"/>
      <c r="AX759"/>
      <c r="AY759"/>
      <c r="AZ759"/>
      <c r="BA759"/>
      <c r="BB759">
        <v>474</v>
      </c>
      <c r="BC759">
        <v>486</v>
      </c>
      <c r="BD759"/>
      <c r="BE759" t="s">
        <v>5319</v>
      </c>
      <c r="BF759" t="str">
        <f>HYPERLINK("http://dx.doi.org/10.1016/j.jclepro.2019.05.333","http://dx.doi.org/10.1016/j.jclepro.2019.05.333")</f>
        <v>http://dx.doi.org/10.1016/j.jclepro.2019.05.333</v>
      </c>
      <c r="BG759"/>
      <c r="BH759"/>
      <c r="BI759"/>
      <c r="BJ759" t="s">
        <v>139</v>
      </c>
      <c r="BK759"/>
      <c r="BL759"/>
      <c r="BM759"/>
      <c r="BN759"/>
      <c r="BO759"/>
      <c r="BP759"/>
      <c r="BQ759"/>
      <c r="BR759"/>
      <c r="BS759"/>
      <c r="BT759" t="str">
        <f>HYPERLINK("https%3A%2F%2Fwww.webofscience.com%2Fwos%2Fwoscc%2Ffull-record%2F","View Full Record in Web of Science")</f>
        <v>View Full Record in Web of Science</v>
      </c>
    </row>
    <row r="760" spans="1:72" customHeight="1" ht="12.75">
      <c r="A760" t="s">
        <v>72</v>
      </c>
      <c r="B760" t="s">
        <v>5320</v>
      </c>
      <c r="C760"/>
      <c r="D760"/>
      <c r="E760"/>
      <c r="F760" t="s">
        <v>5321</v>
      </c>
      <c r="G760"/>
      <c r="H760"/>
      <c r="I760" t="s">
        <v>5322</v>
      </c>
      <c r="J760" t="s">
        <v>4171</v>
      </c>
      <c r="K760"/>
      <c r="L760"/>
      <c r="M760"/>
      <c r="N760" t="s">
        <v>112</v>
      </c>
      <c r="O760"/>
      <c r="P760"/>
      <c r="Q760"/>
      <c r="R760"/>
      <c r="S760"/>
      <c r="T760" t="s">
        <v>5323</v>
      </c>
      <c r="U760" t="s">
        <v>5324</v>
      </c>
      <c r="V760"/>
      <c r="W760"/>
      <c r="X760"/>
      <c r="Y760"/>
      <c r="Z760"/>
      <c r="AA760"/>
      <c r="AB760"/>
      <c r="AC760"/>
      <c r="AD760"/>
      <c r="AE760"/>
      <c r="AF760"/>
      <c r="AG760"/>
      <c r="AH760">
        <v>18</v>
      </c>
      <c r="AI760">
        <v>18</v>
      </c>
      <c r="AJ760"/>
      <c r="AK760"/>
      <c r="AL760"/>
      <c r="AM760"/>
      <c r="AN760"/>
      <c r="AO760" t="s">
        <v>4174</v>
      </c>
      <c r="AP760" t="s">
        <v>4175</v>
      </c>
      <c r="AQ760"/>
      <c r="AR760"/>
      <c r="AS760"/>
      <c r="AT760" t="s">
        <v>117</v>
      </c>
      <c r="AU760">
        <v>2016</v>
      </c>
      <c r="AV760">
        <v>57</v>
      </c>
      <c r="AW760"/>
      <c r="AX760"/>
      <c r="AY760"/>
      <c r="AZ760"/>
      <c r="BA760"/>
      <c r="BB760">
        <v>212</v>
      </c>
      <c r="BC760">
        <v>223</v>
      </c>
      <c r="BD760"/>
      <c r="BE760" t="s">
        <v>5325</v>
      </c>
      <c r="BF760" t="str">
        <f>HYPERLINK("http://dx.doi.org/10.1016/j.compenvurbsys.2016.02.002","http://dx.doi.org/10.1016/j.compenvurbsys.2016.02.002")</f>
        <v>http://dx.doi.org/10.1016/j.compenvurbsys.2016.02.002</v>
      </c>
      <c r="BG760"/>
      <c r="BH760"/>
      <c r="BI760"/>
      <c r="BJ760" t="s">
        <v>4177</v>
      </c>
      <c r="BK760"/>
      <c r="BL760"/>
      <c r="BM760"/>
      <c r="BN760"/>
      <c r="BO760"/>
      <c r="BP760"/>
      <c r="BQ760"/>
      <c r="BR760"/>
      <c r="BS760"/>
      <c r="BT760" t="str">
        <f>HYPERLINK("https%3A%2F%2Fwww.webofscience.com%2Fwos%2Fwoscc%2Ffull-record%2F","View Full Record in Web of Science")</f>
        <v>View Full Record in Web of Science</v>
      </c>
    </row>
    <row r="761" spans="1:72" customHeight="1" ht="12.75">
      <c r="A761" t="s">
        <v>72</v>
      </c>
      <c r="B761" t="s">
        <v>5326</v>
      </c>
      <c r="C761"/>
      <c r="D761"/>
      <c r="E761"/>
      <c r="F761" t="s">
        <v>5327</v>
      </c>
      <c r="G761"/>
      <c r="H761"/>
      <c r="I761" t="s">
        <v>5328</v>
      </c>
      <c r="J761" t="s">
        <v>1957</v>
      </c>
      <c r="K761"/>
      <c r="L761"/>
      <c r="M761"/>
      <c r="N761" t="s">
        <v>325</v>
      </c>
      <c r="O761"/>
      <c r="P761"/>
      <c r="Q761"/>
      <c r="R761"/>
      <c r="S761"/>
      <c r="T761" t="s">
        <v>5329</v>
      </c>
      <c r="U761" t="s">
        <v>5330</v>
      </c>
      <c r="V761"/>
      <c r="W761"/>
      <c r="X761"/>
      <c r="Y761"/>
      <c r="Z761"/>
      <c r="AA761"/>
      <c r="AB761"/>
      <c r="AC761"/>
      <c r="AD761"/>
      <c r="AE761"/>
      <c r="AF761"/>
      <c r="AG761"/>
      <c r="AH761">
        <v>0.0</v>
      </c>
      <c r="AI761">
        <v>0.0</v>
      </c>
      <c r="AJ761"/>
      <c r="AK761"/>
      <c r="AL761"/>
      <c r="AM761"/>
      <c r="AN761"/>
      <c r="AO761" t="s">
        <v>1959</v>
      </c>
      <c r="AP761" t="s">
        <v>3003</v>
      </c>
      <c r="AQ761"/>
      <c r="AR761"/>
      <c r="AS761"/>
      <c r="AT761" t="s">
        <v>5331</v>
      </c>
      <c r="AU761">
        <v>2024</v>
      </c>
      <c r="AV761">
        <v>31</v>
      </c>
      <c r="AW761">
        <v>5</v>
      </c>
      <c r="AX761"/>
      <c r="AY761"/>
      <c r="AZ761"/>
      <c r="BA761"/>
      <c r="BB761">
        <v>7396</v>
      </c>
      <c r="BC761">
        <v>7407</v>
      </c>
      <c r="BD761"/>
      <c r="BE761" t="s">
        <v>5332</v>
      </c>
      <c r="BF761" t="str">
        <f>HYPERLINK("http://dx.doi.org/10.1007/s11356-023-31724-w","http://dx.doi.org/10.1007/s11356-023-31724-w")</f>
        <v>http://dx.doi.org/10.1007/s11356-023-31724-w</v>
      </c>
      <c r="BG761"/>
      <c r="BH761" t="s">
        <v>798</v>
      </c>
      <c r="BI761"/>
      <c r="BJ761" t="s">
        <v>224</v>
      </c>
      <c r="BK761"/>
      <c r="BL761"/>
      <c r="BM761"/>
      <c r="BN761"/>
      <c r="BO761"/>
      <c r="BP761"/>
      <c r="BQ761"/>
      <c r="BR761"/>
      <c r="BS761"/>
      <c r="BT761" t="str">
        <f>HYPERLINK("https%3A%2F%2Fwww.webofscience.com%2Fwos%2Fwoscc%2Ffull-record%2F","View Full Record in Web of Science")</f>
        <v>View Full Record in Web of Science</v>
      </c>
    </row>
    <row r="762" spans="1:72" customHeight="1" ht="12.75">
      <c r="A762" t="s">
        <v>72</v>
      </c>
      <c r="B762" t="s">
        <v>5333</v>
      </c>
      <c r="C762"/>
      <c r="D762"/>
      <c r="E762"/>
      <c r="F762" t="s">
        <v>5334</v>
      </c>
      <c r="G762"/>
      <c r="H762"/>
      <c r="I762" t="s">
        <v>5335</v>
      </c>
      <c r="J762" t="s">
        <v>2255</v>
      </c>
      <c r="K762"/>
      <c r="L762"/>
      <c r="M762"/>
      <c r="N762" t="s">
        <v>112</v>
      </c>
      <c r="O762"/>
      <c r="P762"/>
      <c r="Q762"/>
      <c r="R762"/>
      <c r="S762"/>
      <c r="T762" t="s">
        <v>5336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>
        <v>22</v>
      </c>
      <c r="AI762">
        <v>27</v>
      </c>
      <c r="AJ762"/>
      <c r="AK762"/>
      <c r="AL762"/>
      <c r="AM762"/>
      <c r="AN762"/>
      <c r="AO762" t="s">
        <v>2258</v>
      </c>
      <c r="AP762"/>
      <c r="AQ762"/>
      <c r="AR762"/>
      <c r="AS762"/>
      <c r="AT762"/>
      <c r="AU762">
        <v>2011</v>
      </c>
      <c r="AV762">
        <v>6</v>
      </c>
      <c r="AW762">
        <v>3</v>
      </c>
      <c r="AX762"/>
      <c r="AY762"/>
      <c r="AZ762"/>
      <c r="BA762"/>
      <c r="BB762">
        <v>88</v>
      </c>
      <c r="BC762">
        <v>105</v>
      </c>
      <c r="BD762"/>
      <c r="BE762"/>
      <c r="BF762"/>
      <c r="BG762"/>
      <c r="BH762"/>
      <c r="BI762"/>
      <c r="BJ762" t="s">
        <v>233</v>
      </c>
      <c r="BK762"/>
      <c r="BL762"/>
      <c r="BM762"/>
      <c r="BN762"/>
      <c r="BO762"/>
      <c r="BP762"/>
      <c r="BQ762"/>
      <c r="BR762"/>
      <c r="BS762"/>
      <c r="BT762" t="str">
        <f>HYPERLINK("https%3A%2F%2Fwww.webofscience.com%2Fwos%2Fwoscc%2Ffull-record%2F","View Full Record in Web of Science")</f>
        <v>View Full Record in Web of Science</v>
      </c>
    </row>
    <row r="763" spans="1:72" customHeight="1" ht="12.75">
      <c r="A763" t="s">
        <v>72</v>
      </c>
      <c r="B763" t="s">
        <v>5337</v>
      </c>
      <c r="C763"/>
      <c r="D763"/>
      <c r="E763"/>
      <c r="F763" t="s">
        <v>5338</v>
      </c>
      <c r="G763"/>
      <c r="H763"/>
      <c r="I763" t="s">
        <v>5339</v>
      </c>
      <c r="J763" t="s">
        <v>457</v>
      </c>
      <c r="K763"/>
      <c r="L763"/>
      <c r="M763"/>
      <c r="N763" t="s">
        <v>112</v>
      </c>
      <c r="O763"/>
      <c r="P763"/>
      <c r="Q763"/>
      <c r="R763"/>
      <c r="S763"/>
      <c r="T763" t="s">
        <v>5340</v>
      </c>
      <c r="U763" t="s">
        <v>5341</v>
      </c>
      <c r="V763"/>
      <c r="W763"/>
      <c r="X763"/>
      <c r="Y763"/>
      <c r="Z763"/>
      <c r="AA763"/>
      <c r="AB763"/>
      <c r="AC763"/>
      <c r="AD763"/>
      <c r="AE763"/>
      <c r="AF763"/>
      <c r="AG763"/>
      <c r="AH763">
        <v>4</v>
      </c>
      <c r="AI763">
        <v>4</v>
      </c>
      <c r="AJ763"/>
      <c r="AK763"/>
      <c r="AL763"/>
      <c r="AM763"/>
      <c r="AN763"/>
      <c r="AO763"/>
      <c r="AP763" t="s">
        <v>458</v>
      </c>
      <c r="AQ763"/>
      <c r="AR763"/>
      <c r="AS763"/>
      <c r="AT763" t="s">
        <v>128</v>
      </c>
      <c r="AU763">
        <v>2021</v>
      </c>
      <c r="AV763">
        <v>13</v>
      </c>
      <c r="AW763">
        <v>23</v>
      </c>
      <c r="AX763"/>
      <c r="AY763"/>
      <c r="AZ763"/>
      <c r="BA763"/>
      <c r="BB763"/>
      <c r="BC763"/>
      <c r="BD763">
        <v>13159</v>
      </c>
      <c r="BE763" t="s">
        <v>5342</v>
      </c>
      <c r="BF763" t="str">
        <f>HYPERLINK("http://dx.doi.org/10.3390/su132313159","http://dx.doi.org/10.3390/su132313159")</f>
        <v>http://dx.doi.org/10.3390/su132313159</v>
      </c>
      <c r="BG763"/>
      <c r="BH763"/>
      <c r="BI763"/>
      <c r="BJ763" t="s">
        <v>460</v>
      </c>
      <c r="BK763"/>
      <c r="BL763"/>
      <c r="BM763"/>
      <c r="BN763"/>
      <c r="BO763"/>
      <c r="BP763"/>
      <c r="BQ763"/>
      <c r="BR763"/>
      <c r="BS763"/>
      <c r="BT763" t="str">
        <f>HYPERLINK("https%3A%2F%2Fwww.webofscience.com%2Fwos%2Fwoscc%2Ffull-record%2F","View Full Record in Web of Science")</f>
        <v>View Full Record in Web of Science</v>
      </c>
    </row>
    <row r="764" spans="1:72" customHeight="1" ht="12.75">
      <c r="A764" t="s">
        <v>72</v>
      </c>
      <c r="B764" t="s">
        <v>5343</v>
      </c>
      <c r="C764"/>
      <c r="D764"/>
      <c r="E764"/>
      <c r="F764" t="s">
        <v>5344</v>
      </c>
      <c r="G764"/>
      <c r="H764"/>
      <c r="I764" t="s">
        <v>5345</v>
      </c>
      <c r="J764" t="s">
        <v>472</v>
      </c>
      <c r="K764"/>
      <c r="L764"/>
      <c r="M764"/>
      <c r="N764" t="s">
        <v>112</v>
      </c>
      <c r="O764"/>
      <c r="P764"/>
      <c r="Q764"/>
      <c r="R764"/>
      <c r="S764"/>
      <c r="T764" t="s">
        <v>5346</v>
      </c>
      <c r="U764" t="s">
        <v>5347</v>
      </c>
      <c r="V764"/>
      <c r="W764"/>
      <c r="X764"/>
      <c r="Y764"/>
      <c r="Z764"/>
      <c r="AA764"/>
      <c r="AB764"/>
      <c r="AC764"/>
      <c r="AD764"/>
      <c r="AE764"/>
      <c r="AF764"/>
      <c r="AG764"/>
      <c r="AH764">
        <v>103</v>
      </c>
      <c r="AI764">
        <v>120</v>
      </c>
      <c r="AJ764"/>
      <c r="AK764"/>
      <c r="AL764"/>
      <c r="AM764"/>
      <c r="AN764"/>
      <c r="AO764" t="s">
        <v>475</v>
      </c>
      <c r="AP764" t="s">
        <v>476</v>
      </c>
      <c r="AQ764"/>
      <c r="AR764"/>
      <c r="AS764"/>
      <c r="AT764" t="s">
        <v>190</v>
      </c>
      <c r="AU764">
        <v>2018</v>
      </c>
      <c r="AV764">
        <v>72</v>
      </c>
      <c r="AW764"/>
      <c r="AX764"/>
      <c r="AY764"/>
      <c r="AZ764"/>
      <c r="BA764"/>
      <c r="BB764">
        <v>480</v>
      </c>
      <c r="BC764">
        <v>492</v>
      </c>
      <c r="BD764"/>
      <c r="BE764" t="s">
        <v>5348</v>
      </c>
      <c r="BF764" t="str">
        <f>HYPERLINK("http://dx.doi.org/10.1016/j.landusepol.2017.12.029","http://dx.doi.org/10.1016/j.landusepol.2017.12.029")</f>
        <v>http://dx.doi.org/10.1016/j.landusepol.2017.12.029</v>
      </c>
      <c r="BG764"/>
      <c r="BH764"/>
      <c r="BI764"/>
      <c r="BJ764" t="s">
        <v>359</v>
      </c>
      <c r="BK764"/>
      <c r="BL764"/>
      <c r="BM764"/>
      <c r="BN764"/>
      <c r="BO764"/>
      <c r="BP764"/>
      <c r="BQ764"/>
      <c r="BR764"/>
      <c r="BS764"/>
      <c r="BT764" t="str">
        <f>HYPERLINK("https%3A%2F%2Fwww.webofscience.com%2Fwos%2Fwoscc%2Ffull-record%2F","View Full Record in Web of Science")</f>
        <v>View Full Record in Web of Science</v>
      </c>
    </row>
    <row r="765" spans="1:72" customHeight="1" ht="12.75">
      <c r="A765" t="s">
        <v>72</v>
      </c>
      <c r="B765" t="s">
        <v>5349</v>
      </c>
      <c r="C765"/>
      <c r="D765"/>
      <c r="E765"/>
      <c r="F765" t="s">
        <v>5350</v>
      </c>
      <c r="G765"/>
      <c r="H765"/>
      <c r="I765" t="s">
        <v>5351</v>
      </c>
      <c r="J765" t="s">
        <v>587</v>
      </c>
      <c r="K765"/>
      <c r="L765"/>
      <c r="M765"/>
      <c r="N765" t="s">
        <v>325</v>
      </c>
      <c r="O765"/>
      <c r="P765"/>
      <c r="Q765"/>
      <c r="R765"/>
      <c r="S765"/>
      <c r="T765" t="s">
        <v>5352</v>
      </c>
      <c r="U765" t="s">
        <v>5353</v>
      </c>
      <c r="V765"/>
      <c r="W765"/>
      <c r="X765"/>
      <c r="Y765"/>
      <c r="Z765"/>
      <c r="AA765"/>
      <c r="AB765"/>
      <c r="AC765"/>
      <c r="AD765"/>
      <c r="AE765"/>
      <c r="AF765"/>
      <c r="AG765"/>
      <c r="AH765">
        <v>3</v>
      </c>
      <c r="AI765">
        <v>4</v>
      </c>
      <c r="AJ765"/>
      <c r="AK765"/>
      <c r="AL765"/>
      <c r="AM765"/>
      <c r="AN765"/>
      <c r="AO765" t="s">
        <v>590</v>
      </c>
      <c r="AP765" t="s">
        <v>591</v>
      </c>
      <c r="AQ765"/>
      <c r="AR765"/>
      <c r="AS765"/>
      <c r="AT765" t="s">
        <v>5354</v>
      </c>
      <c r="AU765">
        <v>2021</v>
      </c>
      <c r="AV765">
        <v>324</v>
      </c>
      <c r="AW765"/>
      <c r="AX765"/>
      <c r="AY765"/>
      <c r="AZ765"/>
      <c r="BA765"/>
      <c r="BB765"/>
      <c r="BC765"/>
      <c r="BD765">
        <v>129253</v>
      </c>
      <c r="BE765" t="s">
        <v>5355</v>
      </c>
      <c r="BF765" t="str">
        <f>HYPERLINK("http://dx.doi.org/10.1016/j.jclepro.2021.129253","http://dx.doi.org/10.1016/j.jclepro.2021.129253")</f>
        <v>http://dx.doi.org/10.1016/j.jclepro.2021.129253</v>
      </c>
      <c r="BG765"/>
      <c r="BH765" t="s">
        <v>1074</v>
      </c>
      <c r="BI765"/>
      <c r="BJ765" t="s">
        <v>139</v>
      </c>
      <c r="BK765"/>
      <c r="BL765"/>
      <c r="BM765"/>
      <c r="BN765"/>
      <c r="BO765"/>
      <c r="BP765"/>
      <c r="BQ765"/>
      <c r="BR765"/>
      <c r="BS765"/>
      <c r="BT765" t="str">
        <f>HYPERLINK("https%3A%2F%2Fwww.webofscience.com%2Fwos%2Fwoscc%2Ffull-record%2F","View Full Record in Web of Science")</f>
        <v>View Full Record in Web of Science</v>
      </c>
    </row>
    <row r="766" spans="1:72" customHeight="1" ht="12.75">
      <c r="A766" t="s">
        <v>72</v>
      </c>
      <c r="B766" t="s">
        <v>5356</v>
      </c>
      <c r="C766"/>
      <c r="D766"/>
      <c r="E766"/>
      <c r="F766" t="s">
        <v>5357</v>
      </c>
      <c r="G766"/>
      <c r="H766"/>
      <c r="I766" t="s">
        <v>5358</v>
      </c>
      <c r="J766" t="s">
        <v>409</v>
      </c>
      <c r="K766"/>
      <c r="L766"/>
      <c r="M766"/>
      <c r="N766" t="s">
        <v>112</v>
      </c>
      <c r="O766"/>
      <c r="P766"/>
      <c r="Q766"/>
      <c r="R766"/>
      <c r="S766"/>
      <c r="T766" t="s">
        <v>5359</v>
      </c>
      <c r="U766" t="s">
        <v>5360</v>
      </c>
      <c r="V766"/>
      <c r="W766"/>
      <c r="X766"/>
      <c r="Y766"/>
      <c r="Z766"/>
      <c r="AA766"/>
      <c r="AB766"/>
      <c r="AC766"/>
      <c r="AD766"/>
      <c r="AE766"/>
      <c r="AF766"/>
      <c r="AG766"/>
      <c r="AH766">
        <v>18</v>
      </c>
      <c r="AI766">
        <v>18</v>
      </c>
      <c r="AJ766"/>
      <c r="AK766"/>
      <c r="AL766"/>
      <c r="AM766"/>
      <c r="AN766"/>
      <c r="AO766" t="s">
        <v>1080</v>
      </c>
      <c r="AP766" t="s">
        <v>1081</v>
      </c>
      <c r="AQ766"/>
      <c r="AR766"/>
      <c r="AS766"/>
      <c r="AT766" t="s">
        <v>362</v>
      </c>
      <c r="AU766">
        <v>2016</v>
      </c>
      <c r="AV766">
        <v>55</v>
      </c>
      <c r="AW766"/>
      <c r="AX766"/>
      <c r="AY766"/>
      <c r="AZ766"/>
      <c r="BA766"/>
      <c r="BB766">
        <v>165</v>
      </c>
      <c r="BC766">
        <v>179</v>
      </c>
      <c r="BD766"/>
      <c r="BE766" t="s">
        <v>5361</v>
      </c>
      <c r="BF766" t="str">
        <f>HYPERLINK("http://dx.doi.org/10.1016/j.cities.2016.04.004","http://dx.doi.org/10.1016/j.cities.2016.04.004")</f>
        <v>http://dx.doi.org/10.1016/j.cities.2016.04.004</v>
      </c>
      <c r="BG766"/>
      <c r="BH766"/>
      <c r="BI766"/>
      <c r="BJ766" t="s">
        <v>243</v>
      </c>
      <c r="BK766"/>
      <c r="BL766"/>
      <c r="BM766"/>
      <c r="BN766"/>
      <c r="BO766"/>
      <c r="BP766"/>
      <c r="BQ766"/>
      <c r="BR766"/>
      <c r="BS766"/>
      <c r="BT766" t="str">
        <f>HYPERLINK("https%3A%2F%2Fwww.webofscience.com%2Fwos%2Fwoscc%2Ffull-record%2F","View Full Record in Web of Science")</f>
        <v>View Full Record in Web of Science</v>
      </c>
    </row>
    <row r="767" spans="1:72" customHeight="1" ht="12.75">
      <c r="A767" t="s">
        <v>72</v>
      </c>
      <c r="B767" t="s">
        <v>5362</v>
      </c>
      <c r="C767"/>
      <c r="D767"/>
      <c r="E767"/>
      <c r="F767" t="s">
        <v>5363</v>
      </c>
      <c r="G767"/>
      <c r="H767"/>
      <c r="I767" t="s">
        <v>5364</v>
      </c>
      <c r="J767" t="s">
        <v>457</v>
      </c>
      <c r="K767"/>
      <c r="L767"/>
      <c r="M767"/>
      <c r="N767" t="s">
        <v>112</v>
      </c>
      <c r="O767"/>
      <c r="P767"/>
      <c r="Q767"/>
      <c r="R767"/>
      <c r="S767"/>
      <c r="T767" t="s">
        <v>5365</v>
      </c>
      <c r="U767" t="s">
        <v>5366</v>
      </c>
      <c r="V767"/>
      <c r="W767"/>
      <c r="X767"/>
      <c r="Y767"/>
      <c r="Z767"/>
      <c r="AA767"/>
      <c r="AB767"/>
      <c r="AC767"/>
      <c r="AD767"/>
      <c r="AE767"/>
      <c r="AF767"/>
      <c r="AG767"/>
      <c r="AH767">
        <v>21</v>
      </c>
      <c r="AI767">
        <v>25</v>
      </c>
      <c r="AJ767"/>
      <c r="AK767"/>
      <c r="AL767"/>
      <c r="AM767"/>
      <c r="AN767"/>
      <c r="AO767"/>
      <c r="AP767" t="s">
        <v>458</v>
      </c>
      <c r="AQ767"/>
      <c r="AR767"/>
      <c r="AS767"/>
      <c r="AT767" t="s">
        <v>385</v>
      </c>
      <c r="AU767">
        <v>2015</v>
      </c>
      <c r="AV767">
        <v>7</v>
      </c>
      <c r="AW767">
        <v>7</v>
      </c>
      <c r="AX767"/>
      <c r="AY767"/>
      <c r="AZ767"/>
      <c r="BA767"/>
      <c r="BB767">
        <v>8522</v>
      </c>
      <c r="BC767">
        <v>8547</v>
      </c>
      <c r="BD767"/>
      <c r="BE767" t="s">
        <v>5367</v>
      </c>
      <c r="BF767" t="str">
        <f>HYPERLINK("http://dx.doi.org/10.3390/su7078522","http://dx.doi.org/10.3390/su7078522")</f>
        <v>http://dx.doi.org/10.3390/su7078522</v>
      </c>
      <c r="BG767"/>
      <c r="BH767"/>
      <c r="BI767"/>
      <c r="BJ767" t="s">
        <v>460</v>
      </c>
      <c r="BK767"/>
      <c r="BL767"/>
      <c r="BM767"/>
      <c r="BN767"/>
      <c r="BO767"/>
      <c r="BP767"/>
      <c r="BQ767"/>
      <c r="BR767"/>
      <c r="BS767"/>
      <c r="BT767" t="str">
        <f>HYPERLINK("https%3A%2F%2Fwww.webofscience.com%2Fwos%2Fwoscc%2Ffull-record%2F","View Full Record in Web of Science")</f>
        <v>View Full Record in Web of Science</v>
      </c>
    </row>
    <row r="768" spans="1:72" customHeight="1" ht="12.75">
      <c r="A768" t="s">
        <v>72</v>
      </c>
      <c r="B768" t="s">
        <v>360</v>
      </c>
      <c r="C768"/>
      <c r="D768"/>
      <c r="E768"/>
      <c r="F768" t="s">
        <v>5368</v>
      </c>
      <c r="G768"/>
      <c r="H768"/>
      <c r="I768" t="s">
        <v>5369</v>
      </c>
      <c r="J768" t="s">
        <v>5370</v>
      </c>
      <c r="K768"/>
      <c r="L768"/>
      <c r="M768"/>
      <c r="N768" t="s">
        <v>112</v>
      </c>
      <c r="O768"/>
      <c r="P768"/>
      <c r="Q768"/>
      <c r="R768"/>
      <c r="S768"/>
      <c r="T768"/>
      <c r="U768" t="s">
        <v>5371</v>
      </c>
      <c r="V768"/>
      <c r="W768"/>
      <c r="X768"/>
      <c r="Y768"/>
      <c r="Z768"/>
      <c r="AA768"/>
      <c r="AB768"/>
      <c r="AC768"/>
      <c r="AD768"/>
      <c r="AE768"/>
      <c r="AF768"/>
      <c r="AG768"/>
      <c r="AH768">
        <v>42</v>
      </c>
      <c r="AI768">
        <v>52</v>
      </c>
      <c r="AJ768"/>
      <c r="AK768"/>
      <c r="AL768"/>
      <c r="AM768"/>
      <c r="AN768"/>
      <c r="AO768" t="s">
        <v>5372</v>
      </c>
      <c r="AP768" t="s">
        <v>5373</v>
      </c>
      <c r="AQ768"/>
      <c r="AR768"/>
      <c r="AS768"/>
      <c r="AT768"/>
      <c r="AU768">
        <v>2007</v>
      </c>
      <c r="AV768">
        <v>11</v>
      </c>
      <c r="AW768">
        <v>6</v>
      </c>
      <c r="AX768"/>
      <c r="AY768"/>
      <c r="AZ768"/>
      <c r="BA768"/>
      <c r="BB768">
        <v>1757</v>
      </c>
      <c r="BC768">
        <v>1769</v>
      </c>
      <c r="BD768"/>
      <c r="BE768" t="s">
        <v>5374</v>
      </c>
      <c r="BF768" t="str">
        <f>HYPERLINK("http://dx.doi.org/10.5194/hess-11-1757-2007","http://dx.doi.org/10.5194/hess-11-1757-2007")</f>
        <v>http://dx.doi.org/10.5194/hess-11-1757-2007</v>
      </c>
      <c r="BG768"/>
      <c r="BH768"/>
      <c r="BI768"/>
      <c r="BJ768" t="s">
        <v>5375</v>
      </c>
      <c r="BK768"/>
      <c r="BL768"/>
      <c r="BM768"/>
      <c r="BN768"/>
      <c r="BO768"/>
      <c r="BP768"/>
      <c r="BQ768"/>
      <c r="BR768"/>
      <c r="BS768"/>
      <c r="BT768" t="str">
        <f>HYPERLINK("https%3A%2F%2Fwww.webofscience.com%2Fwos%2Fwoscc%2Ffull-record%2F","View Full Record in Web of Science")</f>
        <v>View Full Record in Web of Science</v>
      </c>
    </row>
    <row r="769" spans="1:72" customHeight="1" ht="12.75">
      <c r="A769" t="s">
        <v>72</v>
      </c>
      <c r="B769" t="s">
        <v>5376</v>
      </c>
      <c r="C769"/>
      <c r="D769"/>
      <c r="E769"/>
      <c r="F769" t="s">
        <v>5377</v>
      </c>
      <c r="G769"/>
      <c r="H769"/>
      <c r="I769" t="s">
        <v>5378</v>
      </c>
      <c r="J769" t="s">
        <v>292</v>
      </c>
      <c r="K769"/>
      <c r="L769"/>
      <c r="M769"/>
      <c r="N769" t="s">
        <v>99</v>
      </c>
      <c r="O769"/>
      <c r="P769"/>
      <c r="Q769"/>
      <c r="R769"/>
      <c r="S769"/>
      <c r="T769" t="s">
        <v>5379</v>
      </c>
      <c r="U769" t="s">
        <v>5380</v>
      </c>
      <c r="V769"/>
      <c r="W769"/>
      <c r="X769"/>
      <c r="Y769"/>
      <c r="Z769"/>
      <c r="AA769"/>
      <c r="AB769"/>
      <c r="AC769"/>
      <c r="AD769"/>
      <c r="AE769"/>
      <c r="AF769"/>
      <c r="AG769"/>
      <c r="AH769">
        <v>27</v>
      </c>
      <c r="AI769">
        <v>28</v>
      </c>
      <c r="AJ769"/>
      <c r="AK769"/>
      <c r="AL769"/>
      <c r="AM769"/>
      <c r="AN769"/>
      <c r="AO769" t="s">
        <v>295</v>
      </c>
      <c r="AP769"/>
      <c r="AQ769"/>
      <c r="AR769"/>
      <c r="AS769"/>
      <c r="AT769" t="s">
        <v>2930</v>
      </c>
      <c r="AU769">
        <v>2021</v>
      </c>
      <c r="AV769">
        <v>27</v>
      </c>
      <c r="AW769"/>
      <c r="AX769"/>
      <c r="AY769"/>
      <c r="AZ769"/>
      <c r="BA769"/>
      <c r="BB769">
        <v>1743</v>
      </c>
      <c r="BC769">
        <v>1761</v>
      </c>
      <c r="BD769"/>
      <c r="BE769" t="s">
        <v>5381</v>
      </c>
      <c r="BF769" t="str">
        <f>HYPERLINK("http://dx.doi.org/10.1016/j.spc.2021.04.008","http://dx.doi.org/10.1016/j.spc.2021.04.008")</f>
        <v>http://dx.doi.org/10.1016/j.spc.2021.04.008</v>
      </c>
      <c r="BG769"/>
      <c r="BH769" t="s">
        <v>1844</v>
      </c>
      <c r="BI769"/>
      <c r="BJ769" t="s">
        <v>299</v>
      </c>
      <c r="BK769"/>
      <c r="BL769"/>
      <c r="BM769"/>
      <c r="BN769"/>
      <c r="BO769"/>
      <c r="BP769"/>
      <c r="BQ769"/>
      <c r="BR769"/>
      <c r="BS769"/>
      <c r="BT769" t="str">
        <f>HYPERLINK("https%3A%2F%2Fwww.webofscience.com%2Fwos%2Fwoscc%2Ffull-record%2F","View Full Record in Web of Science")</f>
        <v>View Full Record in Web of Science</v>
      </c>
    </row>
    <row r="770" spans="1:72" customHeight="1" ht="12.75">
      <c r="A770" t="s">
        <v>72</v>
      </c>
      <c r="B770" t="s">
        <v>5382</v>
      </c>
      <c r="C770"/>
      <c r="D770"/>
      <c r="E770"/>
      <c r="F770" t="s">
        <v>5383</v>
      </c>
      <c r="G770"/>
      <c r="H770"/>
      <c r="I770" t="s">
        <v>5384</v>
      </c>
      <c r="J770" t="s">
        <v>587</v>
      </c>
      <c r="K770"/>
      <c r="L770"/>
      <c r="M770"/>
      <c r="N770" t="s">
        <v>112</v>
      </c>
      <c r="O770"/>
      <c r="P770"/>
      <c r="Q770"/>
      <c r="R770"/>
      <c r="S770"/>
      <c r="T770" t="s">
        <v>5385</v>
      </c>
      <c r="U770" t="s">
        <v>5386</v>
      </c>
      <c r="V770"/>
      <c r="W770"/>
      <c r="X770"/>
      <c r="Y770"/>
      <c r="Z770"/>
      <c r="AA770"/>
      <c r="AB770"/>
      <c r="AC770"/>
      <c r="AD770"/>
      <c r="AE770"/>
      <c r="AF770"/>
      <c r="AG770"/>
      <c r="AH770">
        <v>44</v>
      </c>
      <c r="AI770">
        <v>46</v>
      </c>
      <c r="AJ770"/>
      <c r="AK770"/>
      <c r="AL770"/>
      <c r="AM770"/>
      <c r="AN770"/>
      <c r="AO770" t="s">
        <v>590</v>
      </c>
      <c r="AP770" t="s">
        <v>591</v>
      </c>
      <c r="AQ770"/>
      <c r="AR770"/>
      <c r="AS770"/>
      <c r="AT770" t="s">
        <v>2169</v>
      </c>
      <c r="AU770">
        <v>2018</v>
      </c>
      <c r="AV770">
        <v>201</v>
      </c>
      <c r="AW770"/>
      <c r="AX770"/>
      <c r="AY770"/>
      <c r="AZ770"/>
      <c r="BA770"/>
      <c r="BB770">
        <v>481</v>
      </c>
      <c r="BC770">
        <v>498</v>
      </c>
      <c r="BD770"/>
      <c r="BE770" t="s">
        <v>5387</v>
      </c>
      <c r="BF770" t="str">
        <f>HYPERLINK("http://dx.doi.org/10.1016/j.jclepro.2018.07.238","http://dx.doi.org/10.1016/j.jclepro.2018.07.238")</f>
        <v>http://dx.doi.org/10.1016/j.jclepro.2018.07.238</v>
      </c>
      <c r="BG770"/>
      <c r="BH770"/>
      <c r="BI770"/>
      <c r="BJ770" t="s">
        <v>139</v>
      </c>
      <c r="BK770"/>
      <c r="BL770"/>
      <c r="BM770"/>
      <c r="BN770"/>
      <c r="BO770"/>
      <c r="BP770"/>
      <c r="BQ770"/>
      <c r="BR770"/>
      <c r="BS770"/>
      <c r="BT770" t="str">
        <f>HYPERLINK("https%3A%2F%2Fwww.webofscience.com%2Fwos%2Fwoscc%2Ffull-record%2F","View Full Record in Web of Science")</f>
        <v>View Full Record in Web of Science</v>
      </c>
    </row>
    <row r="771" spans="1:72" customHeight="1" ht="12.75">
      <c r="A771" t="s">
        <v>72</v>
      </c>
      <c r="B771" t="s">
        <v>5388</v>
      </c>
      <c r="C771"/>
      <c r="D771"/>
      <c r="E771"/>
      <c r="F771" t="s">
        <v>5389</v>
      </c>
      <c r="G771"/>
      <c r="H771"/>
      <c r="I771" t="s">
        <v>5390</v>
      </c>
      <c r="J771" t="s">
        <v>431</v>
      </c>
      <c r="K771"/>
      <c r="L771"/>
      <c r="M771"/>
      <c r="N771" t="s">
        <v>325</v>
      </c>
      <c r="O771"/>
      <c r="P771"/>
      <c r="Q771"/>
      <c r="R771"/>
      <c r="S771"/>
      <c r="T771" t="s">
        <v>5391</v>
      </c>
      <c r="U771" t="s">
        <v>5392</v>
      </c>
      <c r="V771"/>
      <c r="W771"/>
      <c r="X771"/>
      <c r="Y771"/>
      <c r="Z771"/>
      <c r="AA771"/>
      <c r="AB771"/>
      <c r="AC771"/>
      <c r="AD771"/>
      <c r="AE771"/>
      <c r="AF771"/>
      <c r="AG771"/>
      <c r="AH771">
        <v>0.0</v>
      </c>
      <c r="AI771">
        <v>0.0</v>
      </c>
      <c r="AJ771"/>
      <c r="AK771"/>
      <c r="AL771"/>
      <c r="AM771"/>
      <c r="AN771"/>
      <c r="AO771" t="s">
        <v>434</v>
      </c>
      <c r="AP771" t="s">
        <v>435</v>
      </c>
      <c r="AQ771"/>
      <c r="AR771"/>
      <c r="AS771"/>
      <c r="AT771" t="s">
        <v>5331</v>
      </c>
      <c r="AU771">
        <v>2024</v>
      </c>
      <c r="AV771">
        <v>104</v>
      </c>
      <c r="AW771"/>
      <c r="AX771"/>
      <c r="AY771"/>
      <c r="AZ771"/>
      <c r="BA771"/>
      <c r="BB771"/>
      <c r="BC771"/>
      <c r="BD771">
        <v>107320</v>
      </c>
      <c r="BE771" t="s">
        <v>5393</v>
      </c>
      <c r="BF771" t="str">
        <f>HYPERLINK("http://dx.doi.org/10.1016/j.eiar.2023.107320","http://dx.doi.org/10.1016/j.eiar.2023.107320")</f>
        <v>http://dx.doi.org/10.1016/j.eiar.2023.107320</v>
      </c>
      <c r="BG771"/>
      <c r="BH771" t="s">
        <v>1645</v>
      </c>
      <c r="BI771"/>
      <c r="BJ771" t="s">
        <v>359</v>
      </c>
      <c r="BK771"/>
      <c r="BL771"/>
      <c r="BM771"/>
      <c r="BN771"/>
      <c r="BO771"/>
      <c r="BP771"/>
      <c r="BQ771"/>
      <c r="BR771"/>
      <c r="BS771"/>
      <c r="BT771" t="str">
        <f>HYPERLINK("https%3A%2F%2Fwww.webofscience.com%2Fwos%2Fwoscc%2Ffull-record%2F","View Full Record in Web of Science")</f>
        <v>View Full Record in Web of Science</v>
      </c>
    </row>
    <row r="772" spans="1:72" customHeight="1" ht="12.75">
      <c r="A772" t="s">
        <v>72</v>
      </c>
      <c r="B772" t="s">
        <v>5394</v>
      </c>
      <c r="C772"/>
      <c r="D772"/>
      <c r="E772"/>
      <c r="F772" t="s">
        <v>5395</v>
      </c>
      <c r="G772"/>
      <c r="H772"/>
      <c r="I772" t="s">
        <v>5396</v>
      </c>
      <c r="J772" t="s">
        <v>472</v>
      </c>
      <c r="K772"/>
      <c r="L772"/>
      <c r="M772"/>
      <c r="N772" t="s">
        <v>325</v>
      </c>
      <c r="O772"/>
      <c r="P772"/>
      <c r="Q772"/>
      <c r="R772"/>
      <c r="S772"/>
      <c r="T772" t="s">
        <v>5397</v>
      </c>
      <c r="U772" t="s">
        <v>5398</v>
      </c>
      <c r="V772"/>
      <c r="W772"/>
      <c r="X772"/>
      <c r="Y772"/>
      <c r="Z772"/>
      <c r="AA772"/>
      <c r="AB772"/>
      <c r="AC772"/>
      <c r="AD772"/>
      <c r="AE772"/>
      <c r="AF772"/>
      <c r="AG772"/>
      <c r="AH772">
        <v>0.0</v>
      </c>
      <c r="AI772">
        <v>0.0</v>
      </c>
      <c r="AJ772"/>
      <c r="AK772"/>
      <c r="AL772"/>
      <c r="AM772"/>
      <c r="AN772"/>
      <c r="AO772" t="s">
        <v>475</v>
      </c>
      <c r="AP772" t="s">
        <v>476</v>
      </c>
      <c r="AQ772"/>
      <c r="AR772"/>
      <c r="AS772"/>
      <c r="AT772" t="s">
        <v>3649</v>
      </c>
      <c r="AU772">
        <v>2023</v>
      </c>
      <c r="AV772">
        <v>131</v>
      </c>
      <c r="AW772"/>
      <c r="AX772"/>
      <c r="AY772"/>
      <c r="AZ772"/>
      <c r="BA772"/>
      <c r="BB772"/>
      <c r="BC772"/>
      <c r="BD772">
        <v>106693</v>
      </c>
      <c r="BE772" t="s">
        <v>5399</v>
      </c>
      <c r="BF772" t="str">
        <f>HYPERLINK("http://dx.doi.org/10.1016/j.landusepol.2023.106693","http://dx.doi.org/10.1016/j.landusepol.2023.106693")</f>
        <v>http://dx.doi.org/10.1016/j.landusepol.2023.106693</v>
      </c>
      <c r="BG772"/>
      <c r="BH772" t="s">
        <v>3768</v>
      </c>
      <c r="BI772"/>
      <c r="BJ772" t="s">
        <v>359</v>
      </c>
      <c r="BK772"/>
      <c r="BL772"/>
      <c r="BM772"/>
      <c r="BN772"/>
      <c r="BO772"/>
      <c r="BP772"/>
      <c r="BQ772"/>
      <c r="BR772"/>
      <c r="BS772"/>
      <c r="BT772" t="str">
        <f>HYPERLINK("https%3A%2F%2Fwww.webofscience.com%2Fwos%2Fwoscc%2Ffull-record%2F","View Full Record in Web of Science")</f>
        <v>View Full Record in Web of Science</v>
      </c>
    </row>
    <row r="773" spans="1:72" customHeight="1" ht="12.75">
      <c r="A773" t="s">
        <v>72</v>
      </c>
      <c r="B773" t="s">
        <v>4646</v>
      </c>
      <c r="C773"/>
      <c r="D773"/>
      <c r="E773"/>
      <c r="F773" t="s">
        <v>4647</v>
      </c>
      <c r="G773"/>
      <c r="H773"/>
      <c r="I773" t="s">
        <v>5400</v>
      </c>
      <c r="J773" t="s">
        <v>587</v>
      </c>
      <c r="K773"/>
      <c r="L773"/>
      <c r="M773"/>
      <c r="N773" t="s">
        <v>112</v>
      </c>
      <c r="O773"/>
      <c r="P773"/>
      <c r="Q773"/>
      <c r="R773"/>
      <c r="S773"/>
      <c r="T773" t="s">
        <v>5401</v>
      </c>
      <c r="U773" t="s">
        <v>5402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>
        <v>49</v>
      </c>
      <c r="AI773">
        <v>51</v>
      </c>
      <c r="AJ773"/>
      <c r="AK773"/>
      <c r="AL773"/>
      <c r="AM773"/>
      <c r="AN773"/>
      <c r="AO773" t="s">
        <v>590</v>
      </c>
      <c r="AP773" t="s">
        <v>591</v>
      </c>
      <c r="AQ773"/>
      <c r="AR773"/>
      <c r="AS773"/>
      <c r="AT773" t="s">
        <v>5403</v>
      </c>
      <c r="AU773">
        <v>2019</v>
      </c>
      <c r="AV773">
        <v>216</v>
      </c>
      <c r="AW773"/>
      <c r="AX773"/>
      <c r="AY773"/>
      <c r="AZ773"/>
      <c r="BA773"/>
      <c r="BB773">
        <v>239</v>
      </c>
      <c r="BC773">
        <v>248</v>
      </c>
      <c r="BD773"/>
      <c r="BE773" t="s">
        <v>5404</v>
      </c>
      <c r="BF773" t="str">
        <f>HYPERLINK("http://dx.doi.org/10.1016/j.jclepro.2019.01.199","http://dx.doi.org/10.1016/j.jclepro.2019.01.199")</f>
        <v>http://dx.doi.org/10.1016/j.jclepro.2019.01.199</v>
      </c>
      <c r="BG773"/>
      <c r="BH773"/>
      <c r="BI773"/>
      <c r="BJ773" t="s">
        <v>139</v>
      </c>
      <c r="BK773"/>
      <c r="BL773"/>
      <c r="BM773"/>
      <c r="BN773"/>
      <c r="BO773"/>
      <c r="BP773"/>
      <c r="BQ773"/>
      <c r="BR773"/>
      <c r="BS773"/>
      <c r="BT773" t="str">
        <f>HYPERLINK("https%3A%2F%2Fwww.webofscience.com%2Fwos%2Fwoscc%2Ffull-record%2F","View Full Record in Web of Science")</f>
        <v>View Full Record in Web of Science</v>
      </c>
    </row>
    <row r="774" spans="1:72" customHeight="1" ht="12.75">
      <c r="A774" t="s">
        <v>72</v>
      </c>
      <c r="B774" t="s">
        <v>5405</v>
      </c>
      <c r="C774"/>
      <c r="D774"/>
      <c r="E774"/>
      <c r="F774" t="s">
        <v>5406</v>
      </c>
      <c r="G774"/>
      <c r="H774"/>
      <c r="I774" t="s">
        <v>5407</v>
      </c>
      <c r="J774" t="s">
        <v>111</v>
      </c>
      <c r="K774"/>
      <c r="L774"/>
      <c r="M774"/>
      <c r="N774" t="s">
        <v>112</v>
      </c>
      <c r="O774"/>
      <c r="P774"/>
      <c r="Q774"/>
      <c r="R774"/>
      <c r="S774"/>
      <c r="T774" t="s">
        <v>5408</v>
      </c>
      <c r="U774" t="s">
        <v>5409</v>
      </c>
      <c r="V774"/>
      <c r="W774"/>
      <c r="X774"/>
      <c r="Y774"/>
      <c r="Z774"/>
      <c r="AA774"/>
      <c r="AB774"/>
      <c r="AC774"/>
      <c r="AD774"/>
      <c r="AE774"/>
      <c r="AF774"/>
      <c r="AG774"/>
      <c r="AH774">
        <v>29</v>
      </c>
      <c r="AI774">
        <v>32</v>
      </c>
      <c r="AJ774"/>
      <c r="AK774"/>
      <c r="AL774"/>
      <c r="AM774"/>
      <c r="AN774"/>
      <c r="AO774" t="s">
        <v>115</v>
      </c>
      <c r="AP774" t="s">
        <v>116</v>
      </c>
      <c r="AQ774"/>
      <c r="AR774"/>
      <c r="AS774"/>
      <c r="AT774" t="s">
        <v>117</v>
      </c>
      <c r="AU774">
        <v>2018</v>
      </c>
      <c r="AV774">
        <v>132</v>
      </c>
      <c r="AW774"/>
      <c r="AX774"/>
      <c r="AY774"/>
      <c r="AZ774"/>
      <c r="BA774"/>
      <c r="BB774">
        <v>204</v>
      </c>
      <c r="BC774">
        <v>217</v>
      </c>
      <c r="BD774"/>
      <c r="BE774" t="s">
        <v>5410</v>
      </c>
      <c r="BF774" t="str">
        <f>HYPERLINK("http://dx.doi.org/10.1016/j.resconrec.2016.12.002","http://dx.doi.org/10.1016/j.resconrec.2016.12.002")</f>
        <v>http://dx.doi.org/10.1016/j.resconrec.2016.12.002</v>
      </c>
      <c r="BG774"/>
      <c r="BH774"/>
      <c r="BI774"/>
      <c r="BJ774" t="s">
        <v>119</v>
      </c>
      <c r="BK774"/>
      <c r="BL774"/>
      <c r="BM774"/>
      <c r="BN774"/>
      <c r="BO774"/>
      <c r="BP774"/>
      <c r="BQ774"/>
      <c r="BR774"/>
      <c r="BS774"/>
      <c r="BT774" t="str">
        <f>HYPERLINK("https%3A%2F%2Fwww.webofscience.com%2Fwos%2Fwoscc%2Ffull-record%2F","View Full Record in Web of Science")</f>
        <v>View Full Record in Web of Science</v>
      </c>
    </row>
    <row r="775" spans="1:72" customHeight="1" ht="12.75">
      <c r="A775" t="s">
        <v>72</v>
      </c>
      <c r="B775" t="s">
        <v>2949</v>
      </c>
      <c r="C775"/>
      <c r="D775"/>
      <c r="E775"/>
      <c r="F775" t="s">
        <v>5411</v>
      </c>
      <c r="G775"/>
      <c r="H775"/>
      <c r="I775" t="s">
        <v>5412</v>
      </c>
      <c r="J775" t="s">
        <v>2937</v>
      </c>
      <c r="K775"/>
      <c r="L775"/>
      <c r="M775"/>
      <c r="N775" t="s">
        <v>112</v>
      </c>
      <c r="O775"/>
      <c r="P775"/>
      <c r="Q775"/>
      <c r="R775"/>
      <c r="S775"/>
      <c r="T775" t="s">
        <v>5413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>
        <v>66</v>
      </c>
      <c r="AI775">
        <v>73</v>
      </c>
      <c r="AJ775"/>
      <c r="AK775"/>
      <c r="AL775"/>
      <c r="AM775"/>
      <c r="AN775"/>
      <c r="AO775" t="s">
        <v>2940</v>
      </c>
      <c r="AP775" t="s">
        <v>2941</v>
      </c>
      <c r="AQ775"/>
      <c r="AR775"/>
      <c r="AS775"/>
      <c r="AT775" t="s">
        <v>190</v>
      </c>
      <c r="AU775">
        <v>2016</v>
      </c>
      <c r="AV775">
        <v>48</v>
      </c>
      <c r="AW775">
        <v>2</v>
      </c>
      <c r="AX775"/>
      <c r="AY775"/>
      <c r="AZ775"/>
      <c r="BA775"/>
      <c r="BB775">
        <v>233</v>
      </c>
      <c r="BC775">
        <v>251</v>
      </c>
      <c r="BD775"/>
      <c r="BE775" t="s">
        <v>5414</v>
      </c>
      <c r="BF775" t="str">
        <f>HYPERLINK("http://dx.doi.org/10.1111/anti.12175","http://dx.doi.org/10.1111/anti.12175")</f>
        <v>http://dx.doi.org/10.1111/anti.12175</v>
      </c>
      <c r="BG775"/>
      <c r="BH775"/>
      <c r="BI775"/>
      <c r="BJ775" t="s">
        <v>83</v>
      </c>
      <c r="BK775"/>
      <c r="BL775"/>
      <c r="BM775"/>
      <c r="BN775"/>
      <c r="BO775"/>
      <c r="BP775"/>
      <c r="BQ775"/>
      <c r="BR775"/>
      <c r="BS775"/>
      <c r="BT775" t="str">
        <f>HYPERLINK("https%3A%2F%2Fwww.webofscience.com%2Fwos%2Fwoscc%2Ffull-record%2F","View Full Record in Web of Science")</f>
        <v>View Full Record in Web of Science</v>
      </c>
    </row>
    <row r="776" spans="1:72" customHeight="1" ht="12.75">
      <c r="A776" t="s">
        <v>72</v>
      </c>
      <c r="B776" t="s">
        <v>5415</v>
      </c>
      <c r="C776"/>
      <c r="D776"/>
      <c r="E776"/>
      <c r="F776" t="s">
        <v>5416</v>
      </c>
      <c r="G776"/>
      <c r="H776"/>
      <c r="I776" t="s">
        <v>5417</v>
      </c>
      <c r="J776" t="s">
        <v>5418</v>
      </c>
      <c r="K776"/>
      <c r="L776"/>
      <c r="M776"/>
      <c r="N776" t="s">
        <v>112</v>
      </c>
      <c r="O776"/>
      <c r="P776"/>
      <c r="Q776"/>
      <c r="R776"/>
      <c r="S776"/>
      <c r="T776" t="s">
        <v>5419</v>
      </c>
      <c r="U776" t="s">
        <v>5420</v>
      </c>
      <c r="V776"/>
      <c r="W776"/>
      <c r="X776"/>
      <c r="Y776"/>
      <c r="Z776"/>
      <c r="AA776"/>
      <c r="AB776"/>
      <c r="AC776"/>
      <c r="AD776"/>
      <c r="AE776"/>
      <c r="AF776"/>
      <c r="AG776"/>
      <c r="AH776">
        <v>20</v>
      </c>
      <c r="AI776">
        <v>23</v>
      </c>
      <c r="AJ776"/>
      <c r="AK776"/>
      <c r="AL776"/>
      <c r="AM776"/>
      <c r="AN776"/>
      <c r="AO776" t="s">
        <v>5421</v>
      </c>
      <c r="AP776" t="s">
        <v>5422</v>
      </c>
      <c r="AQ776"/>
      <c r="AR776"/>
      <c r="AS776"/>
      <c r="AT776" t="s">
        <v>404</v>
      </c>
      <c r="AU776">
        <v>2012</v>
      </c>
      <c r="AV776">
        <v>32</v>
      </c>
      <c r="AW776">
        <v>1</v>
      </c>
      <c r="AX776"/>
      <c r="AY776"/>
      <c r="AZ776" t="s">
        <v>222</v>
      </c>
      <c r="BA776"/>
      <c r="BB776">
        <v>40</v>
      </c>
      <c r="BC776">
        <v>50</v>
      </c>
      <c r="BD776"/>
      <c r="BE776" t="s">
        <v>5423</v>
      </c>
      <c r="BF776" t="str">
        <f>HYPERLINK("http://dx.doi.org/10.1016/j.apgeog.2010.11.011","http://dx.doi.org/10.1016/j.apgeog.2010.11.011")</f>
        <v>http://dx.doi.org/10.1016/j.apgeog.2010.11.011</v>
      </c>
      <c r="BG776"/>
      <c r="BH776"/>
      <c r="BI776"/>
      <c r="BJ776" t="s">
        <v>83</v>
      </c>
      <c r="BK776"/>
      <c r="BL776"/>
      <c r="BM776"/>
      <c r="BN776"/>
      <c r="BO776"/>
      <c r="BP776"/>
      <c r="BQ776"/>
      <c r="BR776"/>
      <c r="BS776"/>
      <c r="BT776" t="str">
        <f>HYPERLINK("https%3A%2F%2Fwww.webofscience.com%2Fwos%2Fwoscc%2Ffull-record%2F","View Full Record in Web of Science")</f>
        <v>View Full Record in Web of Science</v>
      </c>
    </row>
    <row r="777" spans="1:72" customHeight="1" ht="12.75">
      <c r="A777" t="s">
        <v>72</v>
      </c>
      <c r="B777" t="s">
        <v>5424</v>
      </c>
      <c r="C777"/>
      <c r="D777"/>
      <c r="E777"/>
      <c r="F777" t="s">
        <v>5425</v>
      </c>
      <c r="G777"/>
      <c r="H777"/>
      <c r="I777" t="s">
        <v>5426</v>
      </c>
      <c r="J777" t="s">
        <v>2861</v>
      </c>
      <c r="K777"/>
      <c r="L777"/>
      <c r="M777"/>
      <c r="N777" t="s">
        <v>112</v>
      </c>
      <c r="O777"/>
      <c r="P777"/>
      <c r="Q777"/>
      <c r="R777"/>
      <c r="S777"/>
      <c r="T777" t="s">
        <v>5427</v>
      </c>
      <c r="U777" t="s">
        <v>5428</v>
      </c>
      <c r="V777"/>
      <c r="W777"/>
      <c r="X777"/>
      <c r="Y777"/>
      <c r="Z777"/>
      <c r="AA777"/>
      <c r="AB777"/>
      <c r="AC777"/>
      <c r="AD777"/>
      <c r="AE777"/>
      <c r="AF777"/>
      <c r="AG777"/>
      <c r="AH777">
        <v>17</v>
      </c>
      <c r="AI777">
        <v>21</v>
      </c>
      <c r="AJ777"/>
      <c r="AK777"/>
      <c r="AL777"/>
      <c r="AM777"/>
      <c r="AN777"/>
      <c r="AO777" t="s">
        <v>2864</v>
      </c>
      <c r="AP777"/>
      <c r="AQ777"/>
      <c r="AR777"/>
      <c r="AS777"/>
      <c r="AT777"/>
      <c r="AU777">
        <v>2014</v>
      </c>
      <c r="AV777">
        <v>19</v>
      </c>
      <c r="AW777">
        <v>1</v>
      </c>
      <c r="AX777"/>
      <c r="AY777"/>
      <c r="AZ777"/>
      <c r="BA777"/>
      <c r="BB777"/>
      <c r="BC777"/>
      <c r="BD777">
        <v>37</v>
      </c>
      <c r="BE777" t="s">
        <v>5429</v>
      </c>
      <c r="BF777" t="str">
        <f>HYPERLINK("http://dx.doi.org/10.5751/ES-06118-190137","http://dx.doi.org/10.5751/ES-06118-190137")</f>
        <v>http://dx.doi.org/10.5751/ES-06118-190137</v>
      </c>
      <c r="BG777"/>
      <c r="BH777"/>
      <c r="BI777"/>
      <c r="BJ777" t="s">
        <v>2865</v>
      </c>
      <c r="BK777"/>
      <c r="BL777"/>
      <c r="BM777"/>
      <c r="BN777"/>
      <c r="BO777"/>
      <c r="BP777"/>
      <c r="BQ777"/>
      <c r="BR777"/>
      <c r="BS777"/>
      <c r="BT777" t="str">
        <f>HYPERLINK("https%3A%2F%2Fwww.webofscience.com%2Fwos%2Fwoscc%2Ffull-record%2F","View Full Record in Web of Science")</f>
        <v>View Full Record in Web of Science</v>
      </c>
    </row>
    <row r="778" spans="1:72" customHeight="1" ht="12.75">
      <c r="A778" t="s">
        <v>72</v>
      </c>
      <c r="B778" t="s">
        <v>5430</v>
      </c>
      <c r="C778"/>
      <c r="D778"/>
      <c r="E778"/>
      <c r="F778" t="s">
        <v>5431</v>
      </c>
      <c r="G778"/>
      <c r="H778"/>
      <c r="I778" t="s">
        <v>5432</v>
      </c>
      <c r="J778" t="s">
        <v>5433</v>
      </c>
      <c r="K778"/>
      <c r="L778"/>
      <c r="M778"/>
      <c r="N778" t="s">
        <v>112</v>
      </c>
      <c r="O778"/>
      <c r="P778"/>
      <c r="Q778"/>
      <c r="R778"/>
      <c r="S778"/>
      <c r="T778" t="s">
        <v>5434</v>
      </c>
      <c r="U778" t="s">
        <v>5435</v>
      </c>
      <c r="V778"/>
      <c r="W778"/>
      <c r="X778"/>
      <c r="Y778"/>
      <c r="Z778"/>
      <c r="AA778"/>
      <c r="AB778"/>
      <c r="AC778"/>
      <c r="AD778"/>
      <c r="AE778"/>
      <c r="AF778"/>
      <c r="AG778"/>
      <c r="AH778">
        <v>4</v>
      </c>
      <c r="AI778">
        <v>4</v>
      </c>
      <c r="AJ778"/>
      <c r="AK778"/>
      <c r="AL778"/>
      <c r="AM778"/>
      <c r="AN778"/>
      <c r="AO778"/>
      <c r="AP778" t="s">
        <v>5436</v>
      </c>
      <c r="AQ778"/>
      <c r="AR778"/>
      <c r="AS778"/>
      <c r="AT778" t="s">
        <v>2324</v>
      </c>
      <c r="AU778">
        <v>2022</v>
      </c>
      <c r="AV778">
        <v>10</v>
      </c>
      <c r="AW778"/>
      <c r="AX778"/>
      <c r="AY778"/>
      <c r="AZ778"/>
      <c r="BA778"/>
      <c r="BB778"/>
      <c r="BC778"/>
      <c r="BD778">
        <v>944865</v>
      </c>
      <c r="BE778" t="s">
        <v>5437</v>
      </c>
      <c r="BF778" t="str">
        <f>HYPERLINK("http://dx.doi.org/10.3389/feart.2022.944865","http://dx.doi.org/10.3389/feart.2022.944865")</f>
        <v>http://dx.doi.org/10.3389/feart.2022.944865</v>
      </c>
      <c r="BG778"/>
      <c r="BH778"/>
      <c r="BI778"/>
      <c r="BJ778" t="s">
        <v>2986</v>
      </c>
      <c r="BK778"/>
      <c r="BL778"/>
      <c r="BM778"/>
      <c r="BN778"/>
      <c r="BO778"/>
      <c r="BP778"/>
      <c r="BQ778"/>
      <c r="BR778"/>
      <c r="BS778"/>
      <c r="BT778" t="str">
        <f>HYPERLINK("https%3A%2F%2Fwww.webofscience.com%2Fwos%2Fwoscc%2Ffull-record%2F","View Full Record in Web of Science")</f>
        <v>View Full Record in Web of Science</v>
      </c>
    </row>
    <row r="779" spans="1:72" customHeight="1" ht="12.75">
      <c r="A779" t="s">
        <v>72</v>
      </c>
      <c r="B779" t="s">
        <v>5438</v>
      </c>
      <c r="C779"/>
      <c r="D779"/>
      <c r="E779"/>
      <c r="F779" t="s">
        <v>5439</v>
      </c>
      <c r="G779"/>
      <c r="H779"/>
      <c r="I779" t="s">
        <v>5440</v>
      </c>
      <c r="J779" t="s">
        <v>292</v>
      </c>
      <c r="K779"/>
      <c r="L779"/>
      <c r="M779"/>
      <c r="N779" t="s">
        <v>112</v>
      </c>
      <c r="O779"/>
      <c r="P779"/>
      <c r="Q779"/>
      <c r="R779"/>
      <c r="S779"/>
      <c r="T779" t="s">
        <v>5441</v>
      </c>
      <c r="U779" t="s">
        <v>5442</v>
      </c>
      <c r="V779"/>
      <c r="W779"/>
      <c r="X779"/>
      <c r="Y779"/>
      <c r="Z779"/>
      <c r="AA779"/>
      <c r="AB779"/>
      <c r="AC779"/>
      <c r="AD779"/>
      <c r="AE779"/>
      <c r="AF779"/>
      <c r="AG779"/>
      <c r="AH779">
        <v>10</v>
      </c>
      <c r="AI779">
        <v>10</v>
      </c>
      <c r="AJ779"/>
      <c r="AK779"/>
      <c r="AL779"/>
      <c r="AM779"/>
      <c r="AN779"/>
      <c r="AO779" t="s">
        <v>295</v>
      </c>
      <c r="AP779"/>
      <c r="AQ779"/>
      <c r="AR779"/>
      <c r="AS779"/>
      <c r="AT779" t="s">
        <v>145</v>
      </c>
      <c r="AU779">
        <v>2021</v>
      </c>
      <c r="AV779">
        <v>26</v>
      </c>
      <c r="AW779"/>
      <c r="AX779"/>
      <c r="AY779"/>
      <c r="AZ779"/>
      <c r="BA779"/>
      <c r="BB779">
        <v>958</v>
      </c>
      <c r="BC779">
        <v>970</v>
      </c>
      <c r="BD779"/>
      <c r="BE779" t="s">
        <v>5443</v>
      </c>
      <c r="BF779" t="str">
        <f>HYPERLINK("http://dx.doi.org/10.1016/j.spc.2020.12.039","http://dx.doi.org/10.1016/j.spc.2020.12.039")</f>
        <v>http://dx.doi.org/10.1016/j.spc.2020.12.039</v>
      </c>
      <c r="BG779"/>
      <c r="BH779"/>
      <c r="BI779"/>
      <c r="BJ779" t="s">
        <v>299</v>
      </c>
      <c r="BK779"/>
      <c r="BL779"/>
      <c r="BM779"/>
      <c r="BN779"/>
      <c r="BO779"/>
      <c r="BP779"/>
      <c r="BQ779"/>
      <c r="BR779"/>
      <c r="BS779"/>
      <c r="BT779" t="str">
        <f>HYPERLINK("https%3A%2F%2Fwww.webofscience.com%2Fwos%2Fwoscc%2Ffull-record%2F","View Full Record in Web of Science")</f>
        <v>View Full Record in Web of Science</v>
      </c>
    </row>
    <row r="780" spans="1:72" customHeight="1" ht="12.75">
      <c r="A780" t="s">
        <v>72</v>
      </c>
      <c r="B780" t="s">
        <v>5444</v>
      </c>
      <c r="C780"/>
      <c r="D780"/>
      <c r="E780"/>
      <c r="F780" t="s">
        <v>5445</v>
      </c>
      <c r="G780"/>
      <c r="H780"/>
      <c r="I780" t="s">
        <v>5446</v>
      </c>
      <c r="J780" t="s">
        <v>1067</v>
      </c>
      <c r="K780"/>
      <c r="L780"/>
      <c r="M780"/>
      <c r="N780" t="s">
        <v>112</v>
      </c>
      <c r="O780"/>
      <c r="P780"/>
      <c r="Q780"/>
      <c r="R780"/>
      <c r="S780"/>
      <c r="T780" t="s">
        <v>5447</v>
      </c>
      <c r="U780" t="s">
        <v>5448</v>
      </c>
      <c r="V780"/>
      <c r="W780"/>
      <c r="X780"/>
      <c r="Y780"/>
      <c r="Z780"/>
      <c r="AA780"/>
      <c r="AB780"/>
      <c r="AC780"/>
      <c r="AD780"/>
      <c r="AE780"/>
      <c r="AF780"/>
      <c r="AG780"/>
      <c r="AH780">
        <v>30</v>
      </c>
      <c r="AI780">
        <v>30</v>
      </c>
      <c r="AJ780"/>
      <c r="AK780"/>
      <c r="AL780"/>
      <c r="AM780"/>
      <c r="AN780"/>
      <c r="AO780" t="s">
        <v>1070</v>
      </c>
      <c r="AP780" t="s">
        <v>1071</v>
      </c>
      <c r="AQ780"/>
      <c r="AR780"/>
      <c r="AS780"/>
      <c r="AT780" t="s">
        <v>5449</v>
      </c>
      <c r="AU780">
        <v>2020</v>
      </c>
      <c r="AV780">
        <v>705</v>
      </c>
      <c r="AW780"/>
      <c r="AX780"/>
      <c r="AY780"/>
      <c r="AZ780"/>
      <c r="BA780"/>
      <c r="BB780"/>
      <c r="BC780"/>
      <c r="BD780">
        <v>135857</v>
      </c>
      <c r="BE780" t="s">
        <v>5450</v>
      </c>
      <c r="BF780" t="str">
        <f>HYPERLINK("http://dx.doi.org/10.1016/j.scitotenv.2019.135857","http://dx.doi.org/10.1016/j.scitotenv.2019.135857")</f>
        <v>http://dx.doi.org/10.1016/j.scitotenv.2019.135857</v>
      </c>
      <c r="BG780"/>
      <c r="BH780"/>
      <c r="BI780"/>
      <c r="BJ780" t="s">
        <v>224</v>
      </c>
      <c r="BK780"/>
      <c r="BL780"/>
      <c r="BM780"/>
      <c r="BN780"/>
      <c r="BO780"/>
      <c r="BP780"/>
      <c r="BQ780"/>
      <c r="BR780"/>
      <c r="BS780"/>
      <c r="BT780" t="str">
        <f>HYPERLINK("https%3A%2F%2Fwww.webofscience.com%2Fwos%2Fwoscc%2Ffull-record%2F","View Full Record in Web of Science")</f>
        <v>View Full Record in Web of Science</v>
      </c>
    </row>
    <row r="781" spans="1:72" customHeight="1" ht="12.75">
      <c r="A781" t="s">
        <v>72</v>
      </c>
      <c r="B781" t="s">
        <v>5451</v>
      </c>
      <c r="C781"/>
      <c r="D781"/>
      <c r="E781"/>
      <c r="F781" t="s">
        <v>5452</v>
      </c>
      <c r="G781"/>
      <c r="H781"/>
      <c r="I781" t="s">
        <v>5453</v>
      </c>
      <c r="J781" t="s">
        <v>587</v>
      </c>
      <c r="K781"/>
      <c r="L781"/>
      <c r="M781"/>
      <c r="N781" t="s">
        <v>325</v>
      </c>
      <c r="O781"/>
      <c r="P781"/>
      <c r="Q781"/>
      <c r="R781"/>
      <c r="S781"/>
      <c r="T781" t="s">
        <v>5454</v>
      </c>
      <c r="U781" t="s">
        <v>5455</v>
      </c>
      <c r="V781"/>
      <c r="W781"/>
      <c r="X781"/>
      <c r="Y781"/>
      <c r="Z781"/>
      <c r="AA781"/>
      <c r="AB781"/>
      <c r="AC781"/>
      <c r="AD781"/>
      <c r="AE781"/>
      <c r="AF781"/>
      <c r="AG781"/>
      <c r="AH781">
        <v>31</v>
      </c>
      <c r="AI781">
        <v>31</v>
      </c>
      <c r="AJ781"/>
      <c r="AK781"/>
      <c r="AL781"/>
      <c r="AM781"/>
      <c r="AN781"/>
      <c r="AO781" t="s">
        <v>590</v>
      </c>
      <c r="AP781" t="s">
        <v>591</v>
      </c>
      <c r="AQ781"/>
      <c r="AR781"/>
      <c r="AS781"/>
      <c r="AT781" t="s">
        <v>5456</v>
      </c>
      <c r="AU781">
        <v>2022</v>
      </c>
      <c r="AV781">
        <v>339</v>
      </c>
      <c r="AW781"/>
      <c r="AX781"/>
      <c r="AY781"/>
      <c r="AZ781"/>
      <c r="BA781"/>
      <c r="BB781"/>
      <c r="BC781"/>
      <c r="BD781">
        <v>130657</v>
      </c>
      <c r="BE781" t="s">
        <v>5457</v>
      </c>
      <c r="BF781" t="str">
        <f>HYPERLINK("http://dx.doi.org/10.1016/j.jclepro.2022.130657","http://dx.doi.org/10.1016/j.jclepro.2022.130657")</f>
        <v>http://dx.doi.org/10.1016/j.jclepro.2022.130657</v>
      </c>
      <c r="BG781"/>
      <c r="BH781" t="s">
        <v>106</v>
      </c>
      <c r="BI781"/>
      <c r="BJ781" t="s">
        <v>139</v>
      </c>
      <c r="BK781"/>
      <c r="BL781"/>
      <c r="BM781"/>
      <c r="BN781"/>
      <c r="BO781"/>
      <c r="BP781"/>
      <c r="BQ781"/>
      <c r="BR781"/>
      <c r="BS781"/>
      <c r="BT781" t="str">
        <f>HYPERLINK("https%3A%2F%2Fwww.webofscience.com%2Fwos%2Fwoscc%2Ffull-record%2F","View Full Record in Web of Science")</f>
        <v>View Full Record in Web of Science</v>
      </c>
    </row>
    <row r="782" spans="1:72" customHeight="1" ht="12.75">
      <c r="A782" t="s">
        <v>72</v>
      </c>
      <c r="B782" t="s">
        <v>5333</v>
      </c>
      <c r="C782"/>
      <c r="D782"/>
      <c r="E782"/>
      <c r="F782" t="s">
        <v>5334</v>
      </c>
      <c r="G782"/>
      <c r="H782"/>
      <c r="I782" t="s">
        <v>5458</v>
      </c>
      <c r="J782" t="s">
        <v>457</v>
      </c>
      <c r="K782"/>
      <c r="L782"/>
      <c r="M782"/>
      <c r="N782" t="s">
        <v>112</v>
      </c>
      <c r="O782"/>
      <c r="P782"/>
      <c r="Q782"/>
      <c r="R782"/>
      <c r="S782"/>
      <c r="T782" t="s">
        <v>5459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>
        <v>66</v>
      </c>
      <c r="AI782">
        <v>70</v>
      </c>
      <c r="AJ782"/>
      <c r="AK782"/>
      <c r="AL782"/>
      <c r="AM782"/>
      <c r="AN782"/>
      <c r="AO782" t="s">
        <v>458</v>
      </c>
      <c r="AP782"/>
      <c r="AQ782"/>
      <c r="AR782"/>
      <c r="AS782"/>
      <c r="AT782" t="s">
        <v>404</v>
      </c>
      <c r="AU782">
        <v>2011</v>
      </c>
      <c r="AV782">
        <v>3</v>
      </c>
      <c r="AW782">
        <v>1</v>
      </c>
      <c r="AX782"/>
      <c r="AY782"/>
      <c r="AZ782"/>
      <c r="BA782"/>
      <c r="BB782">
        <v>155</v>
      </c>
      <c r="BC782">
        <v>183</v>
      </c>
      <c r="BD782"/>
      <c r="BE782" t="s">
        <v>5460</v>
      </c>
      <c r="BF782" t="str">
        <f>HYPERLINK("http://dx.doi.org/10.3390/su3010155","http://dx.doi.org/10.3390/su3010155")</f>
        <v>http://dx.doi.org/10.3390/su3010155</v>
      </c>
      <c r="BG782"/>
      <c r="BH782"/>
      <c r="BI782"/>
      <c r="BJ782" t="s">
        <v>460</v>
      </c>
      <c r="BK782"/>
      <c r="BL782"/>
      <c r="BM782"/>
      <c r="BN782"/>
      <c r="BO782"/>
      <c r="BP782"/>
      <c r="BQ782"/>
      <c r="BR782"/>
      <c r="BS782"/>
      <c r="BT782" t="str">
        <f>HYPERLINK("https%3A%2F%2Fwww.webofscience.com%2Fwos%2Fwoscc%2Ffull-record%2F","View Full Record in Web of Science")</f>
        <v>View Full Record in Web of Science</v>
      </c>
    </row>
    <row r="783" spans="1:72" customHeight="1" ht="12.75">
      <c r="A783" t="s">
        <v>72</v>
      </c>
      <c r="B783" t="s">
        <v>5461</v>
      </c>
      <c r="C783"/>
      <c r="D783"/>
      <c r="E783"/>
      <c r="F783" t="s">
        <v>5462</v>
      </c>
      <c r="G783"/>
      <c r="H783"/>
      <c r="I783" t="s">
        <v>5463</v>
      </c>
      <c r="J783" t="s">
        <v>1991</v>
      </c>
      <c r="K783"/>
      <c r="L783"/>
      <c r="M783"/>
      <c r="N783" t="s">
        <v>325</v>
      </c>
      <c r="O783"/>
      <c r="P783"/>
      <c r="Q783"/>
      <c r="R783"/>
      <c r="S783"/>
      <c r="T783" t="s">
        <v>5464</v>
      </c>
      <c r="U783" t="s">
        <v>5465</v>
      </c>
      <c r="V783"/>
      <c r="W783"/>
      <c r="X783"/>
      <c r="Y783"/>
      <c r="Z783"/>
      <c r="AA783"/>
      <c r="AB783"/>
      <c r="AC783"/>
      <c r="AD783"/>
      <c r="AE783"/>
      <c r="AF783"/>
      <c r="AG783"/>
      <c r="AH783">
        <v>11</v>
      </c>
      <c r="AI783">
        <v>12</v>
      </c>
      <c r="AJ783"/>
      <c r="AK783"/>
      <c r="AL783"/>
      <c r="AM783"/>
      <c r="AN783"/>
      <c r="AO783" t="s">
        <v>1994</v>
      </c>
      <c r="AP783" t="s">
        <v>1995</v>
      </c>
      <c r="AQ783"/>
      <c r="AR783"/>
      <c r="AS783"/>
      <c r="AT783" t="s">
        <v>5466</v>
      </c>
      <c r="AU783">
        <v>2020</v>
      </c>
      <c r="AV783">
        <v>25</v>
      </c>
      <c r="AW783">
        <v>11</v>
      </c>
      <c r="AX783"/>
      <c r="AY783"/>
      <c r="AZ783"/>
      <c r="BA783"/>
      <c r="BB783">
        <v>2204</v>
      </c>
      <c r="BC783">
        <v>2216</v>
      </c>
      <c r="BD783"/>
      <c r="BE783" t="s">
        <v>5467</v>
      </c>
      <c r="BF783" t="str">
        <f>HYPERLINK("http://dx.doi.org/10.1007/s11367-020-01822-9","http://dx.doi.org/10.1007/s11367-020-01822-9")</f>
        <v>http://dx.doi.org/10.1007/s11367-020-01822-9</v>
      </c>
      <c r="BG783"/>
      <c r="BH783" t="s">
        <v>4472</v>
      </c>
      <c r="BI783"/>
      <c r="BJ783" t="s">
        <v>119</v>
      </c>
      <c r="BK783"/>
      <c r="BL783"/>
      <c r="BM783"/>
      <c r="BN783"/>
      <c r="BO783"/>
      <c r="BP783"/>
      <c r="BQ783"/>
      <c r="BR783"/>
      <c r="BS783"/>
      <c r="BT783" t="str">
        <f>HYPERLINK("https%3A%2F%2Fwww.webofscience.com%2Fwos%2Fwoscc%2Ffull-record%2F","View Full Record in Web of Science")</f>
        <v>View Full Record in Web of Science</v>
      </c>
    </row>
    <row r="784" spans="1:72" customHeight="1" ht="12.75">
      <c r="A784" t="s">
        <v>72</v>
      </c>
      <c r="B784" t="s">
        <v>5468</v>
      </c>
      <c r="C784"/>
      <c r="D784"/>
      <c r="E784"/>
      <c r="F784" t="s">
        <v>5469</v>
      </c>
      <c r="G784"/>
      <c r="H784"/>
      <c r="I784" t="s">
        <v>5470</v>
      </c>
      <c r="J784" t="s">
        <v>587</v>
      </c>
      <c r="K784"/>
      <c r="L784"/>
      <c r="M784"/>
      <c r="N784" t="s">
        <v>112</v>
      </c>
      <c r="O784"/>
      <c r="P784"/>
      <c r="Q784"/>
      <c r="R784"/>
      <c r="S784"/>
      <c r="T784" t="s">
        <v>5471</v>
      </c>
      <c r="U784" t="s">
        <v>5472</v>
      </c>
      <c r="V784"/>
      <c r="W784"/>
      <c r="X784"/>
      <c r="Y784"/>
      <c r="Z784"/>
      <c r="AA784"/>
      <c r="AB784"/>
      <c r="AC784"/>
      <c r="AD784"/>
      <c r="AE784"/>
      <c r="AF784"/>
      <c r="AG784"/>
      <c r="AH784">
        <v>11</v>
      </c>
      <c r="AI784">
        <v>12</v>
      </c>
      <c r="AJ784"/>
      <c r="AK784"/>
      <c r="AL784"/>
      <c r="AM784"/>
      <c r="AN784"/>
      <c r="AO784" t="s">
        <v>590</v>
      </c>
      <c r="AP784" t="s">
        <v>591</v>
      </c>
      <c r="AQ784"/>
      <c r="AR784"/>
      <c r="AS784"/>
      <c r="AT784" t="s">
        <v>2162</v>
      </c>
      <c r="AU784">
        <v>2016</v>
      </c>
      <c r="AV784">
        <v>112</v>
      </c>
      <c r="AW784"/>
      <c r="AX784">
        <v>1</v>
      </c>
      <c r="AY784"/>
      <c r="AZ784"/>
      <c r="BA784"/>
      <c r="BB784">
        <v>771</v>
      </c>
      <c r="BC784">
        <v>786</v>
      </c>
      <c r="BD784"/>
      <c r="BE784" t="s">
        <v>5473</v>
      </c>
      <c r="BF784" t="str">
        <f>HYPERLINK("http://dx.doi.org/10.1016/j.jclepro.2015.06.113","http://dx.doi.org/10.1016/j.jclepro.2015.06.113")</f>
        <v>http://dx.doi.org/10.1016/j.jclepro.2015.06.113</v>
      </c>
      <c r="BG784"/>
      <c r="BH784"/>
      <c r="BI784"/>
      <c r="BJ784" t="s">
        <v>139</v>
      </c>
      <c r="BK784"/>
      <c r="BL784"/>
      <c r="BM784"/>
      <c r="BN784"/>
      <c r="BO784"/>
      <c r="BP784"/>
      <c r="BQ784"/>
      <c r="BR784"/>
      <c r="BS784"/>
      <c r="BT784" t="str">
        <f>HYPERLINK("https%3A%2F%2Fwww.webofscience.com%2Fwos%2Fwoscc%2Ffull-record%2F","View Full Record in Web of Science")</f>
        <v>View Full Record in Web of Science</v>
      </c>
    </row>
    <row r="785" spans="1:72" customHeight="1" ht="12.75">
      <c r="A785" t="s">
        <v>72</v>
      </c>
      <c r="B785" t="s">
        <v>5474</v>
      </c>
      <c r="C785"/>
      <c r="D785"/>
      <c r="E785"/>
      <c r="F785" t="s">
        <v>5475</v>
      </c>
      <c r="G785"/>
      <c r="H785"/>
      <c r="I785" t="s">
        <v>5476</v>
      </c>
      <c r="J785" t="s">
        <v>1991</v>
      </c>
      <c r="K785"/>
      <c r="L785"/>
      <c r="M785"/>
      <c r="N785" t="s">
        <v>325</v>
      </c>
      <c r="O785"/>
      <c r="P785"/>
      <c r="Q785"/>
      <c r="R785"/>
      <c r="S785"/>
      <c r="T785" t="s">
        <v>5477</v>
      </c>
      <c r="U785" t="s">
        <v>5478</v>
      </c>
      <c r="V785"/>
      <c r="W785"/>
      <c r="X785"/>
      <c r="Y785"/>
      <c r="Z785"/>
      <c r="AA785"/>
      <c r="AB785"/>
      <c r="AC785"/>
      <c r="AD785"/>
      <c r="AE785"/>
      <c r="AF785"/>
      <c r="AG785"/>
      <c r="AH785">
        <v>30</v>
      </c>
      <c r="AI785">
        <v>33</v>
      </c>
      <c r="AJ785"/>
      <c r="AK785"/>
      <c r="AL785"/>
      <c r="AM785"/>
      <c r="AN785"/>
      <c r="AO785" t="s">
        <v>1994</v>
      </c>
      <c r="AP785" t="s">
        <v>1995</v>
      </c>
      <c r="AQ785"/>
      <c r="AR785"/>
      <c r="AS785"/>
      <c r="AT785" t="s">
        <v>5479</v>
      </c>
      <c r="AU785">
        <v>2020</v>
      </c>
      <c r="AV785">
        <v>25</v>
      </c>
      <c r="AW785">
        <v>3</v>
      </c>
      <c r="AX785"/>
      <c r="AY785"/>
      <c r="AZ785"/>
      <c r="BA785"/>
      <c r="BB785">
        <v>564</v>
      </c>
      <c r="BC785">
        <v>576</v>
      </c>
      <c r="BD785"/>
      <c r="BE785" t="s">
        <v>5480</v>
      </c>
      <c r="BF785" t="str">
        <f>HYPERLINK("http://dx.doi.org/10.1007/s11367-019-01724-5","http://dx.doi.org/10.1007/s11367-019-01724-5")</f>
        <v>http://dx.doi.org/10.1007/s11367-019-01724-5</v>
      </c>
      <c r="BG785"/>
      <c r="BH785" t="s">
        <v>5481</v>
      </c>
      <c r="BI785"/>
      <c r="BJ785" t="s">
        <v>119</v>
      </c>
      <c r="BK785"/>
      <c r="BL785"/>
      <c r="BM785"/>
      <c r="BN785"/>
      <c r="BO785"/>
      <c r="BP785"/>
      <c r="BQ785"/>
      <c r="BR785"/>
      <c r="BS785"/>
      <c r="BT785" t="str">
        <f>HYPERLINK("https%3A%2F%2Fwww.webofscience.com%2Fwos%2Fwoscc%2Ffull-record%2F","View Full Record in Web of Science")</f>
        <v>View Full Record in Web of Science</v>
      </c>
    </row>
    <row r="786" spans="1:72" customHeight="1" ht="12.75">
      <c r="A786" t="s">
        <v>72</v>
      </c>
      <c r="B786" t="s">
        <v>5482</v>
      </c>
      <c r="C786"/>
      <c r="D786"/>
      <c r="E786"/>
      <c r="F786" t="s">
        <v>5483</v>
      </c>
      <c r="G786"/>
      <c r="H786"/>
      <c r="I786" t="s">
        <v>5484</v>
      </c>
      <c r="J786" t="s">
        <v>1991</v>
      </c>
      <c r="K786"/>
      <c r="L786"/>
      <c r="M786"/>
      <c r="N786" t="s">
        <v>325</v>
      </c>
      <c r="O786"/>
      <c r="P786"/>
      <c r="Q786"/>
      <c r="R786"/>
      <c r="S786"/>
      <c r="T786" t="s">
        <v>5485</v>
      </c>
      <c r="U786" t="s">
        <v>5486</v>
      </c>
      <c r="V786"/>
      <c r="W786"/>
      <c r="X786"/>
      <c r="Y786"/>
      <c r="Z786"/>
      <c r="AA786"/>
      <c r="AB786"/>
      <c r="AC786"/>
      <c r="AD786"/>
      <c r="AE786"/>
      <c r="AF786"/>
      <c r="AG786"/>
      <c r="AH786">
        <v>0.0</v>
      </c>
      <c r="AI786">
        <v>0.0</v>
      </c>
      <c r="AJ786"/>
      <c r="AK786"/>
      <c r="AL786"/>
      <c r="AM786"/>
      <c r="AN786"/>
      <c r="AO786" t="s">
        <v>1994</v>
      </c>
      <c r="AP786" t="s">
        <v>1995</v>
      </c>
      <c r="AQ786"/>
      <c r="AR786"/>
      <c r="AS786"/>
      <c r="AT786" t="s">
        <v>5487</v>
      </c>
      <c r="AU786">
        <v>2022</v>
      </c>
      <c r="AV786"/>
      <c r="AW786"/>
      <c r="AX786"/>
      <c r="AY786"/>
      <c r="AZ786"/>
      <c r="BA786"/>
      <c r="BB786"/>
      <c r="BC786"/>
      <c r="BD786"/>
      <c r="BE786" t="s">
        <v>5488</v>
      </c>
      <c r="BF786" t="str">
        <f>HYPERLINK("http://dx.doi.org/10.1007/s11367-022-02024-1","http://dx.doi.org/10.1007/s11367-022-02024-1")</f>
        <v>http://dx.doi.org/10.1007/s11367-022-02024-1</v>
      </c>
      <c r="BG786"/>
      <c r="BH786" t="s">
        <v>2450</v>
      </c>
      <c r="BI786"/>
      <c r="BJ786" t="s">
        <v>119</v>
      </c>
      <c r="BK786"/>
      <c r="BL786"/>
      <c r="BM786"/>
      <c r="BN786"/>
      <c r="BO786"/>
      <c r="BP786"/>
      <c r="BQ786"/>
      <c r="BR786"/>
      <c r="BS786"/>
      <c r="BT786" t="str">
        <f>HYPERLINK("https%3A%2F%2Fwww.webofscience.com%2Fwos%2Fwoscc%2Ffull-record%2F","View Full Record in Web of Science")</f>
        <v>View Full Record in Web of Science</v>
      </c>
    </row>
    <row r="787" spans="1:72" customHeight="1" ht="12.75">
      <c r="A787" t="s">
        <v>72</v>
      </c>
      <c r="B787" t="s">
        <v>5489</v>
      </c>
      <c r="C787"/>
      <c r="D787"/>
      <c r="E787"/>
      <c r="F787" t="s">
        <v>5490</v>
      </c>
      <c r="G787"/>
      <c r="H787"/>
      <c r="I787" t="s">
        <v>5491</v>
      </c>
      <c r="J787" t="s">
        <v>472</v>
      </c>
      <c r="K787"/>
      <c r="L787"/>
      <c r="M787"/>
      <c r="N787" t="s">
        <v>112</v>
      </c>
      <c r="O787"/>
      <c r="P787"/>
      <c r="Q787"/>
      <c r="R787"/>
      <c r="S787"/>
      <c r="T787" t="s">
        <v>5492</v>
      </c>
      <c r="U787" t="s">
        <v>5493</v>
      </c>
      <c r="V787"/>
      <c r="W787"/>
      <c r="X787"/>
      <c r="Y787"/>
      <c r="Z787"/>
      <c r="AA787"/>
      <c r="AB787"/>
      <c r="AC787"/>
      <c r="AD787"/>
      <c r="AE787"/>
      <c r="AF787"/>
      <c r="AG787"/>
      <c r="AH787">
        <v>15</v>
      </c>
      <c r="AI787">
        <v>15</v>
      </c>
      <c r="AJ787"/>
      <c r="AK787"/>
      <c r="AL787"/>
      <c r="AM787"/>
      <c r="AN787"/>
      <c r="AO787" t="s">
        <v>475</v>
      </c>
      <c r="AP787" t="s">
        <v>476</v>
      </c>
      <c r="AQ787"/>
      <c r="AR787"/>
      <c r="AS787"/>
      <c r="AT787" t="s">
        <v>394</v>
      </c>
      <c r="AU787">
        <v>2022</v>
      </c>
      <c r="AV787">
        <v>113</v>
      </c>
      <c r="AW787"/>
      <c r="AX787"/>
      <c r="AY787"/>
      <c r="AZ787"/>
      <c r="BA787"/>
      <c r="BB787"/>
      <c r="BC787"/>
      <c r="BD787">
        <v>105830</v>
      </c>
      <c r="BE787" t="s">
        <v>5494</v>
      </c>
      <c r="BF787" t="str">
        <f>HYPERLINK("http://dx.doi.org/10.1016/j.landusepol.2021.105830","http://dx.doi.org/10.1016/j.landusepol.2021.105830")</f>
        <v>http://dx.doi.org/10.1016/j.landusepol.2021.105830</v>
      </c>
      <c r="BG787"/>
      <c r="BH787"/>
      <c r="BI787"/>
      <c r="BJ787" t="s">
        <v>359</v>
      </c>
      <c r="BK787"/>
      <c r="BL787"/>
      <c r="BM787"/>
      <c r="BN787"/>
      <c r="BO787"/>
      <c r="BP787"/>
      <c r="BQ787"/>
      <c r="BR787"/>
      <c r="BS787"/>
      <c r="BT787" t="str">
        <f>HYPERLINK("https%3A%2F%2Fwww.webofscience.com%2Fwos%2Fwoscc%2Ffull-record%2F","View Full Record in Web of Science")</f>
        <v>View Full Record in Web of Science</v>
      </c>
    </row>
    <row r="788" spans="1:72" customHeight="1" ht="12.75">
      <c r="A788" t="s">
        <v>72</v>
      </c>
      <c r="B788" t="s">
        <v>5495</v>
      </c>
      <c r="C788"/>
      <c r="D788"/>
      <c r="E788"/>
      <c r="F788" t="s">
        <v>5496</v>
      </c>
      <c r="G788"/>
      <c r="H788"/>
      <c r="I788" t="s">
        <v>5497</v>
      </c>
      <c r="J788" t="s">
        <v>587</v>
      </c>
      <c r="K788"/>
      <c r="L788"/>
      <c r="M788"/>
      <c r="N788" t="s">
        <v>112</v>
      </c>
      <c r="O788"/>
      <c r="P788"/>
      <c r="Q788"/>
      <c r="R788"/>
      <c r="S788"/>
      <c r="T788" t="s">
        <v>5498</v>
      </c>
      <c r="U788" t="s">
        <v>5499</v>
      </c>
      <c r="V788"/>
      <c r="W788"/>
      <c r="X788"/>
      <c r="Y788"/>
      <c r="Z788"/>
      <c r="AA788"/>
      <c r="AB788"/>
      <c r="AC788"/>
      <c r="AD788"/>
      <c r="AE788"/>
      <c r="AF788"/>
      <c r="AG788"/>
      <c r="AH788">
        <v>7</v>
      </c>
      <c r="AI788">
        <v>7</v>
      </c>
      <c r="AJ788"/>
      <c r="AK788"/>
      <c r="AL788"/>
      <c r="AM788"/>
      <c r="AN788"/>
      <c r="AO788" t="s">
        <v>590</v>
      </c>
      <c r="AP788" t="s">
        <v>591</v>
      </c>
      <c r="AQ788"/>
      <c r="AR788"/>
      <c r="AS788"/>
      <c r="AT788" t="s">
        <v>2571</v>
      </c>
      <c r="AU788">
        <v>2016</v>
      </c>
      <c r="AV788">
        <v>129</v>
      </c>
      <c r="AW788"/>
      <c r="AX788"/>
      <c r="AY788"/>
      <c r="AZ788"/>
      <c r="BA788"/>
      <c r="BB788">
        <v>693</v>
      </c>
      <c r="BC788">
        <v>703</v>
      </c>
      <c r="BD788"/>
      <c r="BE788" t="s">
        <v>5500</v>
      </c>
      <c r="BF788" t="str">
        <f>HYPERLINK("http://dx.doi.org/10.1016/j.jclepro.2016.03.062","http://dx.doi.org/10.1016/j.jclepro.2016.03.062")</f>
        <v>http://dx.doi.org/10.1016/j.jclepro.2016.03.062</v>
      </c>
      <c r="BG788"/>
      <c r="BH788"/>
      <c r="BI788"/>
      <c r="BJ788" t="s">
        <v>139</v>
      </c>
      <c r="BK788"/>
      <c r="BL788"/>
      <c r="BM788"/>
      <c r="BN788"/>
      <c r="BO788"/>
      <c r="BP788"/>
      <c r="BQ788"/>
      <c r="BR788"/>
      <c r="BS788"/>
      <c r="BT788" t="str">
        <f>HYPERLINK("https%3A%2F%2Fwww.webofscience.com%2Fwos%2Fwoscc%2Ffull-record%2F","View Full Record in Web of Science")</f>
        <v>View Full Record in Web of Science</v>
      </c>
    </row>
    <row r="789" spans="1:72" customHeight="1" ht="12.75">
      <c r="A789" t="s">
        <v>72</v>
      </c>
      <c r="B789" t="s">
        <v>5501</v>
      </c>
      <c r="C789"/>
      <c r="D789"/>
      <c r="E789"/>
      <c r="F789" t="s">
        <v>5502</v>
      </c>
      <c r="G789"/>
      <c r="H789"/>
      <c r="I789" t="s">
        <v>5503</v>
      </c>
      <c r="J789" t="s">
        <v>457</v>
      </c>
      <c r="K789"/>
      <c r="L789"/>
      <c r="M789"/>
      <c r="N789" t="s">
        <v>112</v>
      </c>
      <c r="O789"/>
      <c r="P789"/>
      <c r="Q789"/>
      <c r="R789"/>
      <c r="S789"/>
      <c r="T789" t="s">
        <v>5504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>
        <v>13</v>
      </c>
      <c r="AI789">
        <v>13</v>
      </c>
      <c r="AJ789"/>
      <c r="AK789"/>
      <c r="AL789"/>
      <c r="AM789"/>
      <c r="AN789"/>
      <c r="AO789" t="s">
        <v>458</v>
      </c>
      <c r="AP789"/>
      <c r="AQ789"/>
      <c r="AR789"/>
      <c r="AS789"/>
      <c r="AT789" t="s">
        <v>385</v>
      </c>
      <c r="AU789">
        <v>2012</v>
      </c>
      <c r="AV789">
        <v>4</v>
      </c>
      <c r="AW789">
        <v>7</v>
      </c>
      <c r="AX789"/>
      <c r="AY789"/>
      <c r="AZ789"/>
      <c r="BA789"/>
      <c r="BB789">
        <v>1488</v>
      </c>
      <c r="BC789">
        <v>1509</v>
      </c>
      <c r="BD789"/>
      <c r="BE789" t="s">
        <v>5505</v>
      </c>
      <c r="BF789" t="str">
        <f>HYPERLINK("http://dx.doi.org/10.3390/su4071488","http://dx.doi.org/10.3390/su4071488")</f>
        <v>http://dx.doi.org/10.3390/su4071488</v>
      </c>
      <c r="BG789"/>
      <c r="BH789"/>
      <c r="BI789"/>
      <c r="BJ789" t="s">
        <v>460</v>
      </c>
      <c r="BK789"/>
      <c r="BL789"/>
      <c r="BM789"/>
      <c r="BN789"/>
      <c r="BO789"/>
      <c r="BP789"/>
      <c r="BQ789"/>
      <c r="BR789"/>
      <c r="BS789"/>
      <c r="BT789" t="str">
        <f>HYPERLINK("https%3A%2F%2Fwww.webofscience.com%2Fwos%2Fwoscc%2Ffull-record%2F","View Full Record in Web of Science")</f>
        <v>View Full Record in Web of Science</v>
      </c>
    </row>
    <row r="790" spans="1:72" customHeight="1" ht="12.75">
      <c r="A790" t="s">
        <v>72</v>
      </c>
      <c r="B790" t="s">
        <v>2464</v>
      </c>
      <c r="C790"/>
      <c r="D790"/>
      <c r="E790"/>
      <c r="F790" t="s">
        <v>2465</v>
      </c>
      <c r="G790"/>
      <c r="H790"/>
      <c r="I790" t="s">
        <v>5506</v>
      </c>
      <c r="J790" t="s">
        <v>1425</v>
      </c>
      <c r="K790"/>
      <c r="L790"/>
      <c r="M790"/>
      <c r="N790" t="s">
        <v>112</v>
      </c>
      <c r="O790"/>
      <c r="P790"/>
      <c r="Q790"/>
      <c r="R790"/>
      <c r="S790"/>
      <c r="T790" t="s">
        <v>5507</v>
      </c>
      <c r="U790" t="s">
        <v>5508</v>
      </c>
      <c r="V790"/>
      <c r="W790"/>
      <c r="X790"/>
      <c r="Y790"/>
      <c r="Z790"/>
      <c r="AA790"/>
      <c r="AB790"/>
      <c r="AC790"/>
      <c r="AD790"/>
      <c r="AE790"/>
      <c r="AF790"/>
      <c r="AG790"/>
      <c r="AH790">
        <v>29</v>
      </c>
      <c r="AI790">
        <v>32</v>
      </c>
      <c r="AJ790"/>
      <c r="AK790"/>
      <c r="AL790"/>
      <c r="AM790"/>
      <c r="AN790"/>
      <c r="AO790" t="s">
        <v>1428</v>
      </c>
      <c r="AP790" t="s">
        <v>1429</v>
      </c>
      <c r="AQ790"/>
      <c r="AR790"/>
      <c r="AS790"/>
      <c r="AT790" t="s">
        <v>352</v>
      </c>
      <c r="AU790">
        <v>2017</v>
      </c>
      <c r="AV790">
        <v>107</v>
      </c>
      <c r="AW790">
        <v>5</v>
      </c>
      <c r="AX790"/>
      <c r="AY790"/>
      <c r="AZ790"/>
      <c r="BA790"/>
      <c r="BB790">
        <v>1144</v>
      </c>
      <c r="BC790">
        <v>1161</v>
      </c>
      <c r="BD790"/>
      <c r="BE790" t="s">
        <v>5509</v>
      </c>
      <c r="BF790" t="str">
        <f>HYPERLINK("http://dx.doi.org/10.1080/24694452.2017.1293501","http://dx.doi.org/10.1080/24694452.2017.1293501")</f>
        <v>http://dx.doi.org/10.1080/24694452.2017.1293501</v>
      </c>
      <c r="BG790"/>
      <c r="BH790"/>
      <c r="BI790"/>
      <c r="BJ790" t="s">
        <v>83</v>
      </c>
      <c r="BK790"/>
      <c r="BL790"/>
      <c r="BM790"/>
      <c r="BN790"/>
      <c r="BO790"/>
      <c r="BP790"/>
      <c r="BQ790"/>
      <c r="BR790"/>
      <c r="BS790"/>
      <c r="BT790" t="str">
        <f>HYPERLINK("https%3A%2F%2Fwww.webofscience.com%2Fwos%2Fwoscc%2Ffull-record%2F","View Full Record in Web of Science")</f>
        <v>View Full Record in Web of Science</v>
      </c>
    </row>
    <row r="791" spans="1:72" customHeight="1" ht="12.75">
      <c r="A791" t="s">
        <v>72</v>
      </c>
      <c r="B791" t="s">
        <v>5510</v>
      </c>
      <c r="C791"/>
      <c r="D791"/>
      <c r="E791"/>
      <c r="F791" t="s">
        <v>5511</v>
      </c>
      <c r="G791"/>
      <c r="H791"/>
      <c r="I791" t="s">
        <v>5512</v>
      </c>
      <c r="J791" t="s">
        <v>1991</v>
      </c>
      <c r="K791"/>
      <c r="L791"/>
      <c r="M791"/>
      <c r="N791" t="s">
        <v>77</v>
      </c>
      <c r="O791"/>
      <c r="P791"/>
      <c r="Q791"/>
      <c r="R791"/>
      <c r="S791"/>
      <c r="T791" t="s">
        <v>5513</v>
      </c>
      <c r="U791" t="s">
        <v>5514</v>
      </c>
      <c r="V791"/>
      <c r="W791"/>
      <c r="X791"/>
      <c r="Y791"/>
      <c r="Z791"/>
      <c r="AA791"/>
      <c r="AB791"/>
      <c r="AC791"/>
      <c r="AD791"/>
      <c r="AE791"/>
      <c r="AF791"/>
      <c r="AG791"/>
      <c r="AH791">
        <v>37</v>
      </c>
      <c r="AI791">
        <v>37</v>
      </c>
      <c r="AJ791"/>
      <c r="AK791"/>
      <c r="AL791"/>
      <c r="AM791"/>
      <c r="AN791"/>
      <c r="AO791" t="s">
        <v>1994</v>
      </c>
      <c r="AP791" t="s">
        <v>1995</v>
      </c>
      <c r="AQ791"/>
      <c r="AR791"/>
      <c r="AS791"/>
      <c r="AT791" t="s">
        <v>385</v>
      </c>
      <c r="AU791">
        <v>2019</v>
      </c>
      <c r="AV791">
        <v>24</v>
      </c>
      <c r="AW791">
        <v>7</v>
      </c>
      <c r="AX791"/>
      <c r="AY791"/>
      <c r="AZ791" t="s">
        <v>222</v>
      </c>
      <c r="BA791"/>
      <c r="BB791">
        <v>1174</v>
      </c>
      <c r="BC791">
        <v>1193</v>
      </c>
      <c r="BD791"/>
      <c r="BE791" t="s">
        <v>5515</v>
      </c>
      <c r="BF791" t="str">
        <f>HYPERLINK("http://dx.doi.org/10.1007/s11367-018-1467-3","http://dx.doi.org/10.1007/s11367-018-1467-3")</f>
        <v>http://dx.doi.org/10.1007/s11367-018-1467-3</v>
      </c>
      <c r="BG791"/>
      <c r="BH791"/>
      <c r="BI791"/>
      <c r="BJ791" t="s">
        <v>119</v>
      </c>
      <c r="BK791"/>
      <c r="BL791"/>
      <c r="BM791"/>
      <c r="BN791"/>
      <c r="BO791"/>
      <c r="BP791"/>
      <c r="BQ791"/>
      <c r="BR791"/>
      <c r="BS791"/>
      <c r="BT791" t="str">
        <f>HYPERLINK("https%3A%2F%2Fwww.webofscience.com%2Fwos%2Fwoscc%2Ffull-record%2F","View Full Record in Web of Science")</f>
        <v>View Full Record in Web of Science</v>
      </c>
    </row>
    <row r="792" spans="1:72" customHeight="1" ht="12.75">
      <c r="A792" t="s">
        <v>72</v>
      </c>
      <c r="B792" t="s">
        <v>5516</v>
      </c>
      <c r="C792"/>
      <c r="D792"/>
      <c r="E792"/>
      <c r="F792" t="s">
        <v>5517</v>
      </c>
      <c r="G792"/>
      <c r="H792"/>
      <c r="I792" t="s">
        <v>5518</v>
      </c>
      <c r="J792" t="s">
        <v>5519</v>
      </c>
      <c r="K792"/>
      <c r="L792"/>
      <c r="M792"/>
      <c r="N792" t="s">
        <v>112</v>
      </c>
      <c r="O792"/>
      <c r="P792"/>
      <c r="Q792"/>
      <c r="R792"/>
      <c r="S792"/>
      <c r="T792" t="s">
        <v>5520</v>
      </c>
      <c r="U792" t="s">
        <v>5521</v>
      </c>
      <c r="V792"/>
      <c r="W792"/>
      <c r="X792"/>
      <c r="Y792"/>
      <c r="Z792"/>
      <c r="AA792"/>
      <c r="AB792"/>
      <c r="AC792"/>
      <c r="AD792"/>
      <c r="AE792"/>
      <c r="AF792"/>
      <c r="AG792"/>
      <c r="AH792">
        <v>5</v>
      </c>
      <c r="AI792">
        <v>6</v>
      </c>
      <c r="AJ792"/>
      <c r="AK792"/>
      <c r="AL792"/>
      <c r="AM792"/>
      <c r="AN792"/>
      <c r="AO792" t="s">
        <v>5522</v>
      </c>
      <c r="AP792" t="s">
        <v>5523</v>
      </c>
      <c r="AQ792"/>
      <c r="AR792"/>
      <c r="AS792"/>
      <c r="AT792"/>
      <c r="AU792">
        <v>2018</v>
      </c>
      <c r="AV792">
        <v>19</v>
      </c>
      <c r="AW792">
        <v>1</v>
      </c>
      <c r="AX792"/>
      <c r="AY792"/>
      <c r="AZ792"/>
      <c r="BA792"/>
      <c r="BB792">
        <v>120</v>
      </c>
      <c r="BC792">
        <v>138</v>
      </c>
      <c r="BD792"/>
      <c r="BE792" t="s">
        <v>5524</v>
      </c>
      <c r="BF792" t="str">
        <f>HYPERLINK("http://dx.doi.org/10.1080/14649365.2016.1266025","http://dx.doi.org/10.1080/14649365.2016.1266025")</f>
        <v>http://dx.doi.org/10.1080/14649365.2016.1266025</v>
      </c>
      <c r="BG792"/>
      <c r="BH792"/>
      <c r="BI792"/>
      <c r="BJ792" t="s">
        <v>83</v>
      </c>
      <c r="BK792"/>
      <c r="BL792"/>
      <c r="BM792"/>
      <c r="BN792"/>
      <c r="BO792"/>
      <c r="BP792"/>
      <c r="BQ792"/>
      <c r="BR792"/>
      <c r="BS792"/>
      <c r="BT792" t="str">
        <f>HYPERLINK("https%3A%2F%2Fwww.webofscience.com%2Fwos%2Fwoscc%2Ffull-record%2F","View Full Record in Web of Science")</f>
        <v>View Full Record in Web of Science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F2" r:id="rId_hyperlink_1" tooltip="http://dx.doi.org/10.15196/RS090103" display="http://dx.doi.org/10.15196/RS090103"/>
    <hyperlink ref="BT2" r:id="rId_hyperlink_2" tooltip="View Full Record in Web of Science" display="View Full Record in Web of Science"/>
    <hyperlink ref="BF3" r:id="rId_hyperlink_3" tooltip="http://dx.doi.org/10.1016/j.ecolind.2020.106808" display="http://dx.doi.org/10.1016/j.ecolind.2020.106808"/>
    <hyperlink ref="BT3" r:id="rId_hyperlink_4" tooltip="View Full Record in Web of Science" display="View Full Record in Web of Science"/>
    <hyperlink ref="BF4" r:id="rId_hyperlink_5" tooltip="http://dx.doi.org/10.1016/j.landurbplan.2022.104376" display="http://dx.doi.org/10.1016/j.landurbplan.2022.104376"/>
    <hyperlink ref="BT4" r:id="rId_hyperlink_6" tooltip="View Full Record in Web of Science" display="View Full Record in Web of Science"/>
    <hyperlink ref="BF5" r:id="rId_hyperlink_7" tooltip="http://dx.doi.org/10.1016/j.resconrec.2017.09.014" display="http://dx.doi.org/10.1016/j.resconrec.2017.09.014"/>
    <hyperlink ref="BT5" r:id="rId_hyperlink_8" tooltip="View Full Record in Web of Science" display="View Full Record in Web of Science"/>
    <hyperlink ref="BF6" r:id="rId_hyperlink_9" tooltip="http://dx.doi.org/10.1177/0309132514558442" display="http://dx.doi.org/10.1177/0309132514558442"/>
    <hyperlink ref="BT6" r:id="rId_hyperlink_10" tooltip="View Full Record in Web of Science" display="View Full Record in Web of Science"/>
    <hyperlink ref="BF7" r:id="rId_hyperlink_11" tooltip="http://dx.doi.org/10.1111/jiec.12923" display="http://dx.doi.org/10.1111/jiec.12923"/>
    <hyperlink ref="BT7" r:id="rId_hyperlink_12" tooltip="View Full Record in Web of Science" display="View Full Record in Web of Science"/>
    <hyperlink ref="BF8" r:id="rId_hyperlink_13" tooltip="http://dx.doi.org/10.1016/j.resconrec.2017.12.023" display="http://dx.doi.org/10.1016/j.resconrec.2017.12.023"/>
    <hyperlink ref="BT8" r:id="rId_hyperlink_14" tooltip="View Full Record in Web of Science" display="View Full Record in Web of Science"/>
    <hyperlink ref="BT9" r:id="rId_hyperlink_15" tooltip="View Full Record in Web of Science" display="View Full Record in Web of Science"/>
    <hyperlink ref="BF10" r:id="rId_hyperlink_16" tooltip="http://dx.doi.org/10.1016/j.resconrec.2017.07.005" display="http://dx.doi.org/10.1016/j.resconrec.2017.07.005"/>
    <hyperlink ref="BT10" r:id="rId_hyperlink_17" tooltip="View Full Record in Web of Science" display="View Full Record in Web of Science"/>
    <hyperlink ref="BF11" r:id="rId_hyperlink_18" tooltip="http://dx.doi.org/10.3389/frsc.2019.00001" display="http://dx.doi.org/10.3389/frsc.2019.00001"/>
    <hyperlink ref="BT11" r:id="rId_hyperlink_19" tooltip="View Full Record in Web of Science" display="View Full Record in Web of Science"/>
    <hyperlink ref="BF12" r:id="rId_hyperlink_20" tooltip="http://dx.doi.org/10.12775/EQ.2020.031" display="http://dx.doi.org/10.12775/EQ.2020.031"/>
    <hyperlink ref="BT12" r:id="rId_hyperlink_21" tooltip="View Full Record in Web of Science" display="View Full Record in Web of Science"/>
    <hyperlink ref="BF13" r:id="rId_hyperlink_22" tooltip="http://dx.doi.org/10.1016/j.ecolecon.2018.12.007" display="http://dx.doi.org/10.1016/j.ecolecon.2018.12.007"/>
    <hyperlink ref="BT13" r:id="rId_hyperlink_23" tooltip="View Full Record in Web of Science" display="View Full Record in Web of Science"/>
    <hyperlink ref="BF14" r:id="rId_hyperlink_24" tooltip="http://dx.doi.org/10.1016/j.ecolind.2018.05.056" display="http://dx.doi.org/10.1016/j.ecolind.2018.05.056"/>
    <hyperlink ref="BT14" r:id="rId_hyperlink_25" tooltip="View Full Record in Web of Science" display="View Full Record in Web of Science"/>
    <hyperlink ref="BF15" r:id="rId_hyperlink_26" tooltip="http://dx.doi.org/10.1080/08111146.2013.826578" display="http://dx.doi.org/10.1080/08111146.2013.826578"/>
    <hyperlink ref="BT15" r:id="rId_hyperlink_27" tooltip="View Full Record in Web of Science" display="View Full Record in Web of Science"/>
    <hyperlink ref="BF16" r:id="rId_hyperlink_28" tooltip="http://dx.doi.org/10.1016/j.envpol.2010.10.022" display="http://dx.doi.org/10.1016/j.envpol.2010.10.022"/>
    <hyperlink ref="BT16" r:id="rId_hyperlink_29" tooltip="View Full Record in Web of Science" display="View Full Record in Web of Science"/>
    <hyperlink ref="BF17" r:id="rId_hyperlink_30" tooltip="http://dx.doi.org/10.1080/18626033.2018.1476031" display="http://dx.doi.org/10.1080/18626033.2018.1476031"/>
    <hyperlink ref="BT17" r:id="rId_hyperlink_31" tooltip="View Full Record in Web of Science" display="View Full Record in Web of Science"/>
    <hyperlink ref="BF18" r:id="rId_hyperlink_32" tooltip="http://dx.doi.org/10.1080/10630732.2014.954899" display="http://dx.doi.org/10.1080/10630732.2014.954899"/>
    <hyperlink ref="BT18" r:id="rId_hyperlink_33" tooltip="View Full Record in Web of Science" display="View Full Record in Web of Science"/>
    <hyperlink ref="BF19" r:id="rId_hyperlink_34" tooltip="http://dx.doi.org/10.1016/j.landurbplan.2012.06.006" display="http://dx.doi.org/10.1016/j.landurbplan.2012.06.006"/>
    <hyperlink ref="BT19" r:id="rId_hyperlink_35" tooltip="View Full Record in Web of Science" display="View Full Record in Web of Science"/>
    <hyperlink ref="BF20" r:id="rId_hyperlink_36" tooltip="http://dx.doi.org/10.17645/up.v4i1.1750" display="http://dx.doi.org/10.17645/up.v4i1.1750"/>
    <hyperlink ref="BT20" r:id="rId_hyperlink_37" tooltip="View Full Record in Web of Science" display="View Full Record in Web of Science"/>
    <hyperlink ref="BF21" r:id="rId_hyperlink_38" tooltip="http://dx.doi.org/10.1111/j.1530-9290.2012.00556.x" display="http://dx.doi.org/10.1111/j.1530-9290.2012.00556.x"/>
    <hyperlink ref="BT21" r:id="rId_hyperlink_39" tooltip="View Full Record in Web of Science" display="View Full Record in Web of Science"/>
    <hyperlink ref="BF22" r:id="rId_hyperlink_40" tooltip="http://dx.doi.org/10.1177/2399808319832611" display="http://dx.doi.org/10.1177/2399808319832611"/>
    <hyperlink ref="BT22" r:id="rId_hyperlink_41" tooltip="View Full Record in Web of Science" display="View Full Record in Web of Science"/>
    <hyperlink ref="BF23" r:id="rId_hyperlink_42" tooltip="http://dx.doi.org/10.1016/j.ecolind.2020.106746" display="http://dx.doi.org/10.1016/j.ecolind.2020.106746"/>
    <hyperlink ref="BT23" r:id="rId_hyperlink_43" tooltip="View Full Record in Web of Science" display="View Full Record in Web of Science"/>
    <hyperlink ref="BF24" r:id="rId_hyperlink_44" tooltip="http://dx.doi.org/10.1016/j.geoforum.2016.10.011" display="http://dx.doi.org/10.1016/j.geoforum.2016.10.011"/>
    <hyperlink ref="BT24" r:id="rId_hyperlink_45" tooltip="View Full Record in Web of Science" display="View Full Record in Web of Science"/>
    <hyperlink ref="BF25" r:id="rId_hyperlink_46" tooltip="http://dx.doi.org/10.1016/j.spc.2023.05.017" display="http://dx.doi.org/10.1016/j.spc.2023.05.017"/>
    <hyperlink ref="BT25" r:id="rId_hyperlink_47" tooltip="View Full Record in Web of Science" display="View Full Record in Web of Science"/>
    <hyperlink ref="BF26" r:id="rId_hyperlink_48" tooltip="http://dx.doi.org/10.1016/j.resconrec.2018.09.010" display="http://dx.doi.org/10.1016/j.resconrec.2018.09.010"/>
    <hyperlink ref="BT26" r:id="rId_hyperlink_49" tooltip="View Full Record in Web of Science" display="View Full Record in Web of Science"/>
    <hyperlink ref="BF27" r:id="rId_hyperlink_50" tooltip="http://dx.doi.org/10.1016/j.ecolind.2014.07.039" display="http://dx.doi.org/10.1016/j.ecolind.2014.07.039"/>
    <hyperlink ref="BT27" r:id="rId_hyperlink_51" tooltip="View Full Record in Web of Science" display="View Full Record in Web of Science"/>
    <hyperlink ref="BF28" r:id="rId_hyperlink_52" tooltip="http://dx.doi.org/10.1016/j.buildenv.2014.10.020" display="http://dx.doi.org/10.1016/j.buildenv.2014.10.020"/>
    <hyperlink ref="BT28" r:id="rId_hyperlink_53" tooltip="View Full Record in Web of Science" display="View Full Record in Web of Science"/>
    <hyperlink ref="BF29" r:id="rId_hyperlink_54" tooltip="http://dx.doi.org/10.1111/jiec.13435" display="http://dx.doi.org/10.1111/jiec.13435"/>
    <hyperlink ref="BT29" r:id="rId_hyperlink_55" tooltip="View Full Record in Web of Science" display="View Full Record in Web of Science"/>
    <hyperlink ref="BF30" r:id="rId_hyperlink_56" tooltip="http://dx.doi.org/10.1111/jiec.12038" display="http://dx.doi.org/10.1111/jiec.12038"/>
    <hyperlink ref="BT30" r:id="rId_hyperlink_57" tooltip="View Full Record in Web of Science" display="View Full Record in Web of Science"/>
    <hyperlink ref="BF31" r:id="rId_hyperlink_58" tooltip="http://dx.doi.org/10.36253/techne-9857" display="http://dx.doi.org/10.36253/techne-9857"/>
    <hyperlink ref="BT31" r:id="rId_hyperlink_59" tooltip="View Full Record in Web of Science" display="View Full Record in Web of Science"/>
    <hyperlink ref="BT32" r:id="rId_hyperlink_60" tooltip="View Full Record in Web of Science" display="View Full Record in Web of Science"/>
    <hyperlink ref="BT33" r:id="rId_hyperlink_61" tooltip="View Full Record in Web of Science" display="View Full Record in Web of Science"/>
    <hyperlink ref="BF34" r:id="rId_hyperlink_62" tooltip="http://dx.doi.org/10.1111/jiec.12259" display="http://dx.doi.org/10.1111/jiec.12259"/>
    <hyperlink ref="BT34" r:id="rId_hyperlink_63" tooltip="View Full Record in Web of Science" display="View Full Record in Web of Science"/>
    <hyperlink ref="BF35" r:id="rId_hyperlink_64" tooltip="http://dx.doi.org/10.1080/00343404.2014.950885" display="http://dx.doi.org/10.1080/00343404.2014.950885"/>
    <hyperlink ref="BT35" r:id="rId_hyperlink_65" tooltip="View Full Record in Web of Science" display="View Full Record in Web of Science"/>
    <hyperlink ref="BF36" r:id="rId_hyperlink_66" tooltip="http://dx.doi.org/10.1177/0739456X15588462" display="http://dx.doi.org/10.1177/0739456X15588462"/>
    <hyperlink ref="BT36" r:id="rId_hyperlink_67" tooltip="View Full Record in Web of Science" display="View Full Record in Web of Science"/>
    <hyperlink ref="BF37" r:id="rId_hyperlink_68" tooltip="http://dx.doi.org/10.1162/jie.2007.1293" display="http://dx.doi.org/10.1162/jie.2007.1293"/>
    <hyperlink ref="BT37" r:id="rId_hyperlink_69" tooltip="View Full Record in Web of Science" display="View Full Record in Web of Science"/>
    <hyperlink ref="BT38" r:id="rId_hyperlink_70" tooltip="View Full Record in Web of Science" display="View Full Record in Web of Science"/>
    <hyperlink ref="BF39" r:id="rId_hyperlink_71" tooltip="http://dx.doi.org/10.1080/08111146.2014.967443" display="http://dx.doi.org/10.1080/08111146.2014.967443"/>
    <hyperlink ref="BT39" r:id="rId_hyperlink_72" tooltip="View Full Record in Web of Science" display="View Full Record in Web of Science"/>
    <hyperlink ref="BF40" r:id="rId_hyperlink_73" tooltip="http://dx.doi.org/10.1016/j.ecolind.2017.10.043" display="http://dx.doi.org/10.1016/j.ecolind.2017.10.043"/>
    <hyperlink ref="BT40" r:id="rId_hyperlink_74" tooltip="View Full Record in Web of Science" display="View Full Record in Web of Science"/>
    <hyperlink ref="BF41" r:id="rId_hyperlink_75" tooltip="http://dx.doi.org/10.1016/j.wasman.2011.08.018" display="http://dx.doi.org/10.1016/j.wasman.2011.08.018"/>
    <hyperlink ref="BT41" r:id="rId_hyperlink_76" tooltip="View Full Record in Web of Science" display="View Full Record in Web of Science"/>
    <hyperlink ref="BF42" r:id="rId_hyperlink_77" tooltip="http://dx.doi.org/10.1111/j.1530-9290.2012.00548.x" display="http://dx.doi.org/10.1111/j.1530-9290.2012.00548.x"/>
    <hyperlink ref="BT42" r:id="rId_hyperlink_78" tooltip="View Full Record in Web of Science" display="View Full Record in Web of Science"/>
    <hyperlink ref="BF43" r:id="rId_hyperlink_79" tooltip="http://dx.doi.org/10.1080/09654313.2020.1740173" display="http://dx.doi.org/10.1080/09654313.2020.1740173"/>
    <hyperlink ref="BT43" r:id="rId_hyperlink_80" tooltip="View Full Record in Web of Science" display="View Full Record in Web of Science"/>
    <hyperlink ref="BF44" r:id="rId_hyperlink_81" tooltip="http://dx.doi.org/10.1016/j.resconrec.2016.09.009" display="http://dx.doi.org/10.1016/j.resconrec.2016.09.009"/>
    <hyperlink ref="BT44" r:id="rId_hyperlink_82" tooltip="View Full Record in Web of Science" display="View Full Record in Web of Science"/>
    <hyperlink ref="BF45" r:id="rId_hyperlink_83" tooltip="http://dx.doi.org/10.1016/j.eiar.2012.06.007" display="http://dx.doi.org/10.1016/j.eiar.2012.06.007"/>
    <hyperlink ref="BT45" r:id="rId_hyperlink_84" tooltip="View Full Record in Web of Science" display="View Full Record in Web of Science"/>
    <hyperlink ref="BF46" r:id="rId_hyperlink_85" tooltip="http://dx.doi.org/10.1111/jiec.13361" display="http://dx.doi.org/10.1111/jiec.13361"/>
    <hyperlink ref="BT46" r:id="rId_hyperlink_86" tooltip="View Full Record in Web of Science" display="View Full Record in Web of Science"/>
    <hyperlink ref="BF47" r:id="rId_hyperlink_87" tooltip="http://dx.doi.org/10.1088/1748-9326/aa7c21" display="http://dx.doi.org/10.1088/1748-9326/aa7c21"/>
    <hyperlink ref="BT47" r:id="rId_hyperlink_88" tooltip="View Full Record in Web of Science" display="View Full Record in Web of Science"/>
    <hyperlink ref="BF48" r:id="rId_hyperlink_89" tooltip="http://dx.doi.org/10.3390/su12010353" display="http://dx.doi.org/10.3390/su12010353"/>
    <hyperlink ref="BT48" r:id="rId_hyperlink_90" tooltip="View Full Record in Web of Science" display="View Full Record in Web of Science"/>
    <hyperlink ref="BF49" r:id="rId_hyperlink_91" tooltip="http://dx.doi.org/10.1007/s11252-016-0615-4" display="http://dx.doi.org/10.1007/s11252-016-0615-4"/>
    <hyperlink ref="BT49" r:id="rId_hyperlink_92" tooltip="View Full Record in Web of Science" display="View Full Record in Web of Science"/>
    <hyperlink ref="BF50" r:id="rId_hyperlink_93" tooltip="http://dx.doi.org/10.1016/j.landusepol.2021.105819" display="http://dx.doi.org/10.1016/j.landusepol.2021.105819"/>
    <hyperlink ref="BT50" r:id="rId_hyperlink_94" tooltip="View Full Record in Web of Science" display="View Full Record in Web of Science"/>
    <hyperlink ref="BF51" r:id="rId_hyperlink_95" tooltip="http://dx.doi.org/10.1016/j.resconrec.2017.01.010" display="http://dx.doi.org/10.1016/j.resconrec.2017.01.010"/>
    <hyperlink ref="BT51" r:id="rId_hyperlink_96" tooltip="View Full Record in Web of Science" display="View Full Record in Web of Science"/>
    <hyperlink ref="BF52" r:id="rId_hyperlink_97" tooltip="http://dx.doi.org/10.3390/ijerph16010090" display="http://dx.doi.org/10.3390/ijerph16010090"/>
    <hyperlink ref="BT52" r:id="rId_hyperlink_98" tooltip="View Full Record in Web of Science" display="View Full Record in Web of Science"/>
    <hyperlink ref="BF53" r:id="rId_hyperlink_99" tooltip="http://dx.doi.org/10.1139/L02-105" display="http://dx.doi.org/10.1139/L02-105"/>
    <hyperlink ref="BT53" r:id="rId_hyperlink_100" tooltip="View Full Record in Web of Science" display="View Full Record in Web of Science"/>
    <hyperlink ref="BF54" r:id="rId_hyperlink_101" tooltip="http://dx.doi.org/10.1016/j.resconrec.2017.08.004" display="http://dx.doi.org/10.1016/j.resconrec.2017.08.004"/>
    <hyperlink ref="BT54" r:id="rId_hyperlink_102" tooltip="View Full Record in Web of Science" display="View Full Record in Web of Science"/>
    <hyperlink ref="BF55" r:id="rId_hyperlink_103" tooltip="http://dx.doi.org/10.1016/j.ecolmodel.2018.09.016" display="http://dx.doi.org/10.1016/j.ecolmodel.2018.09.016"/>
    <hyperlink ref="BT55" r:id="rId_hyperlink_104" tooltip="View Full Record in Web of Science" display="View Full Record in Web of Science"/>
    <hyperlink ref="BF56" r:id="rId_hyperlink_105" tooltip="http://dx.doi.org/10.1155/2021/5545307" display="http://dx.doi.org/10.1155/2021/5545307"/>
    <hyperlink ref="BT56" r:id="rId_hyperlink_106" tooltip="View Full Record in Web of Science" display="View Full Record in Web of Science"/>
    <hyperlink ref="BF57" r:id="rId_hyperlink_107" tooltip="http://dx.doi.org/10.1016/j.ecoinf.2014.09.010" display="http://dx.doi.org/10.1016/j.ecoinf.2014.09.010"/>
    <hyperlink ref="BT57" r:id="rId_hyperlink_108" tooltip="View Full Record in Web of Science" display="View Full Record in Web of Science"/>
    <hyperlink ref="BF58" r:id="rId_hyperlink_109" tooltip="http://dx.doi.org/10.1016/j.ecolmodel.2015.10.009" display="http://dx.doi.org/10.1016/j.ecolmodel.2015.10.009"/>
    <hyperlink ref="BT58" r:id="rId_hyperlink_110" tooltip="View Full Record in Web of Science" display="View Full Record in Web of Science"/>
    <hyperlink ref="BF59" r:id="rId_hyperlink_111" tooltip="http://dx.doi.org/10.3390/su142113964" display="http://dx.doi.org/10.3390/su142113964"/>
    <hyperlink ref="BT59" r:id="rId_hyperlink_112" tooltip="View Full Record in Web of Science" display="View Full Record in Web of Science"/>
    <hyperlink ref="BF60" r:id="rId_hyperlink_113" tooltip="http://dx.doi.org/10.1111/j.1533-8525.2012.01247.x" display="http://dx.doi.org/10.1111/j.1533-8525.2012.01247.x"/>
    <hyperlink ref="BT60" r:id="rId_hyperlink_114" tooltip="View Full Record in Web of Science" display="View Full Record in Web of Science"/>
    <hyperlink ref="BF61" r:id="rId_hyperlink_115" tooltip="http://dx.doi.org/10.1080/713684114" display="http://dx.doi.org/10.1080/713684114"/>
    <hyperlink ref="BT61" r:id="rId_hyperlink_116" tooltip="View Full Record in Web of Science" display="View Full Record in Web of Science"/>
    <hyperlink ref="BF62" r:id="rId_hyperlink_117" tooltip="http://dx.doi.org/10.1177/00961442211073461" display="http://dx.doi.org/10.1177/00961442211073461"/>
    <hyperlink ref="BT62" r:id="rId_hyperlink_118" tooltip="View Full Record in Web of Science" display="View Full Record in Web of Science"/>
    <hyperlink ref="BF63" r:id="rId_hyperlink_119" tooltip="http://dx.doi.org/10.1177/0734242X18793339" display="http://dx.doi.org/10.1177/0734242X18793339"/>
    <hyperlink ref="BT63" r:id="rId_hyperlink_120" tooltip="View Full Record in Web of Science" display="View Full Record in Web of Science"/>
    <hyperlink ref="BF64" r:id="rId_hyperlink_121" tooltip="http://dx.doi.org/10.1016/j.ecolind.2021.107345" display="http://dx.doi.org/10.1016/j.ecolind.2021.107345"/>
    <hyperlink ref="BT64" r:id="rId_hyperlink_122" tooltip="View Full Record in Web of Science" display="View Full Record in Web of Science"/>
    <hyperlink ref="BF65" r:id="rId_hyperlink_123" tooltip="http://dx.doi.org/10.1016/j.jclepro.2020.125224" display="http://dx.doi.org/10.1016/j.jclepro.2020.125224"/>
    <hyperlink ref="BT65" r:id="rId_hyperlink_124" tooltip="View Full Record in Web of Science" display="View Full Record in Web of Science"/>
    <hyperlink ref="BF66" r:id="rId_hyperlink_125" tooltip="http://dx.doi.org/10.1162/jie.2007.1107" display="http://dx.doi.org/10.1162/jie.2007.1107"/>
    <hyperlink ref="BT66" r:id="rId_hyperlink_126" tooltip="View Full Record in Web of Science" display="View Full Record in Web of Science"/>
    <hyperlink ref="BF67" r:id="rId_hyperlink_127" tooltip="http://dx.doi.org/10.1016/j.ecolind.2014.09.021" display="http://dx.doi.org/10.1016/j.ecolind.2014.09.021"/>
    <hyperlink ref="BT67" r:id="rId_hyperlink_128" tooltip="View Full Record in Web of Science" display="View Full Record in Web of Science"/>
    <hyperlink ref="BF68" r:id="rId_hyperlink_129" tooltip="http://dx.doi.org/10.1016/j.ecolind.2018.11.022" display="http://dx.doi.org/10.1016/j.ecolind.2018.11.022"/>
    <hyperlink ref="BT68" r:id="rId_hyperlink_130" tooltip="View Full Record in Web of Science" display="View Full Record in Web of Science"/>
    <hyperlink ref="BT69" r:id="rId_hyperlink_131" tooltip="View Full Record in Web of Science" display="View Full Record in Web of Science"/>
    <hyperlink ref="BF70" r:id="rId_hyperlink_132" tooltip="http://dx.doi.org/10.1016/j.energy.2020.117048" display="http://dx.doi.org/10.1016/j.energy.2020.117048"/>
    <hyperlink ref="BT70" r:id="rId_hyperlink_133" tooltip="View Full Record in Web of Science" display="View Full Record in Web of Science"/>
    <hyperlink ref="BF71" r:id="rId_hyperlink_134" tooltip="http://dx.doi.org/10.1007/s10901-007-9098-1" display="http://dx.doi.org/10.1007/s10901-007-9098-1"/>
    <hyperlink ref="BT71" r:id="rId_hyperlink_135" tooltip="View Full Record in Web of Science" display="View Full Record in Web of Science"/>
    <hyperlink ref="BT72" r:id="rId_hyperlink_136" tooltip="View Full Record in Web of Science" display="View Full Record in Web of Science"/>
    <hyperlink ref="BF73" r:id="rId_hyperlink_137" tooltip="http://dx.doi.org/10.2747/0272-3638.28.2.206" display="http://dx.doi.org/10.2747/0272-3638.28.2.206"/>
    <hyperlink ref="BT73" r:id="rId_hyperlink_138" tooltip="View Full Record in Web of Science" display="View Full Record in Web of Science"/>
    <hyperlink ref="BF74" r:id="rId_hyperlink_139" tooltip="http://dx.doi.org/10.1016/j.cosust.2012.08.004" display="http://dx.doi.org/10.1016/j.cosust.2012.08.004"/>
    <hyperlink ref="BT74" r:id="rId_hyperlink_140" tooltip="View Full Record in Web of Science" display="View Full Record in Web of Science"/>
    <hyperlink ref="BF75" r:id="rId_hyperlink_141" tooltip="http://dx.doi.org/10.1016/j.envpol.2013.03.052" display="http://dx.doi.org/10.1016/j.envpol.2013.03.052"/>
    <hyperlink ref="BT75" r:id="rId_hyperlink_142" tooltip="View Full Record in Web of Science" display="View Full Record in Web of Science"/>
    <hyperlink ref="BF76" r:id="rId_hyperlink_143" tooltip="http://dx.doi.org/10.3390/su13169094" display="http://dx.doi.org/10.3390/su13169094"/>
    <hyperlink ref="BT76" r:id="rId_hyperlink_144" tooltip="View Full Record in Web of Science" display="View Full Record in Web of Science"/>
    <hyperlink ref="BF77" r:id="rId_hyperlink_145" tooltip="http://dx.doi.org/10.1111/jiec.12925" display="http://dx.doi.org/10.1111/jiec.12925"/>
    <hyperlink ref="BT77" r:id="rId_hyperlink_146" tooltip="View Full Record in Web of Science" display="View Full Record in Web of Science"/>
    <hyperlink ref="BT78" r:id="rId_hyperlink_147" tooltip="View Full Record in Web of Science" display="View Full Record in Web of Science"/>
    <hyperlink ref="BT79" r:id="rId_hyperlink_148" tooltip="View Full Record in Web of Science" display="View Full Record in Web of Science"/>
    <hyperlink ref="BF80" r:id="rId_hyperlink_149" tooltip="http://dx.doi.org/10.3390/su13116043" display="http://dx.doi.org/10.3390/su13116043"/>
    <hyperlink ref="BT80" r:id="rId_hyperlink_150" tooltip="View Full Record in Web of Science" display="View Full Record in Web of Science"/>
    <hyperlink ref="BF81" r:id="rId_hyperlink_151" tooltip="http://dx.doi.org/10.1016/j.jclepro.2016.09.014" display="http://dx.doi.org/10.1016/j.jclepro.2016.09.014"/>
    <hyperlink ref="BT81" r:id="rId_hyperlink_152" tooltip="View Full Record in Web of Science" display="View Full Record in Web of Science"/>
    <hyperlink ref="BF82" r:id="rId_hyperlink_153" tooltip="http://dx.doi.org/10.1139/L03-054" display="http://dx.doi.org/10.1139/L03-054"/>
    <hyperlink ref="BT82" r:id="rId_hyperlink_154" tooltip="View Full Record in Web of Science" display="View Full Record in Web of Science"/>
    <hyperlink ref="BF83" r:id="rId_hyperlink_155" tooltip="http://dx.doi.org/10.1016/j.scs.2020.102695" display="http://dx.doi.org/10.1016/j.scs.2020.102695"/>
    <hyperlink ref="BT83" r:id="rId_hyperlink_156" tooltip="View Full Record in Web of Science" display="View Full Record in Web of Science"/>
    <hyperlink ref="BF84" r:id="rId_hyperlink_157" tooltip="http://dx.doi.org/10.1016/j.jclepro.2015.05.053" display="http://dx.doi.org/10.1016/j.jclepro.2015.05.053"/>
    <hyperlink ref="BT84" r:id="rId_hyperlink_158" tooltip="View Full Record in Web of Science" display="View Full Record in Web of Science"/>
    <hyperlink ref="BF85" r:id="rId_hyperlink_159" tooltip="http://dx.doi.org/10.1016/j.buildenv.2016.12.035" display="http://dx.doi.org/10.1016/j.buildenv.2016.12.035"/>
    <hyperlink ref="BT85" r:id="rId_hyperlink_160" tooltip="View Full Record in Web of Science" display="View Full Record in Web of Science"/>
    <hyperlink ref="BF86" r:id="rId_hyperlink_161" tooltip="http://dx.doi.org/10.1016/j.ecoinf.2014.09.009" display="http://dx.doi.org/10.1016/j.ecoinf.2014.09.009"/>
    <hyperlink ref="BT86" r:id="rId_hyperlink_162" tooltip="View Full Record in Web of Science" display="View Full Record in Web of Science"/>
    <hyperlink ref="BF87" r:id="rId_hyperlink_163" tooltip="http://dx.doi.org/10.1007/s13280-016-0785-6" display="http://dx.doi.org/10.1007/s13280-016-0785-6"/>
    <hyperlink ref="BT87" r:id="rId_hyperlink_164" tooltip="View Full Record in Web of Science" display="View Full Record in Web of Science"/>
    <hyperlink ref="BF88" r:id="rId_hyperlink_165" tooltip="http://dx.doi.org/10.1061/(ASCE)WR.1943-5452.0000739" display="http://dx.doi.org/10.1061/(ASCE)WR.1943-5452.0000739"/>
    <hyperlink ref="BT88" r:id="rId_hyperlink_166" tooltip="View Full Record in Web of Science" display="View Full Record in Web of Science"/>
    <hyperlink ref="BT89" r:id="rId_hyperlink_167" tooltip="View Full Record in Web of Science" display="View Full Record in Web of Science"/>
    <hyperlink ref="BF90" r:id="rId_hyperlink_168" tooltip="http://dx.doi.org/10.1016/j.resconrec.2016.03.023" display="http://dx.doi.org/10.1016/j.resconrec.2016.03.023"/>
    <hyperlink ref="BT90" r:id="rId_hyperlink_169" tooltip="View Full Record in Web of Science" display="View Full Record in Web of Science"/>
    <hyperlink ref="BF91" r:id="rId_hyperlink_170" tooltip="http://dx.doi.org/10.1016/j.landurbplan.2012.12.005" display="http://dx.doi.org/10.1016/j.landurbplan.2012.12.005"/>
    <hyperlink ref="BT91" r:id="rId_hyperlink_171" tooltip="View Full Record in Web of Science" display="View Full Record in Web of Science"/>
    <hyperlink ref="BF92" r:id="rId_hyperlink_172" tooltip="http://dx.doi.org/10.3389/frsc.2022.1114692" display="http://dx.doi.org/10.3389/frsc.2022.1114692"/>
    <hyperlink ref="BT92" r:id="rId_hyperlink_173" tooltip="View Full Record in Web of Science" display="View Full Record in Web of Science"/>
    <hyperlink ref="BF93" r:id="rId_hyperlink_174" tooltip="http://dx.doi.org/10.1016/j.resconrec.2021.106017" display="http://dx.doi.org/10.1016/j.resconrec.2021.106017"/>
    <hyperlink ref="BT93" r:id="rId_hyperlink_175" tooltip="View Full Record in Web of Science" display="View Full Record in Web of Science"/>
    <hyperlink ref="BF94" r:id="rId_hyperlink_176" tooltip="http://dx.doi.org/10.3389/frsc.2022.875912" display="http://dx.doi.org/10.3389/frsc.2022.875912"/>
    <hyperlink ref="BT94" r:id="rId_hyperlink_177" tooltip="View Full Record in Web of Science" display="View Full Record in Web of Science"/>
    <hyperlink ref="BF95" r:id="rId_hyperlink_178" tooltip="http://dx.doi.org/10.1016/j.ecolmodel.2014.11.027" display="http://dx.doi.org/10.1016/j.ecolmodel.2014.11.027"/>
    <hyperlink ref="BT95" r:id="rId_hyperlink_179" tooltip="View Full Record in Web of Science" display="View Full Record in Web of Science"/>
    <hyperlink ref="BF96" r:id="rId_hyperlink_180" tooltip="http://dx.doi.org/10.3390/su6117982" display="http://dx.doi.org/10.3390/su6117982"/>
    <hyperlink ref="BT96" r:id="rId_hyperlink_181" tooltip="View Full Record in Web of Science" display="View Full Record in Web of Science"/>
    <hyperlink ref="BT97" r:id="rId_hyperlink_182" tooltip="View Full Record in Web of Science" display="View Full Record in Web of Science"/>
    <hyperlink ref="BF98" r:id="rId_hyperlink_183" tooltip="http://dx.doi.org/10.1016/j.indic.2023.100324" display="http://dx.doi.org/10.1016/j.indic.2023.100324"/>
    <hyperlink ref="BT98" r:id="rId_hyperlink_184" tooltip="View Full Record in Web of Science" display="View Full Record in Web of Science"/>
    <hyperlink ref="BF99" r:id="rId_hyperlink_185" tooltip="http://dx.doi.org/10.1016/j.resconrec.2017.01.011" display="http://dx.doi.org/10.1016/j.resconrec.2017.01.011"/>
    <hyperlink ref="BT99" r:id="rId_hyperlink_186" tooltip="View Full Record in Web of Science" display="View Full Record in Web of Science"/>
    <hyperlink ref="BF100" r:id="rId_hyperlink_187" tooltip="http://dx.doi.org/10.3390/buildings12030352" display="http://dx.doi.org/10.3390/buildings12030352"/>
    <hyperlink ref="BT100" r:id="rId_hyperlink_188" tooltip="View Full Record in Web of Science" display="View Full Record in Web of Science"/>
    <hyperlink ref="BF101" r:id="rId_hyperlink_189" tooltip="http://dx.doi.org/10.1016/j.resconrec.2017.05.005" display="http://dx.doi.org/10.1016/j.resconrec.2017.05.005"/>
    <hyperlink ref="BT101" r:id="rId_hyperlink_190" tooltip="View Full Record in Web of Science" display="View Full Record in Web of Science"/>
    <hyperlink ref="BF102" r:id="rId_hyperlink_191" tooltip="http://dx.doi.org/10.1007/s00477-013-0830-y" display="http://dx.doi.org/10.1007/s00477-013-0830-y"/>
    <hyperlink ref="BT102" r:id="rId_hyperlink_192" tooltip="View Full Record in Web of Science" display="View Full Record in Web of Science"/>
    <hyperlink ref="BF103" r:id="rId_hyperlink_193" tooltip="http://dx.doi.org/10.3843/SusDev.15.4:12" display="http://dx.doi.org/10.3843/SusDev.15.4:12"/>
    <hyperlink ref="BT103" r:id="rId_hyperlink_194" tooltip="View Full Record in Web of Science" display="View Full Record in Web of Science"/>
    <hyperlink ref="BF104" r:id="rId_hyperlink_195" tooltip="http://dx.doi.org/10.1016/j.oneear.2020.02.004" display="http://dx.doi.org/10.1016/j.oneear.2020.02.004"/>
    <hyperlink ref="BT104" r:id="rId_hyperlink_196" tooltip="View Full Record in Web of Science" display="View Full Record in Web of Science"/>
    <hyperlink ref="BF105" r:id="rId_hyperlink_197" tooltip="http://dx.doi.org/10.1016/j.resconrec.2016.08.026" display="http://dx.doi.org/10.1016/j.resconrec.2016.08.026"/>
    <hyperlink ref="BT105" r:id="rId_hyperlink_198" tooltip="View Full Record in Web of Science" display="View Full Record in Web of Science"/>
    <hyperlink ref="BF106" r:id="rId_hyperlink_199" tooltip="http://dx.doi.org/10.1016/j.envpol.2012.04.011" display="http://dx.doi.org/10.1016/j.envpol.2012.04.011"/>
    <hyperlink ref="BT106" r:id="rId_hyperlink_200" tooltip="View Full Record in Web of Science" display="View Full Record in Web of Science"/>
    <hyperlink ref="BF107" r:id="rId_hyperlink_201" tooltip="http://dx.doi.org/10.1111/jiec.13261" display="http://dx.doi.org/10.1111/jiec.13261"/>
    <hyperlink ref="BT107" r:id="rId_hyperlink_202" tooltip="View Full Record in Web of Science" display="View Full Record in Web of Science"/>
    <hyperlink ref="BF108" r:id="rId_hyperlink_203" tooltip="http://dx.doi.org/10.1016/j.envpol.2012.04.012" display="http://dx.doi.org/10.1016/j.envpol.2012.04.012"/>
    <hyperlink ref="BT108" r:id="rId_hyperlink_204" tooltip="View Full Record in Web of Science" display="View Full Record in Web of Science"/>
    <hyperlink ref="BF109" r:id="rId_hyperlink_205" tooltip="http://dx.doi.org/10.3389/frsc.2020.00004" display="http://dx.doi.org/10.3389/frsc.2020.00004"/>
    <hyperlink ref="BT109" r:id="rId_hyperlink_206" tooltip="View Full Record in Web of Science" display="View Full Record in Web of Science"/>
    <hyperlink ref="BF110" r:id="rId_hyperlink_207" tooltip="http://dx.doi.org/10.1639/0044-7447(2001)030[0429:ETITUM]2.0.CO;2" display="http://dx.doi.org/10.1639/0044-7447(2001)030[0429:ETITUM]2.0.CO;2"/>
    <hyperlink ref="BT110" r:id="rId_hyperlink_208" tooltip="View Full Record in Web of Science" display="View Full Record in Web of Science"/>
    <hyperlink ref="BF111" r:id="rId_hyperlink_209" tooltip="http://dx.doi.org/10.1016/j.envpol.2012.04.013" display="http://dx.doi.org/10.1016/j.envpol.2012.04.013"/>
    <hyperlink ref="BT111" r:id="rId_hyperlink_210" tooltip="View Full Record in Web of Science" display="View Full Record in Web of Science"/>
    <hyperlink ref="BF112" r:id="rId_hyperlink_211" tooltip="http://dx.doi.org/10.1016/j.ecolind.2022.108593" display="http://dx.doi.org/10.1016/j.ecolind.2022.108593"/>
    <hyperlink ref="BT112" r:id="rId_hyperlink_212" tooltip="View Full Record in Web of Science" display="View Full Record in Web of Science"/>
    <hyperlink ref="BF113" r:id="rId_hyperlink_213" tooltip="http://dx.doi.org/10.3390/en12214125" display="http://dx.doi.org/10.3390/en12214125"/>
    <hyperlink ref="BT113" r:id="rId_hyperlink_214" tooltip="View Full Record in Web of Science" display="View Full Record in Web of Science"/>
    <hyperlink ref="BF114" r:id="rId_hyperlink_215" tooltip="http://dx.doi.org/10.3390/su7067473" display="http://dx.doi.org/10.3390/su7067473"/>
    <hyperlink ref="BT114" r:id="rId_hyperlink_216" tooltip="View Full Record in Web of Science" display="View Full Record in Web of Science"/>
    <hyperlink ref="BF115" r:id="rId_hyperlink_217" tooltip="http://dx.doi.org/10.1111/jiec.12778" display="http://dx.doi.org/10.1111/jiec.12778"/>
    <hyperlink ref="BT115" r:id="rId_hyperlink_218" tooltip="View Full Record in Web of Science" display="View Full Record in Web of Science"/>
    <hyperlink ref="BF116" r:id="rId_hyperlink_219" tooltip="http://dx.doi.org/10.1080/02723638.2020.1848760" display="http://dx.doi.org/10.1080/02723638.2020.1848760"/>
    <hyperlink ref="BT116" r:id="rId_hyperlink_220" tooltip="View Full Record in Web of Science" display="View Full Record in Web of Science"/>
    <hyperlink ref="BF117" r:id="rId_hyperlink_221" tooltip="http://dx.doi.org/10.1177/10780874221080145" display="http://dx.doi.org/10.1177/10780874221080145"/>
    <hyperlink ref="BT117" r:id="rId_hyperlink_222" tooltip="View Full Record in Web of Science" display="View Full Record in Web of Science"/>
    <hyperlink ref="BF118" r:id="rId_hyperlink_223" tooltip="http://dx.doi.org/10.1016/j.resconrec.2017.12.019" display="http://dx.doi.org/10.1016/j.resconrec.2017.12.019"/>
    <hyperlink ref="BT118" r:id="rId_hyperlink_224" tooltip="View Full Record in Web of Science" display="View Full Record in Web of Science"/>
    <hyperlink ref="BF119" r:id="rId_hyperlink_225" tooltip="http://dx.doi.org/10.1016/j.jag.2013.08.006" display="http://dx.doi.org/10.1016/j.jag.2013.08.006"/>
    <hyperlink ref="BT119" r:id="rId_hyperlink_226" tooltip="View Full Record in Web of Science" display="View Full Record in Web of Science"/>
    <hyperlink ref="BF120" r:id="rId_hyperlink_227" tooltip="http://dx.doi.org/10.1080/13264826.2023.2272857" display="http://dx.doi.org/10.1080/13264826.2023.2272857"/>
    <hyperlink ref="BT120" r:id="rId_hyperlink_228" tooltip="View Full Record in Web of Science" display="View Full Record in Web of Science"/>
    <hyperlink ref="BF121" r:id="rId_hyperlink_229" tooltip="http://dx.doi.org/10.1016/j.envpol.2015.03.027" display="http://dx.doi.org/10.1016/j.envpol.2015.03.027"/>
    <hyperlink ref="BT121" r:id="rId_hyperlink_230" tooltip="View Full Record in Web of Science" display="View Full Record in Web of Science"/>
    <hyperlink ref="BF122" r:id="rId_hyperlink_231" tooltip="http://dx.doi.org/10.1016/j.resconrec.2017.07.032" display="http://dx.doi.org/10.1016/j.resconrec.2017.07.032"/>
    <hyperlink ref="BT122" r:id="rId_hyperlink_232" tooltip="View Full Record in Web of Science" display="View Full Record in Web of Science"/>
    <hyperlink ref="BF123" r:id="rId_hyperlink_233" tooltip="http://dx.doi.org/10.1177/2399808318797131" display="http://dx.doi.org/10.1177/2399808318797131"/>
    <hyperlink ref="BT123" r:id="rId_hyperlink_234" tooltip="View Full Record in Web of Science" display="View Full Record in Web of Science"/>
    <hyperlink ref="BF124" r:id="rId_hyperlink_235" tooltip="http://dx.doi.org/10.1111/jiec.12083" display="http://dx.doi.org/10.1111/jiec.12083"/>
    <hyperlink ref="BT124" r:id="rId_hyperlink_236" tooltip="View Full Record in Web of Science" display="View Full Record in Web of Science"/>
    <hyperlink ref="BF125" r:id="rId_hyperlink_237" tooltip="http://dx.doi.org/10.1016/j.jclepro.2018.08.054" display="http://dx.doi.org/10.1016/j.jclepro.2018.08.054"/>
    <hyperlink ref="BT125" r:id="rId_hyperlink_238" tooltip="View Full Record in Web of Science" display="View Full Record in Web of Science"/>
    <hyperlink ref="BF126" r:id="rId_hyperlink_239" tooltip="http://dx.doi.org/10.1016/j.jclepro.2015.10.118" display="http://dx.doi.org/10.1016/j.jclepro.2015.10.118"/>
    <hyperlink ref="BT126" r:id="rId_hyperlink_240" tooltip="View Full Record in Web of Science" display="View Full Record in Web of Science"/>
    <hyperlink ref="BF127" r:id="rId_hyperlink_241" tooltip="http://dx.doi.org/10.1111/j.1530-9290.2011.00372.x" display="http://dx.doi.org/10.1111/j.1530-9290.2011.00372.x"/>
    <hyperlink ref="BT127" r:id="rId_hyperlink_242" tooltip="View Full Record in Web of Science" display="View Full Record in Web of Science"/>
    <hyperlink ref="BF128" r:id="rId_hyperlink_243" tooltip="http://dx.doi.org/10.1111/jiec.12144" display="http://dx.doi.org/10.1111/jiec.12144"/>
    <hyperlink ref="BT128" r:id="rId_hyperlink_244" tooltip="View Full Record in Web of Science" display="View Full Record in Web of Science"/>
    <hyperlink ref="BF129" r:id="rId_hyperlink_245" tooltip="http://dx.doi.org/10.1080/19463138.2019.1618859" display="http://dx.doi.org/10.1080/19463138.2019.1618859"/>
    <hyperlink ref="BT129" r:id="rId_hyperlink_246" tooltip="View Full Record in Web of Science" display="View Full Record in Web of Science"/>
    <hyperlink ref="BF130" r:id="rId_hyperlink_247" tooltip="http://dx.doi.org/10.1016/j.ecoinf.2014.09.008" display="http://dx.doi.org/10.1016/j.ecoinf.2014.09.008"/>
    <hyperlink ref="BT130" r:id="rId_hyperlink_248" tooltip="View Full Record in Web of Science" display="View Full Record in Web of Science"/>
    <hyperlink ref="BF131" r:id="rId_hyperlink_249" tooltip="http://dx.doi.org/10.1016/j.jclepro.2017.05.143" display="http://dx.doi.org/10.1016/j.jclepro.2017.05.143"/>
    <hyperlink ref="BT131" r:id="rId_hyperlink_250" tooltip="View Full Record in Web of Science" display="View Full Record in Web of Science"/>
    <hyperlink ref="BF132" r:id="rId_hyperlink_251" tooltip="http://dx.doi.org/10.1111/jiec.13056" display="http://dx.doi.org/10.1111/jiec.13056"/>
    <hyperlink ref="BT132" r:id="rId_hyperlink_252" tooltip="View Full Record in Web of Science" display="View Full Record in Web of Science"/>
    <hyperlink ref="BF133" r:id="rId_hyperlink_253" tooltip="http://dx.doi.org/10.1016/j.jclepro.2016.02.139" display="http://dx.doi.org/10.1016/j.jclepro.2016.02.139"/>
    <hyperlink ref="BT133" r:id="rId_hyperlink_254" tooltip="View Full Record in Web of Science" display="View Full Record in Web of Science"/>
    <hyperlink ref="BF134" r:id="rId_hyperlink_255" tooltip="http://dx.doi.org/10.1007/s11252-015-0503-3" display="http://dx.doi.org/10.1007/s11252-015-0503-3"/>
    <hyperlink ref="BT134" r:id="rId_hyperlink_256" tooltip="View Full Record in Web of Science" display="View Full Record in Web of Science"/>
    <hyperlink ref="BF135" r:id="rId_hyperlink_257" tooltip="http://dx.doi.org/10.1016/j.jclepro.2019.01.021" display="http://dx.doi.org/10.1016/j.jclepro.2019.01.021"/>
    <hyperlink ref="BT135" r:id="rId_hyperlink_258" tooltip="View Full Record in Web of Science" display="View Full Record in Web of Science"/>
    <hyperlink ref="BF136" r:id="rId_hyperlink_259" tooltip="http://dx.doi.org/10.1111/jiec.12451" display="http://dx.doi.org/10.1111/jiec.12451"/>
    <hyperlink ref="BT136" r:id="rId_hyperlink_260" tooltip="View Full Record in Web of Science" display="View Full Record in Web of Science"/>
    <hyperlink ref="BF137" r:id="rId_hyperlink_261" tooltip="http://dx.doi.org/10.1016/j.ecolind.2014.02.035" display="http://dx.doi.org/10.1016/j.ecolind.2014.02.035"/>
    <hyperlink ref="BT137" r:id="rId_hyperlink_262" tooltip="View Full Record in Web of Science" display="View Full Record in Web of Science"/>
    <hyperlink ref="BF138" r:id="rId_hyperlink_263" tooltip="http://dx.doi.org/10.1016/S0169-2046(02)00152-4" display="http://dx.doi.org/10.1016/S0169-2046(02)00152-4"/>
    <hyperlink ref="BT138" r:id="rId_hyperlink_264" tooltip="View Full Record in Web of Science" display="View Full Record in Web of Science"/>
    <hyperlink ref="BF139" r:id="rId_hyperlink_265" tooltip="http://dx.doi.org/10.1016/j.scitotenv.2021.150700" display="http://dx.doi.org/10.1016/j.scitotenv.2021.150700"/>
    <hyperlink ref="BT139" r:id="rId_hyperlink_266" tooltip="View Full Record in Web of Science" display="View Full Record in Web of Science"/>
    <hyperlink ref="BF140" r:id="rId_hyperlink_267" tooltip="http://dx.doi.org/10.1016/j.cities.2019.102388" display="http://dx.doi.org/10.1016/j.cities.2019.102388"/>
    <hyperlink ref="BT140" r:id="rId_hyperlink_268" tooltip="View Full Record in Web of Science" display="View Full Record in Web of Science"/>
    <hyperlink ref="BF141" r:id="rId_hyperlink_269" tooltip="http://dx.doi.org/10.1016/j.scs.2022.103754" display="http://dx.doi.org/10.1016/j.scs.2022.103754"/>
    <hyperlink ref="BT141" r:id="rId_hyperlink_270" tooltip="View Full Record in Web of Science" display="View Full Record in Web of Science"/>
    <hyperlink ref="BF142" r:id="rId_hyperlink_271" tooltip="http://dx.doi.org/10.1111/jiec.12308" display="http://dx.doi.org/10.1111/jiec.12308"/>
    <hyperlink ref="BT142" r:id="rId_hyperlink_272" tooltip="View Full Record in Web of Science" display="View Full Record in Web of Science"/>
    <hyperlink ref="BF143" r:id="rId_hyperlink_273" tooltip="http://dx.doi.org/10.3390/foods10112842" display="http://dx.doi.org/10.3390/foods10112842"/>
    <hyperlink ref="BT143" r:id="rId_hyperlink_274" tooltip="View Full Record in Web of Science" display="View Full Record in Web of Science"/>
    <hyperlink ref="BF144" r:id="rId_hyperlink_275" tooltip="http://dx.doi.org/10.1016/j.jclepro.2022.132067" display="http://dx.doi.org/10.1016/j.jclepro.2022.132067"/>
    <hyperlink ref="BT144" r:id="rId_hyperlink_276" tooltip="View Full Record in Web of Science" display="View Full Record in Web of Science"/>
    <hyperlink ref="BF145" r:id="rId_hyperlink_277" tooltip="http://dx.doi.org/10.3390/en13092243" display="http://dx.doi.org/10.3390/en13092243"/>
    <hyperlink ref="BT145" r:id="rId_hyperlink_278" tooltip="View Full Record in Web of Science" display="View Full Record in Web of Science"/>
    <hyperlink ref="BF146" r:id="rId_hyperlink_279" tooltip="http://dx.doi.org/10.1111/jiec.12428" display="http://dx.doi.org/10.1111/jiec.12428"/>
    <hyperlink ref="BT146" r:id="rId_hyperlink_280" tooltip="View Full Record in Web of Science" display="View Full Record in Web of Science"/>
    <hyperlink ref="BF147" r:id="rId_hyperlink_281" tooltip="http://dx.doi.org/10.1111/jiec.12172" display="http://dx.doi.org/10.1111/jiec.12172"/>
    <hyperlink ref="BT147" r:id="rId_hyperlink_282" tooltip="View Full Record in Web of Science" display="View Full Record in Web of Science"/>
    <hyperlink ref="BF148" r:id="rId_hyperlink_283" tooltip="http://dx.doi.org/10.13128/techne-8176" display="http://dx.doi.org/10.13128/techne-8176"/>
    <hyperlink ref="BT148" r:id="rId_hyperlink_284" tooltip="View Full Record in Web of Science" display="View Full Record in Web of Science"/>
    <hyperlink ref="BF149" r:id="rId_hyperlink_285" tooltip="http://dx.doi.org/10.1016/j.resconrec.2012.01.014" display="http://dx.doi.org/10.1016/j.resconrec.2012.01.014"/>
    <hyperlink ref="BT149" r:id="rId_hyperlink_286" tooltip="View Full Record in Web of Science" display="View Full Record in Web of Science"/>
    <hyperlink ref="BF150" r:id="rId_hyperlink_287" tooltip="http://dx.doi.org/10.3390/su12177129" display="http://dx.doi.org/10.3390/su12177129"/>
    <hyperlink ref="BT150" r:id="rId_hyperlink_288" tooltip="View Full Record in Web of Science" display="View Full Record in Web of Science"/>
    <hyperlink ref="BF151" r:id="rId_hyperlink_289" tooltip="http://dx.doi.org/10.1080/00330124.2014.905158" display="http://dx.doi.org/10.1080/00330124.2014.905158"/>
    <hyperlink ref="BT151" r:id="rId_hyperlink_290" tooltip="View Full Record in Web of Science" display="View Full Record in Web of Science"/>
    <hyperlink ref="BF152" r:id="rId_hyperlink_291" tooltip="http://dx.doi.org/10.1016/j.pce.2017.01.024" display="http://dx.doi.org/10.1016/j.pce.2017.01.024"/>
    <hyperlink ref="BT152" r:id="rId_hyperlink_292" tooltip="View Full Record in Web of Science" display="View Full Record in Web of Science"/>
    <hyperlink ref="BF153" r:id="rId_hyperlink_293" tooltip="http://dx.doi.org/10.31025/2611-4135/2020.13975" display="http://dx.doi.org/10.31025/2611-4135/2020.13975"/>
    <hyperlink ref="BT153" r:id="rId_hyperlink_294" tooltip="View Full Record in Web of Science" display="View Full Record in Web of Science"/>
    <hyperlink ref="BF154" r:id="rId_hyperlink_295" tooltip="http://dx.doi.org/10.2166/wst.2019.139" display="http://dx.doi.org/10.2166/wst.2019.139"/>
    <hyperlink ref="BT154" r:id="rId_hyperlink_296" tooltip="View Full Record in Web of Science" display="View Full Record in Web of Science"/>
    <hyperlink ref="BF155" r:id="rId_hyperlink_297" tooltip="http://dx.doi.org/10.1111/jiec.12919" display="http://dx.doi.org/10.1111/jiec.12919"/>
    <hyperlink ref="BT155" r:id="rId_hyperlink_298" tooltip="View Full Record in Web of Science" display="View Full Record in Web of Science"/>
    <hyperlink ref="BF156" r:id="rId_hyperlink_299" tooltip="http://dx.doi.org/10.1111/jiec.12844" display="http://dx.doi.org/10.1111/jiec.12844"/>
    <hyperlink ref="BT156" r:id="rId_hyperlink_300" tooltip="View Full Record in Web of Science" display="View Full Record in Web of Science"/>
    <hyperlink ref="BF157" r:id="rId_hyperlink_301" tooltip="http://dx.doi.org/10.1016/j.jclepro.2016.05.174" display="http://dx.doi.org/10.1016/j.jclepro.2016.05.174"/>
    <hyperlink ref="BT157" r:id="rId_hyperlink_302" tooltip="View Full Record in Web of Science" display="View Full Record in Web of Science"/>
    <hyperlink ref="BF158" r:id="rId_hyperlink_303" tooltip="http://dx.doi.org/10.2166/wcc.2013.188" display="http://dx.doi.org/10.2166/wcc.2013.188"/>
    <hyperlink ref="BT158" r:id="rId_hyperlink_304" tooltip="View Full Record in Web of Science" display="View Full Record in Web of Science"/>
    <hyperlink ref="BF159" r:id="rId_hyperlink_305" tooltip="http://dx.doi.org/10.1007/s11769-014-0680-7" display="http://dx.doi.org/10.1007/s11769-014-0680-7"/>
    <hyperlink ref="BT159" r:id="rId_hyperlink_306" tooltip="View Full Record in Web of Science" display="View Full Record in Web of Science"/>
    <hyperlink ref="BF160" r:id="rId_hyperlink_307" tooltip="http://dx.doi.org/10.1111/j.1530-9290.2012.00567.x" display="http://dx.doi.org/10.1111/j.1530-9290.2012.00567.x"/>
    <hyperlink ref="BT160" r:id="rId_hyperlink_308" tooltip="View Full Record in Web of Science" display="View Full Record in Web of Science"/>
    <hyperlink ref="BF161" r:id="rId_hyperlink_309" tooltip="http://dx.doi.org/10.3390/environments10010013" display="http://dx.doi.org/10.3390/environments10010013"/>
    <hyperlink ref="BT161" r:id="rId_hyperlink_310" tooltip="View Full Record in Web of Science" display="View Full Record in Web of Science"/>
    <hyperlink ref="BF162" r:id="rId_hyperlink_311" tooltip="http://dx.doi.org/10.1111/jiec.12429" display="http://dx.doi.org/10.1111/jiec.12429"/>
    <hyperlink ref="BT162" r:id="rId_hyperlink_312" tooltip="View Full Record in Web of Science" display="View Full Record in Web of Science"/>
    <hyperlink ref="BF163" r:id="rId_hyperlink_313" tooltip="http://dx.doi.org/10.1111/j.1530-9290.2011.00343.x" display="http://dx.doi.org/10.1111/j.1530-9290.2011.00343.x"/>
    <hyperlink ref="BT163" r:id="rId_hyperlink_314" tooltip="View Full Record in Web of Science" display="View Full Record in Web of Science"/>
    <hyperlink ref="BF164" r:id="rId_hyperlink_315" tooltip="http://dx.doi.org/10.3390/su9122341" display="http://dx.doi.org/10.3390/su9122341"/>
    <hyperlink ref="BT164" r:id="rId_hyperlink_316" tooltip="View Full Record in Web of Science" display="View Full Record in Web of Science"/>
    <hyperlink ref="BF165" r:id="rId_hyperlink_317" tooltip="http://dx.doi.org/10.1111/jiec.13424" display="http://dx.doi.org/10.1111/jiec.13424"/>
    <hyperlink ref="BT165" r:id="rId_hyperlink_318" tooltip="View Full Record in Web of Science" display="View Full Record in Web of Science"/>
    <hyperlink ref="BF166" r:id="rId_hyperlink_319" tooltip="http://dx.doi.org/10.15302/J-LAF-1-020015" display="http://dx.doi.org/10.15302/J-LAF-1-020015"/>
    <hyperlink ref="BT166" r:id="rId_hyperlink_320" tooltip="View Full Record in Web of Science" display="View Full Record in Web of Science"/>
    <hyperlink ref="BF167" r:id="rId_hyperlink_321" tooltip="http://dx.doi.org/10.1016/j.jclepro.2020.120310" display="http://dx.doi.org/10.1016/j.jclepro.2020.120310"/>
    <hyperlink ref="BT167" r:id="rId_hyperlink_322" tooltip="View Full Record in Web of Science" display="View Full Record in Web of Science"/>
    <hyperlink ref="BF168" r:id="rId_hyperlink_323" tooltip="http://dx.doi.org/10.1016/j.cosust.2010.06.004" display="http://dx.doi.org/10.1016/j.cosust.2010.06.004"/>
    <hyperlink ref="BT168" r:id="rId_hyperlink_324" tooltip="View Full Record in Web of Science" display="View Full Record in Web of Science"/>
    <hyperlink ref="BF169" r:id="rId_hyperlink_325" tooltip="http://dx.doi.org/10.3390/su132212724" display="http://dx.doi.org/10.3390/su132212724"/>
    <hyperlink ref="BT169" r:id="rId_hyperlink_326" tooltip="View Full Record in Web of Science" display="View Full Record in Web of Science"/>
    <hyperlink ref="BF170" r:id="rId_hyperlink_327" tooltip="http://dx.doi.org/10.1016/j.cities.2021.103336" display="http://dx.doi.org/10.1016/j.cities.2021.103336"/>
    <hyperlink ref="BT170" r:id="rId_hyperlink_328" tooltip="View Full Record in Web of Science" display="View Full Record in Web of Science"/>
    <hyperlink ref="BF171" r:id="rId_hyperlink_329" tooltip="http://dx.doi.org/10.1111/j.1530-9290.2012.00486.x" display="http://dx.doi.org/10.1111/j.1530-9290.2012.00486.x"/>
    <hyperlink ref="BT171" r:id="rId_hyperlink_330" tooltip="View Full Record in Web of Science" display="View Full Record in Web of Science"/>
    <hyperlink ref="BF172" r:id="rId_hyperlink_331" tooltip="http://dx.doi.org/10.1021/acs.est.5b03060" display="http://dx.doi.org/10.1021/acs.est.5b03060"/>
    <hyperlink ref="BT172" r:id="rId_hyperlink_332" tooltip="View Full Record in Web of Science" display="View Full Record in Web of Science"/>
    <hyperlink ref="BF173" r:id="rId_hyperlink_333" tooltip="http://dx.doi.org/10.13044/j.sdewes.d10.0432" display="http://dx.doi.org/10.13044/j.sdewes.d10.0432"/>
    <hyperlink ref="BT173" r:id="rId_hyperlink_334" tooltip="View Full Record in Web of Science" display="View Full Record in Web of Science"/>
    <hyperlink ref="BF174" r:id="rId_hyperlink_335" tooltip="http://dx.doi.org/10.3390/su8030275" display="http://dx.doi.org/10.3390/su8030275"/>
    <hyperlink ref="BT174" r:id="rId_hyperlink_336" tooltip="View Full Record in Web of Science" display="View Full Record in Web of Science"/>
    <hyperlink ref="BF175" r:id="rId_hyperlink_337" tooltip="http://dx.doi.org/10.1111/jiec.12517" display="http://dx.doi.org/10.1111/jiec.12517"/>
    <hyperlink ref="BT175" r:id="rId_hyperlink_338" tooltip="View Full Record in Web of Science" display="View Full Record in Web of Science"/>
    <hyperlink ref="BF176" r:id="rId_hyperlink_339" tooltip="http://dx.doi.org/10.3895/1s.v1853.15721" display="http://dx.doi.org/10.3895/1s.v1853.15721"/>
    <hyperlink ref="BT176" r:id="rId_hyperlink_340" tooltip="View Full Record in Web of Science" display="View Full Record in Web of Science"/>
    <hyperlink ref="BF177" r:id="rId_hyperlink_341" tooltip="http://dx.doi.org/10.1080/0377919X.2022.2133969" display="http://dx.doi.org/10.1080/0377919X.2022.2133969"/>
    <hyperlink ref="BT177" r:id="rId_hyperlink_342" tooltip="View Full Record in Web of Science" display="View Full Record in Web of Science"/>
    <hyperlink ref="BF178" r:id="rId_hyperlink_343" tooltip="http://dx.doi.org/10.3390/environments10020014" display="http://dx.doi.org/10.3390/environments10020014"/>
    <hyperlink ref="BT178" r:id="rId_hyperlink_344" tooltip="View Full Record in Web of Science" display="View Full Record in Web of Science"/>
    <hyperlink ref="BF179" r:id="rId_hyperlink_345" tooltip="http://dx.doi.org/10.1111/jiec.12336" display="http://dx.doi.org/10.1111/jiec.12336"/>
    <hyperlink ref="BT179" r:id="rId_hyperlink_346" tooltip="View Full Record in Web of Science" display="View Full Record in Web of Science"/>
    <hyperlink ref="BF180" r:id="rId_hyperlink_347" tooltip="http://dx.doi.org/10.1016/j.apenergy.2021.117254" display="http://dx.doi.org/10.1016/j.apenergy.2021.117254"/>
    <hyperlink ref="BT180" r:id="rId_hyperlink_348" tooltip="View Full Record in Web of Science" display="View Full Record in Web of Science"/>
    <hyperlink ref="BF181" r:id="rId_hyperlink_349" tooltip="http://dx.doi.org/10.3390/su15031826" display="http://dx.doi.org/10.3390/su15031826"/>
    <hyperlink ref="BT181" r:id="rId_hyperlink_350" tooltip="View Full Record in Web of Science" display="View Full Record in Web of Science"/>
    <hyperlink ref="BF182" r:id="rId_hyperlink_351" tooltip="http://dx.doi.org/10.3390/su8101004" display="http://dx.doi.org/10.3390/su8101004"/>
    <hyperlink ref="BT182" r:id="rId_hyperlink_352" tooltip="View Full Record in Web of Science" display="View Full Record in Web of Science"/>
    <hyperlink ref="BF183" r:id="rId_hyperlink_353" tooltip="http://dx.doi.org/10.1016/j.jclepro.2015.05.099" display="http://dx.doi.org/10.1016/j.jclepro.2015.05.099"/>
    <hyperlink ref="BT183" r:id="rId_hyperlink_354" tooltip="View Full Record in Web of Science" display="View Full Record in Web of Science"/>
    <hyperlink ref="BF184" r:id="rId_hyperlink_355" tooltip="http://dx.doi.org/10.1590/S1413-41522020191392" display="http://dx.doi.org/10.1590/S1413-41522020191392"/>
    <hyperlink ref="BT184" r:id="rId_hyperlink_356" tooltip="View Full Record in Web of Science" display="View Full Record in Web of Science"/>
    <hyperlink ref="BF185" r:id="rId_hyperlink_357" tooltip="http://dx.doi.org/10.1088/1748-9326/8/3/035024" display="http://dx.doi.org/10.1088/1748-9326/8/3/035024"/>
    <hyperlink ref="BT185" r:id="rId_hyperlink_358" tooltip="View Full Record in Web of Science" display="View Full Record in Web of Science"/>
    <hyperlink ref="BF186" r:id="rId_hyperlink_359" tooltip="http://dx.doi.org/10.3390/su10061875" display="http://dx.doi.org/10.3390/su10061875"/>
    <hyperlink ref="BT186" r:id="rId_hyperlink_360" tooltip="View Full Record in Web of Science" display="View Full Record in Web of Science"/>
    <hyperlink ref="BF187" r:id="rId_hyperlink_361" tooltip="http://dx.doi.org/10.1162/jie.2007.1220" display="http://dx.doi.org/10.1162/jie.2007.1220"/>
    <hyperlink ref="BT187" r:id="rId_hyperlink_362" tooltip="View Full Record in Web of Science" display="View Full Record in Web of Science"/>
    <hyperlink ref="BF188" r:id="rId_hyperlink_363" tooltip="http://dx.doi.org/10.3390/su11072101" display="http://dx.doi.org/10.3390/su11072101"/>
    <hyperlink ref="BT188" r:id="rId_hyperlink_364" tooltip="View Full Record in Web of Science" display="View Full Record in Web of Science"/>
    <hyperlink ref="BF189" r:id="rId_hyperlink_365" tooltip="http://dx.doi.org/10.1080/24694452.2021.1956875" display="http://dx.doi.org/10.1080/24694452.2021.1956875"/>
    <hyperlink ref="BT189" r:id="rId_hyperlink_366" tooltip="View Full Record in Web of Science" display="View Full Record in Web of Science"/>
    <hyperlink ref="BF190" r:id="rId_hyperlink_367" tooltip="http://dx.doi.org/10.1016/j.apenergy.2016.10.069" display="http://dx.doi.org/10.1016/j.apenergy.2016.10.069"/>
    <hyperlink ref="BT190" r:id="rId_hyperlink_368" tooltip="View Full Record in Web of Science" display="View Full Record in Web of Science"/>
    <hyperlink ref="BF191" r:id="rId_hyperlink_369" tooltip="http://dx.doi.org/10.1061/(ASCE)0733-9488(2008)134:1(21)" display="http://dx.doi.org/10.1061/(ASCE)0733-9488(2008)134:1(21)"/>
    <hyperlink ref="BT191" r:id="rId_hyperlink_370" tooltip="View Full Record in Web of Science" display="View Full Record in Web of Science"/>
    <hyperlink ref="BF192" r:id="rId_hyperlink_371" tooltip="http://dx.doi.org/10.1080/09640568.2014.951115" display="http://dx.doi.org/10.1080/09640568.2014.951115"/>
    <hyperlink ref="BT192" r:id="rId_hyperlink_372" tooltip="View Full Record in Web of Science" display="View Full Record in Web of Science"/>
    <hyperlink ref="BF193" r:id="rId_hyperlink_373" tooltip="http://dx.doi.org/10.1016/j.ecolind.2020.106074" display="http://dx.doi.org/10.1016/j.ecolind.2020.106074"/>
    <hyperlink ref="BT193" r:id="rId_hyperlink_374" tooltip="View Full Record in Web of Science" display="View Full Record in Web of Science"/>
    <hyperlink ref="BF194" r:id="rId_hyperlink_375" tooltip="http://dx.doi.org/10.17645/up.v4i1.1988" display="http://dx.doi.org/10.17645/up.v4i1.1988"/>
    <hyperlink ref="BT194" r:id="rId_hyperlink_376" tooltip="View Full Record in Web of Science" display="View Full Record in Web of Science"/>
    <hyperlink ref="BF195" r:id="rId_hyperlink_377" tooltip="http://dx.doi.org/10.3390/su8070635" display="http://dx.doi.org/10.3390/su8070635"/>
    <hyperlink ref="BT195" r:id="rId_hyperlink_378" tooltip="View Full Record in Web of Science" display="View Full Record in Web of Science"/>
    <hyperlink ref="BF196" r:id="rId_hyperlink_379" tooltip="http://dx.doi.org/10.1016/j.scitotenv.2016.12.022" display="http://dx.doi.org/10.1016/j.scitotenv.2016.12.022"/>
    <hyperlink ref="BT196" r:id="rId_hyperlink_380" tooltip="View Full Record in Web of Science" display="View Full Record in Web of Science"/>
    <hyperlink ref="BF197" r:id="rId_hyperlink_381" tooltip="http://dx.doi.org/10.1111/jiec.12359" display="http://dx.doi.org/10.1111/jiec.12359"/>
    <hyperlink ref="BT197" r:id="rId_hyperlink_382" tooltip="View Full Record in Web of Science" display="View Full Record in Web of Science"/>
    <hyperlink ref="BF198" r:id="rId_hyperlink_383" tooltip="http://dx.doi.org/10.1016/j.ecolecon.2019.106447" display="http://dx.doi.org/10.1016/j.ecolecon.2019.106447"/>
    <hyperlink ref="BT198" r:id="rId_hyperlink_384" tooltip="View Full Record in Web of Science" display="View Full Record in Web of Science"/>
    <hyperlink ref="BF199" r:id="rId_hyperlink_385" tooltip="http://dx.doi.org/10.1111/jiec.12320" display="http://dx.doi.org/10.1111/jiec.12320"/>
    <hyperlink ref="BT199" r:id="rId_hyperlink_386" tooltip="View Full Record in Web of Science" display="View Full Record in Web of Science"/>
    <hyperlink ref="BF200" r:id="rId_hyperlink_387" tooltip="http://dx.doi.org/10.1111/jiec.12849" display="http://dx.doi.org/10.1111/jiec.12849"/>
    <hyperlink ref="BT200" r:id="rId_hyperlink_388" tooltip="View Full Record in Web of Science" display="View Full Record in Web of Science"/>
    <hyperlink ref="BF201" r:id="rId_hyperlink_389" tooltip="http://dx.doi.org/10.1016/j.cities.2016.12.018" display="http://dx.doi.org/10.1016/j.cities.2016.12.018"/>
    <hyperlink ref="BT201" r:id="rId_hyperlink_390" tooltip="View Full Record in Web of Science" display="View Full Record in Web of Science"/>
    <hyperlink ref="BF202" r:id="rId_hyperlink_391" tooltip="http://dx.doi.org/10.14718/RevArq.2020.2551" display="http://dx.doi.org/10.14718/RevArq.2020.2551"/>
    <hyperlink ref="BT202" r:id="rId_hyperlink_392" tooltip="View Full Record in Web of Science" display="View Full Record in Web of Science"/>
    <hyperlink ref="BF203" r:id="rId_hyperlink_393" tooltip="http://dx.doi.org/10.1016/j.landurbplan.2013.09.004" display="http://dx.doi.org/10.1016/j.landurbplan.2013.09.004"/>
    <hyperlink ref="BT203" r:id="rId_hyperlink_394" tooltip="View Full Record in Web of Science" display="View Full Record in Web of Science"/>
    <hyperlink ref="BF204" r:id="rId_hyperlink_395" tooltip="http://dx.doi.org/10.1061/JSWBAY.0000916" display="http://dx.doi.org/10.1061/JSWBAY.0000916"/>
    <hyperlink ref="BT204" r:id="rId_hyperlink_396" tooltip="View Full Record in Web of Science" display="View Full Record in Web of Science"/>
    <hyperlink ref="BF205" r:id="rId_hyperlink_397" tooltip="http://dx.doi.org/10.1016/j.geoforum.2014.03.008" display="http://dx.doi.org/10.1016/j.geoforum.2014.03.008"/>
    <hyperlink ref="BT205" r:id="rId_hyperlink_398" tooltip="View Full Record in Web of Science" display="View Full Record in Web of Science"/>
    <hyperlink ref="BF206" r:id="rId_hyperlink_399" tooltip="http://dx.doi.org/10.1016/j.resconrec.2016.08.019" display="http://dx.doi.org/10.1016/j.resconrec.2016.08.019"/>
    <hyperlink ref="BT206" r:id="rId_hyperlink_400" tooltip="View Full Record in Web of Science" display="View Full Record in Web of Science"/>
    <hyperlink ref="BF207" r:id="rId_hyperlink_401" tooltip="http://dx.doi.org/10.1007/s13280-011-0232-7" display="http://dx.doi.org/10.1007/s13280-011-0232-7"/>
    <hyperlink ref="BT207" r:id="rId_hyperlink_402" tooltip="View Full Record in Web of Science" display="View Full Record in Web of Science"/>
    <hyperlink ref="BF208" r:id="rId_hyperlink_403" tooltip="http://dx.doi.org/10.1080/09640561003703772" display="http://dx.doi.org/10.1080/09640561003703772"/>
    <hyperlink ref="BT208" r:id="rId_hyperlink_404" tooltip="View Full Record in Web of Science" display="View Full Record in Web of Science"/>
    <hyperlink ref="BF209" r:id="rId_hyperlink_405" tooltip="http://dx.doi.org/10.1146/annurev-environ-012913-101223" display="http://dx.doi.org/10.1146/annurev-environ-012913-101223"/>
    <hyperlink ref="BT209" r:id="rId_hyperlink_406" tooltip="View Full Record in Web of Science" display="View Full Record in Web of Science"/>
    <hyperlink ref="BF210" r:id="rId_hyperlink_407" tooltip="http://dx.doi.org/10.1038/s41467-019-13757-3" display="http://dx.doi.org/10.1038/s41467-019-13757-3"/>
    <hyperlink ref="BT210" r:id="rId_hyperlink_408" tooltip="View Full Record in Web of Science" display="View Full Record in Web of Science"/>
    <hyperlink ref="BF211" r:id="rId_hyperlink_409" tooltip="http://dx.doi.org/10.1016/j.ecolmodel.2018.05.009" display="http://dx.doi.org/10.1016/j.ecolmodel.2018.05.009"/>
    <hyperlink ref="BT211" r:id="rId_hyperlink_410" tooltip="View Full Record in Web of Science" display="View Full Record in Web of Science"/>
    <hyperlink ref="BF212" r:id="rId_hyperlink_411" tooltip="http://dx.doi.org/10.1016/j.envint.2016.04.036" display="http://dx.doi.org/10.1016/j.envint.2016.04.036"/>
    <hyperlink ref="BT212" r:id="rId_hyperlink_412" tooltip="View Full Record in Web of Science" display="View Full Record in Web of Science"/>
    <hyperlink ref="BF213" r:id="rId_hyperlink_413" tooltip="http://dx.doi.org/10.1016/j.indic.2021.100154" display="http://dx.doi.org/10.1016/j.indic.2021.100154"/>
    <hyperlink ref="BT213" r:id="rId_hyperlink_414" tooltip="View Full Record in Web of Science" display="View Full Record in Web of Science"/>
    <hyperlink ref="BF214" r:id="rId_hyperlink_415" tooltip="http://dx.doi.org/10.1016/j.ecolmodel.2018.11.019" display="http://dx.doi.org/10.1016/j.ecolmodel.2018.11.019"/>
    <hyperlink ref="BT214" r:id="rId_hyperlink_416" tooltip="View Full Record in Web of Science" display="View Full Record in Web of Science"/>
    <hyperlink ref="BF215" r:id="rId_hyperlink_417" tooltip="http://dx.doi.org/10.1111/jiec.12611" display="http://dx.doi.org/10.1111/jiec.12611"/>
    <hyperlink ref="BT215" r:id="rId_hyperlink_418" tooltip="View Full Record in Web of Science" display="View Full Record in Web of Science"/>
    <hyperlink ref="BF216" r:id="rId_hyperlink_419" tooltip="http://dx.doi.org/10.1016/j.jclepro.2020.123403" display="http://dx.doi.org/10.1016/j.jclepro.2020.123403"/>
    <hyperlink ref="BT216" r:id="rId_hyperlink_420" tooltip="View Full Record in Web of Science" display="View Full Record in Web of Science"/>
    <hyperlink ref="BF217" r:id="rId_hyperlink_421" tooltip="http://dx.doi.org/10.1016/j.ecolind.2019.105861" display="http://dx.doi.org/10.1016/j.ecolind.2019.105861"/>
    <hyperlink ref="BT217" r:id="rId_hyperlink_422" tooltip="View Full Record in Web of Science" display="View Full Record in Web of Science"/>
    <hyperlink ref="BF218" r:id="rId_hyperlink_423" tooltip="http://dx.doi.org/10.3390/en15145243" display="http://dx.doi.org/10.3390/en15145243"/>
    <hyperlink ref="BT218" r:id="rId_hyperlink_424" tooltip="View Full Record in Web of Science" display="View Full Record in Web of Science"/>
    <hyperlink ref="BF219" r:id="rId_hyperlink_425" tooltip="http://dx.doi.org/10.1016/j.jclepro.2017.07.055" display="http://dx.doi.org/10.1016/j.jclepro.2017.07.055"/>
    <hyperlink ref="BT219" r:id="rId_hyperlink_426" tooltip="View Full Record in Web of Science" display="View Full Record in Web of Science"/>
    <hyperlink ref="BF220" r:id="rId_hyperlink_427" tooltip="http://dx.doi.org/10.1111/jiec.13434" display="http://dx.doi.org/10.1111/jiec.13434"/>
    <hyperlink ref="BT220" r:id="rId_hyperlink_428" tooltip="View Full Record in Web of Science" display="View Full Record in Web of Science"/>
    <hyperlink ref="BF221" r:id="rId_hyperlink_429" tooltip="http://dx.doi.org/10.3390/su9081481" display="http://dx.doi.org/10.3390/su9081481"/>
    <hyperlink ref="BT221" r:id="rId_hyperlink_430" tooltip="View Full Record in Web of Science" display="View Full Record in Web of Science"/>
    <hyperlink ref="BF222" r:id="rId_hyperlink_431" tooltip="http://dx.doi.org/10.1111/j.1530-9290.2009.00130.x" display="http://dx.doi.org/10.1111/j.1530-9290.2009.00130.x"/>
    <hyperlink ref="BT222" r:id="rId_hyperlink_432" tooltip="View Full Record in Web of Science" display="View Full Record in Web of Science"/>
    <hyperlink ref="BF223" r:id="rId_hyperlink_433" tooltip="http://dx.doi.org/10.1016/j.resconrec.2018.06.010" display="http://dx.doi.org/10.1016/j.resconrec.2018.06.010"/>
    <hyperlink ref="BT223" r:id="rId_hyperlink_434" tooltip="View Full Record in Web of Science" display="View Full Record in Web of Science"/>
    <hyperlink ref="BF224" r:id="rId_hyperlink_435" tooltip="http://dx.doi.org/10.3390/su11102766" display="http://dx.doi.org/10.3390/su11102766"/>
    <hyperlink ref="BT224" r:id="rId_hyperlink_436" tooltip="View Full Record in Web of Science" display="View Full Record in Web of Science"/>
    <hyperlink ref="BF225" r:id="rId_hyperlink_437" tooltip="http://dx.doi.org/10.1016/j.scitotenv.2019.01.252" display="http://dx.doi.org/10.1016/j.scitotenv.2019.01.252"/>
    <hyperlink ref="BT225" r:id="rId_hyperlink_438" tooltip="View Full Record in Web of Science" display="View Full Record in Web of Science"/>
    <hyperlink ref="BF226" r:id="rId_hyperlink_439" tooltip="http://dx.doi.org/10.1016/j.jenvman.2013.03.009" display="http://dx.doi.org/10.1016/j.jenvman.2013.03.009"/>
    <hyperlink ref="BT226" r:id="rId_hyperlink_440" tooltip="View Full Record in Web of Science" display="View Full Record in Web of Science"/>
    <hyperlink ref="BF227" r:id="rId_hyperlink_441" tooltip="http://dx.doi.org/10.1080/1573062X.2015.1024686" display="http://dx.doi.org/10.1080/1573062X.2015.1024686"/>
    <hyperlink ref="BT227" r:id="rId_hyperlink_442" tooltip="View Full Record in Web of Science" display="View Full Record in Web of Science"/>
    <hyperlink ref="BF228" r:id="rId_hyperlink_443" tooltip="http://dx.doi.org/10.1016/j.rser.2016.04.015" display="http://dx.doi.org/10.1016/j.rser.2016.04.015"/>
    <hyperlink ref="BT228" r:id="rId_hyperlink_444" tooltip="View Full Record in Web of Science" display="View Full Record in Web of Science"/>
    <hyperlink ref="BF229" r:id="rId_hyperlink_445" tooltip="http://dx.doi.org/10.1016/j.ecolecon.2015.07.027" display="http://dx.doi.org/10.1016/j.ecolecon.2015.07.027"/>
    <hyperlink ref="BT229" r:id="rId_hyperlink_446" tooltip="View Full Record in Web of Science" display="View Full Record in Web of Science"/>
    <hyperlink ref="BF230" r:id="rId_hyperlink_447" tooltip="http://dx.doi.org/10.1007/s11355-019-00377-8" display="http://dx.doi.org/10.1007/s11355-019-00377-8"/>
    <hyperlink ref="BT230" r:id="rId_hyperlink_448" tooltip="View Full Record in Web of Science" display="View Full Record in Web of Science"/>
    <hyperlink ref="BF231" r:id="rId_hyperlink_449" tooltip="http://dx.doi.org/10.3389/frsc.2020.00040" display="http://dx.doi.org/10.3389/frsc.2020.00040"/>
    <hyperlink ref="BT231" r:id="rId_hyperlink_450" tooltip="View Full Record in Web of Science" display="View Full Record in Web of Science"/>
    <hyperlink ref="BF232" r:id="rId_hyperlink_451" tooltip="http://dx.doi.org/10.17645/up.v4i1.1549" display="http://dx.doi.org/10.17645/up.v4i1.1549"/>
    <hyperlink ref="BT232" r:id="rId_hyperlink_452" tooltip="View Full Record in Web of Science" display="View Full Record in Web of Science"/>
    <hyperlink ref="BF233" r:id="rId_hyperlink_453" tooltip="http://dx.doi.org/10.1177/23998083221140892" display="http://dx.doi.org/10.1177/23998083221140892"/>
    <hyperlink ref="BT233" r:id="rId_hyperlink_454" tooltip="View Full Record in Web of Science" display="View Full Record in Web of Science"/>
    <hyperlink ref="BF234" r:id="rId_hyperlink_455" tooltip="http://dx.doi.org/10.1111/jiec.12422" display="http://dx.doi.org/10.1111/jiec.12422"/>
    <hyperlink ref="BT234" r:id="rId_hyperlink_456" tooltip="View Full Record in Web of Science" display="View Full Record in Web of Science"/>
    <hyperlink ref="BF235" r:id="rId_hyperlink_457" tooltip="http://dx.doi.org/10.1111/1468-2427.12049" display="http://dx.doi.org/10.1111/1468-2427.12049"/>
    <hyperlink ref="BT235" r:id="rId_hyperlink_458" tooltip="View Full Record in Web of Science" display="View Full Record in Web of Science"/>
    <hyperlink ref="BF236" r:id="rId_hyperlink_459" tooltip="http://dx.doi.org/10.1016/j.landurbplan.2012.10.002" display="http://dx.doi.org/10.1016/j.landurbplan.2012.10.002"/>
    <hyperlink ref="BT236" r:id="rId_hyperlink_460" tooltip="View Full Record in Web of Science" display="View Full Record in Web of Science"/>
    <hyperlink ref="BF237" r:id="rId_hyperlink_461" tooltip="http://dx.doi.org/10.1016/j.geoforum.2012.02.006" display="http://dx.doi.org/10.1016/j.geoforum.2012.02.006"/>
    <hyperlink ref="BT237" r:id="rId_hyperlink_462" tooltip="View Full Record in Web of Science" display="View Full Record in Web of Science"/>
    <hyperlink ref="BF238" r:id="rId_hyperlink_463" tooltip="http://dx.doi.org/10.14207/ejsd.2021.v10n4p121" display="http://dx.doi.org/10.14207/ejsd.2021.v10n4p121"/>
    <hyperlink ref="BT238" r:id="rId_hyperlink_464" tooltip="View Full Record in Web of Science" display="View Full Record in Web of Science"/>
    <hyperlink ref="BF239" r:id="rId_hyperlink_465" tooltip="http://dx.doi.org/10.1016/j.jclepro.2020.121770" display="http://dx.doi.org/10.1016/j.jclepro.2020.121770"/>
    <hyperlink ref="BT239" r:id="rId_hyperlink_466" tooltip="View Full Record in Web of Science" display="View Full Record in Web of Science"/>
    <hyperlink ref="BF240" r:id="rId_hyperlink_467" tooltip="http://dx.doi.org/10.1007/s11769-016-0830-1" display="http://dx.doi.org/10.1007/s11769-016-0830-1"/>
    <hyperlink ref="BT240" r:id="rId_hyperlink_468" tooltip="View Full Record in Web of Science" display="View Full Record in Web of Science"/>
    <hyperlink ref="BF241" r:id="rId_hyperlink_469" tooltip="http://dx.doi.org/10.1016/j.geoforum.2018.10.017" display="http://dx.doi.org/10.1016/j.geoforum.2018.10.017"/>
    <hyperlink ref="BT241" r:id="rId_hyperlink_470" tooltip="View Full Record in Web of Science" display="View Full Record in Web of Science"/>
    <hyperlink ref="BF242" r:id="rId_hyperlink_471" tooltip="http://dx.doi.org/10.1016/j.ecolmodel.2014.06.001" display="http://dx.doi.org/10.1016/j.ecolmodel.2014.06.001"/>
    <hyperlink ref="BT242" r:id="rId_hyperlink_472" tooltip="View Full Record in Web of Science" display="View Full Record in Web of Science"/>
    <hyperlink ref="BF243" r:id="rId_hyperlink_473" tooltip="http://dx.doi.org/10.3390/su7078461" display="http://dx.doi.org/10.3390/su7078461"/>
    <hyperlink ref="BT243" r:id="rId_hyperlink_474" tooltip="View Full Record in Web of Science" display="View Full Record in Web of Science"/>
    <hyperlink ref="BF244" r:id="rId_hyperlink_475" tooltip="http://dx.doi.org/10.1680/ensu.12.00038" display="http://dx.doi.org/10.1680/ensu.12.00038"/>
    <hyperlink ref="BT244" r:id="rId_hyperlink_476" tooltip="View Full Record in Web of Science" display="View Full Record in Web of Science"/>
    <hyperlink ref="BF245" r:id="rId_hyperlink_477" tooltip="http://dx.doi.org/10.3390/su14031569" display="http://dx.doi.org/10.3390/su14031569"/>
    <hyperlink ref="BT245" r:id="rId_hyperlink_478" tooltip="View Full Record in Web of Science" display="View Full Record in Web of Science"/>
    <hyperlink ref="BF246" r:id="rId_hyperlink_479" tooltip="http://dx.doi.org/10.1016/j.jenvman.2020.110315" display="http://dx.doi.org/10.1016/j.jenvman.2020.110315"/>
    <hyperlink ref="BT246" r:id="rId_hyperlink_480" tooltip="View Full Record in Web of Science" display="View Full Record in Web of Science"/>
    <hyperlink ref="BF247" r:id="rId_hyperlink_481" tooltip="http://dx.doi.org/10.1016/j.regsus.2020.07.001" display="http://dx.doi.org/10.1016/j.regsus.2020.07.001"/>
    <hyperlink ref="BT247" r:id="rId_hyperlink_482" tooltip="View Full Record in Web of Science" display="View Full Record in Web of Science"/>
    <hyperlink ref="BF248" r:id="rId_hyperlink_483" tooltip="http://dx.doi.org/10.1016/j.jenvman.2021.112715" display="http://dx.doi.org/10.1016/j.jenvman.2021.112715"/>
    <hyperlink ref="BT248" r:id="rId_hyperlink_484" tooltip="View Full Record in Web of Science" display="View Full Record in Web of Science"/>
    <hyperlink ref="BF249" r:id="rId_hyperlink_485" tooltip="http://dx.doi.org/10.1016/j.ecolmodel.2018.04.020" display="http://dx.doi.org/10.1016/j.ecolmodel.2018.04.020"/>
    <hyperlink ref="BT249" r:id="rId_hyperlink_486" tooltip="View Full Record in Web of Science" display="View Full Record in Web of Science"/>
    <hyperlink ref="BF250" r:id="rId_hyperlink_487" tooltip="http://dx.doi.org/10.1111/jiec.13439" display="http://dx.doi.org/10.1111/jiec.13439"/>
    <hyperlink ref="BT250" r:id="rId_hyperlink_488" tooltip="View Full Record in Web of Science" display="View Full Record in Web of Science"/>
    <hyperlink ref="BF251" r:id="rId_hyperlink_489" tooltip="http://dx.doi.org/10.1146/annurev-environ-112621-063931" display="http://dx.doi.org/10.1146/annurev-environ-112621-063931"/>
    <hyperlink ref="BT251" r:id="rId_hyperlink_490" tooltip="View Full Record in Web of Science" display="View Full Record in Web of Science"/>
    <hyperlink ref="BF252" r:id="rId_hyperlink_491" tooltip="http://dx.doi.org/10.1016/j.jclepro.2018.01.056" display="http://dx.doi.org/10.1016/j.jclepro.2018.01.056"/>
    <hyperlink ref="BT252" r:id="rId_hyperlink_492" tooltip="View Full Record in Web of Science" display="View Full Record in Web of Science"/>
    <hyperlink ref="BF253" r:id="rId_hyperlink_493" tooltip="http://dx.doi.org/10.6092/2281-4574/10103" display="http://dx.doi.org/10.6092/2281-4574/10103"/>
    <hyperlink ref="BT253" r:id="rId_hyperlink_494" tooltip="View Full Record in Web of Science" display="View Full Record in Web of Science"/>
    <hyperlink ref="BF254" r:id="rId_hyperlink_495" tooltip="http://dx.doi.org/10.1007/s10113-015-0918-7" display="http://dx.doi.org/10.1007/s10113-015-0918-7"/>
    <hyperlink ref="BT254" r:id="rId_hyperlink_496" tooltip="View Full Record in Web of Science" display="View Full Record in Web of Science"/>
    <hyperlink ref="BF255" r:id="rId_hyperlink_497" tooltip="http://dx.doi.org/10.1016/j.jclepro.2022.132951" display="http://dx.doi.org/10.1016/j.jclepro.2022.132951"/>
    <hyperlink ref="BT255" r:id="rId_hyperlink_498" tooltip="View Full Record in Web of Science" display="View Full Record in Web of Science"/>
    <hyperlink ref="BF256" r:id="rId_hyperlink_499" tooltip="http://dx.doi.org/10.1016/j.enbuild.2017.12.005" display="http://dx.doi.org/10.1016/j.enbuild.2017.12.005"/>
    <hyperlink ref="BT256" r:id="rId_hyperlink_500" tooltip="View Full Record in Web of Science" display="View Full Record in Web of Science"/>
    <hyperlink ref="BF257" r:id="rId_hyperlink_501" tooltip="http://dx.doi.org/10.3390/su11030855" display="http://dx.doi.org/10.3390/su11030855"/>
    <hyperlink ref="BT257" r:id="rId_hyperlink_502" tooltip="View Full Record in Web of Science" display="View Full Record in Web of Science"/>
    <hyperlink ref="BF258" r:id="rId_hyperlink_503" tooltip="http://dx.doi.org/10.1016/j.techfore.2015.05.012" display="http://dx.doi.org/10.1016/j.techfore.2015.05.012"/>
    <hyperlink ref="BT258" r:id="rId_hyperlink_504" tooltip="View Full Record in Web of Science" display="View Full Record in Web of Science"/>
    <hyperlink ref="BF259" r:id="rId_hyperlink_505" tooltip="http://dx.doi.org/10.1016/j.rser.2021.111561" display="http://dx.doi.org/10.1016/j.rser.2021.111561"/>
    <hyperlink ref="BT259" r:id="rId_hyperlink_506" tooltip="View Full Record in Web of Science" display="View Full Record in Web of Science"/>
    <hyperlink ref="BF260" r:id="rId_hyperlink_507" tooltip="http://dx.doi.org/10.1016/j.resconrec.2020.105167" display="http://dx.doi.org/10.1016/j.resconrec.2020.105167"/>
    <hyperlink ref="BT260" r:id="rId_hyperlink_508" tooltip="View Full Record in Web of Science" display="View Full Record in Web of Science"/>
    <hyperlink ref="BF261" r:id="rId_hyperlink_509" tooltip="http://dx.doi.org/10.1016/j.scitotenv.2013.10.041" display="http://dx.doi.org/10.1016/j.scitotenv.2013.10.041"/>
    <hyperlink ref="BT261" r:id="rId_hyperlink_510" tooltip="View Full Record in Web of Science" display="View Full Record in Web of Science"/>
    <hyperlink ref="BF262" r:id="rId_hyperlink_511" tooltip="http://dx.doi.org/10.1021/es204662k" display="http://dx.doi.org/10.1021/es204662k"/>
    <hyperlink ref="BT262" r:id="rId_hyperlink_512" tooltip="View Full Record in Web of Science" display="View Full Record in Web of Science"/>
    <hyperlink ref="BF263" r:id="rId_hyperlink_513" tooltip="http://dx.doi.org/10.3389/fbuil.2022.954642" display="http://dx.doi.org/10.3389/fbuil.2022.954642"/>
    <hyperlink ref="BT263" r:id="rId_hyperlink_514" tooltip="View Full Record in Web of Science" display="View Full Record in Web of Science"/>
    <hyperlink ref="BF264" r:id="rId_hyperlink_515" tooltip="http://dx.doi.org/10.1007/BF02987622" display="http://dx.doi.org/10.1007/BF02987622"/>
    <hyperlink ref="BT264" r:id="rId_hyperlink_516" tooltip="View Full Record in Web of Science" display="View Full Record in Web of Science"/>
    <hyperlink ref="BF265" r:id="rId_hyperlink_517" tooltip="http://dx.doi.org/10.1007/s10705-018-9944-4" display="http://dx.doi.org/10.1007/s10705-018-9944-4"/>
    <hyperlink ref="BT265" r:id="rId_hyperlink_518" tooltip="View Full Record in Web of Science" display="View Full Record in Web of Science"/>
    <hyperlink ref="BF266" r:id="rId_hyperlink_519" tooltip="http://dx.doi.org/10.3390/su132111732" display="http://dx.doi.org/10.3390/su132111732"/>
    <hyperlink ref="BT266" r:id="rId_hyperlink_520" tooltip="View Full Record in Web of Science" display="View Full Record in Web of Science"/>
    <hyperlink ref="BF267" r:id="rId_hyperlink_521" tooltip="http://dx.doi.org/10.3390/su10040955" display="http://dx.doi.org/10.3390/su10040955"/>
    <hyperlink ref="BT267" r:id="rId_hyperlink_522" tooltip="View Full Record in Web of Science" display="View Full Record in Web of Science"/>
    <hyperlink ref="BF268" r:id="rId_hyperlink_523" tooltip="http://dx.doi.org/10.3390/ijerph17072463" display="http://dx.doi.org/10.3390/ijerph17072463"/>
    <hyperlink ref="BT268" r:id="rId_hyperlink_524" tooltip="View Full Record in Web of Science" display="View Full Record in Web of Science"/>
    <hyperlink ref="BF269" r:id="rId_hyperlink_525" tooltip="http://dx.doi.org/10.1007/s11367-017-1411-y" display="http://dx.doi.org/10.1007/s11367-017-1411-y"/>
    <hyperlink ref="BT269" r:id="rId_hyperlink_526" tooltip="View Full Record in Web of Science" display="View Full Record in Web of Science"/>
    <hyperlink ref="BF270" r:id="rId_hyperlink_527" tooltip="http://dx.doi.org/10.1038/s42949-022-00076-8" display="http://dx.doi.org/10.1038/s42949-022-00076-8"/>
    <hyperlink ref="BT270" r:id="rId_hyperlink_528" tooltip="View Full Record in Web of Science" display="View Full Record in Web of Science"/>
    <hyperlink ref="BT271" r:id="rId_hyperlink_529" tooltip="View Full Record in Web of Science" display="View Full Record in Web of Science"/>
    <hyperlink ref="BF272" r:id="rId_hyperlink_530" tooltip="http://dx.doi.org/10.1016/j.scs.2021.102977" display="http://dx.doi.org/10.1016/j.scs.2021.102977"/>
    <hyperlink ref="BT272" r:id="rId_hyperlink_531" tooltip="View Full Record in Web of Science" display="View Full Record in Web of Science"/>
    <hyperlink ref="BF273" r:id="rId_hyperlink_532" tooltip="http://dx.doi.org/10.3390/su12030802" display="http://dx.doi.org/10.3390/su12030802"/>
    <hyperlink ref="BT273" r:id="rId_hyperlink_533" tooltip="View Full Record in Web of Science" display="View Full Record in Web of Science"/>
    <hyperlink ref="BF274" r:id="rId_hyperlink_534" tooltip="http://dx.doi.org/10.1016/j.resconrec.2016.07.017" display="http://dx.doi.org/10.1016/j.resconrec.2016.07.017"/>
    <hyperlink ref="BT274" r:id="rId_hyperlink_535" tooltip="View Full Record in Web of Science" display="View Full Record in Web of Science"/>
    <hyperlink ref="BF275" r:id="rId_hyperlink_536" tooltip="http://dx.doi.org/10.17645/up.v8i3.6757" display="http://dx.doi.org/10.17645/up.v8i3.6757"/>
    <hyperlink ref="BT275" r:id="rId_hyperlink_537" tooltip="View Full Record in Web of Science" display="View Full Record in Web of Science"/>
    <hyperlink ref="BF276" r:id="rId_hyperlink_538" tooltip="http://dx.doi.org/10.3390/ijerph19095177" display="http://dx.doi.org/10.3390/ijerph19095177"/>
    <hyperlink ref="BT276" r:id="rId_hyperlink_539" tooltip="View Full Record in Web of Science" display="View Full Record in Web of Science"/>
    <hyperlink ref="BF277" r:id="rId_hyperlink_540" tooltip="http://dx.doi.org/10.1111/jiec.12776" display="http://dx.doi.org/10.1111/jiec.12776"/>
    <hyperlink ref="BT277" r:id="rId_hyperlink_541" tooltip="View Full Record in Web of Science" display="View Full Record in Web of Science"/>
    <hyperlink ref="BF278" r:id="rId_hyperlink_542" tooltip="http://dx.doi.org/10.1016/j.enbuild.2015.09.058" display="http://dx.doi.org/10.1016/j.enbuild.2015.09.058"/>
    <hyperlink ref="BT278" r:id="rId_hyperlink_543" tooltip="View Full Record in Web of Science" display="View Full Record in Web of Science"/>
    <hyperlink ref="BF279" r:id="rId_hyperlink_544" tooltip="http://dx.doi.org/10.1111/jiec.13043" display="http://dx.doi.org/10.1111/jiec.13043"/>
    <hyperlink ref="BT279" r:id="rId_hyperlink_545" tooltip="View Full Record in Web of Science" display="View Full Record in Web of Science"/>
    <hyperlink ref="BF280" r:id="rId_hyperlink_546" tooltip="http://dx.doi.org/10.1016/j.ecolind.2019.105750" display="http://dx.doi.org/10.1016/j.ecolind.2019.105750"/>
    <hyperlink ref="BT280" r:id="rId_hyperlink_547" tooltip="View Full Record in Web of Science" display="View Full Record in Web of Science"/>
    <hyperlink ref="BF281" r:id="rId_hyperlink_548" tooltip="http://dx.doi.org/10.3390/biomimetics6040064" display="http://dx.doi.org/10.3390/biomimetics6040064"/>
    <hyperlink ref="BT281" r:id="rId_hyperlink_549" tooltip="View Full Record in Web of Science" display="View Full Record in Web of Science"/>
    <hyperlink ref="BF282" r:id="rId_hyperlink_550" tooltip="http://dx.doi.org/10.1073/pnas.1504315112" display="http://dx.doi.org/10.1073/pnas.1504315112"/>
    <hyperlink ref="BT282" r:id="rId_hyperlink_551" tooltip="View Full Record in Web of Science" display="View Full Record in Web of Science"/>
    <hyperlink ref="BF283" r:id="rId_hyperlink_552" tooltip="http://dx.doi.org/10.1007/s10668-023-03671-6" display="http://dx.doi.org/10.1007/s10668-023-03671-6"/>
    <hyperlink ref="BT283" r:id="rId_hyperlink_553" tooltip="View Full Record in Web of Science" display="View Full Record in Web of Science"/>
    <hyperlink ref="BF284" r:id="rId_hyperlink_554" tooltip="http://dx.doi.org/10.1016/j.jclepro.2020.120564" display="http://dx.doi.org/10.1016/j.jclepro.2020.120564"/>
    <hyperlink ref="BT284" r:id="rId_hyperlink_555" tooltip="View Full Record in Web of Science" display="View Full Record in Web of Science"/>
    <hyperlink ref="BF285" r:id="rId_hyperlink_556" tooltip="http://dx.doi.org/10.1016/j.scs.2019.101565" display="http://dx.doi.org/10.1016/j.scs.2019.101565"/>
    <hyperlink ref="BT285" r:id="rId_hyperlink_557" tooltip="View Full Record in Web of Science" display="View Full Record in Web of Science"/>
    <hyperlink ref="BF286" r:id="rId_hyperlink_558" tooltip="http://dx.doi.org/10.1016/j.cacint.2020.100055" display="http://dx.doi.org/10.1016/j.cacint.2020.100055"/>
    <hyperlink ref="BT286" r:id="rId_hyperlink_559" tooltip="View Full Record in Web of Science" display="View Full Record in Web of Science"/>
    <hyperlink ref="BF287" r:id="rId_hyperlink_560" tooltip="http://dx.doi.org/10.3390/su11184875" display="http://dx.doi.org/10.3390/su11184875"/>
    <hyperlink ref="BT287" r:id="rId_hyperlink_561" tooltip="View Full Record in Web of Science" display="View Full Record in Web of Science"/>
    <hyperlink ref="BF288" r:id="rId_hyperlink_562" tooltip="http://dx.doi.org/10.1111/j.1530-9290.2008.00103.x" display="http://dx.doi.org/10.1111/j.1530-9290.2008.00103.x"/>
    <hyperlink ref="BT288" r:id="rId_hyperlink_563" tooltip="View Full Record in Web of Science" display="View Full Record in Web of Science"/>
    <hyperlink ref="BF289" r:id="rId_hyperlink_564" tooltip="http://dx.doi.org/10.1088/1748-9326/ac881e" display="http://dx.doi.org/10.1088/1748-9326/ac881e"/>
    <hyperlink ref="BT289" r:id="rId_hyperlink_565" tooltip="View Full Record in Web of Science" display="View Full Record in Web of Science"/>
    <hyperlink ref="BF290" r:id="rId_hyperlink_566" tooltip="http://dx.doi.org/10.3390/rs12030370" display="http://dx.doi.org/10.3390/rs12030370"/>
    <hyperlink ref="BT290" r:id="rId_hyperlink_567" tooltip="View Full Record in Web of Science" display="View Full Record in Web of Science"/>
    <hyperlink ref="BT291" r:id="rId_hyperlink_568" tooltip="View Full Record in Web of Science" display="View Full Record in Web of Science"/>
    <hyperlink ref="BF292" r:id="rId_hyperlink_569" tooltip="http://dx.doi.org/10.1111/j.1530-9290.2011.00357.x" display="http://dx.doi.org/10.1111/j.1530-9290.2011.00357.x"/>
    <hyperlink ref="BT292" r:id="rId_hyperlink_570" tooltip="View Full Record in Web of Science" display="View Full Record in Web of Science"/>
    <hyperlink ref="BF293" r:id="rId_hyperlink_571" tooltip="http://dx.doi.org/10.1016/j.jclepro.2015.06.052" display="http://dx.doi.org/10.1016/j.jclepro.2015.06.052"/>
    <hyperlink ref="BT293" r:id="rId_hyperlink_572" tooltip="View Full Record in Web of Science" display="View Full Record in Web of Science"/>
    <hyperlink ref="BF294" r:id="rId_hyperlink_573" tooltip="http://dx.doi.org/10.1016/j.jclepro.2020.123010" display="http://dx.doi.org/10.1016/j.jclepro.2020.123010"/>
    <hyperlink ref="BT294" r:id="rId_hyperlink_574" tooltip="View Full Record in Web of Science" display="View Full Record in Web of Science"/>
    <hyperlink ref="BF295" r:id="rId_hyperlink_575" tooltip="http://dx.doi.org/10.1021/acs.est.7b01694" display="http://dx.doi.org/10.1021/acs.est.7b01694"/>
    <hyperlink ref="BT295" r:id="rId_hyperlink_576" tooltip="View Full Record in Web of Science" display="View Full Record in Web of Science"/>
    <hyperlink ref="BF296" r:id="rId_hyperlink_577" tooltip="http://dx.doi.org/10.3390/su11226294" display="http://dx.doi.org/10.3390/su11226294"/>
    <hyperlink ref="BT296" r:id="rId_hyperlink_578" tooltip="View Full Record in Web of Science" display="View Full Record in Web of Science"/>
    <hyperlink ref="BF297" r:id="rId_hyperlink_579" tooltip="http://dx.doi.org/10.1016/j.cities.2012.06.009" display="http://dx.doi.org/10.1016/j.cities.2012.06.009"/>
    <hyperlink ref="BT297" r:id="rId_hyperlink_580" tooltip="View Full Record in Web of Science" display="View Full Record in Web of Science"/>
    <hyperlink ref="BF298" r:id="rId_hyperlink_581" tooltip="http://dx.doi.org/10.1016/j.ecolmodel.2022.110010" display="http://dx.doi.org/10.1016/j.ecolmodel.2022.110010"/>
    <hyperlink ref="BT298" r:id="rId_hyperlink_582" tooltip="View Full Record in Web of Science" display="View Full Record in Web of Science"/>
    <hyperlink ref="BF299" r:id="rId_hyperlink_583" tooltip="http://dx.doi.org/10.3390/cli8040052" display="http://dx.doi.org/10.3390/cli8040052"/>
    <hyperlink ref="BT299" r:id="rId_hyperlink_584" tooltip="View Full Record in Web of Science" display="View Full Record in Web of Science"/>
    <hyperlink ref="BF300" r:id="rId_hyperlink_585" tooltip="http://dx.doi.org/10.1016/j.apenergy.2016.09.025" display="http://dx.doi.org/10.1016/j.apenergy.2016.09.025"/>
    <hyperlink ref="BT300" r:id="rId_hyperlink_586" tooltip="View Full Record in Web of Science" display="View Full Record in Web of Science"/>
    <hyperlink ref="BF301" r:id="rId_hyperlink_587" tooltip="http://dx.doi.org/10.1016/j.resconrec.2013.10.016" display="http://dx.doi.org/10.1016/j.resconrec.2013.10.016"/>
    <hyperlink ref="BT301" r:id="rId_hyperlink_588" tooltip="View Full Record in Web of Science" display="View Full Record in Web of Science"/>
    <hyperlink ref="BF302" r:id="rId_hyperlink_589" tooltip="http://dx.doi.org/10.1016/j.cesys.2022.100080" display="http://dx.doi.org/10.1016/j.cesys.2022.100080"/>
    <hyperlink ref="BT302" r:id="rId_hyperlink_590" tooltip="View Full Record in Web of Science" display="View Full Record in Web of Science"/>
    <hyperlink ref="BF303" r:id="rId_hyperlink_591" tooltip="http://dx.doi.org/10.1016/j.ecolmodel.2006.02.001" display="http://dx.doi.org/10.1016/j.ecolmodel.2006.02.001"/>
    <hyperlink ref="BT303" r:id="rId_hyperlink_592" tooltip="View Full Record in Web of Science" display="View Full Record in Web of Science"/>
    <hyperlink ref="BF304" r:id="rId_hyperlink_593" tooltip="http://dx.doi.org/10.1007/s11367-018-1494-0" display="http://dx.doi.org/10.1007/s11367-018-1494-0"/>
    <hyperlink ref="BT304" r:id="rId_hyperlink_594" tooltip="View Full Record in Web of Science" display="View Full Record in Web of Science"/>
    <hyperlink ref="BF305" r:id="rId_hyperlink_595" tooltip="http://dx.doi.org/10.1016/j.cities.2017.06.005" display="http://dx.doi.org/10.1016/j.cities.2017.06.005"/>
    <hyperlink ref="BT305" r:id="rId_hyperlink_596" tooltip="View Full Record in Web of Science" display="View Full Record in Web of Science"/>
    <hyperlink ref="BF306" r:id="rId_hyperlink_597" tooltip="http://dx.doi.org/10.1111/jiec.12456" display="http://dx.doi.org/10.1111/jiec.12456"/>
    <hyperlink ref="BT306" r:id="rId_hyperlink_598" tooltip="View Full Record in Web of Science" display="View Full Record in Web of Science"/>
    <hyperlink ref="BT307" r:id="rId_hyperlink_599" tooltip="View Full Record in Web of Science" display="View Full Record in Web of Science"/>
    <hyperlink ref="BF308" r:id="rId_hyperlink_600" tooltip="http://dx.doi.org/10.1111/jiec.12508" display="http://dx.doi.org/10.1111/jiec.12508"/>
    <hyperlink ref="BT308" r:id="rId_hyperlink_601" tooltip="View Full Record in Web of Science" display="View Full Record in Web of Science"/>
    <hyperlink ref="BF309" r:id="rId_hyperlink_602" tooltip="http://dx.doi.org/10.1016/j.ecolmodel.2009.04.002" display="http://dx.doi.org/10.1016/j.ecolmodel.2009.04.002"/>
    <hyperlink ref="BT309" r:id="rId_hyperlink_603" tooltip="View Full Record in Web of Science" display="View Full Record in Web of Science"/>
    <hyperlink ref="BF310" r:id="rId_hyperlink_604" tooltip="http://dx.doi.org/10.1111/jiec.12461" display="http://dx.doi.org/10.1111/jiec.12461"/>
    <hyperlink ref="BT310" r:id="rId_hyperlink_605" tooltip="View Full Record in Web of Science" display="View Full Record in Web of Science"/>
    <hyperlink ref="BF311" r:id="rId_hyperlink_606" tooltip="http://dx.doi.org/10.1080/21683565.2017.1334737" display="http://dx.doi.org/10.1080/21683565.2017.1334737"/>
    <hyperlink ref="BT311" r:id="rId_hyperlink_607" tooltip="View Full Record in Web of Science" display="View Full Record in Web of Science"/>
    <hyperlink ref="BF312" r:id="rId_hyperlink_608" tooltip="http://dx.doi.org/10.1016/j.jclepro.2015.10.053" display="http://dx.doi.org/10.1016/j.jclepro.2015.10.053"/>
    <hyperlink ref="BT312" r:id="rId_hyperlink_609" tooltip="View Full Record in Web of Science" display="View Full Record in Web of Science"/>
    <hyperlink ref="BF313" r:id="rId_hyperlink_610" tooltip="http://dx.doi.org/10.1016/j.scitotenv.2022.155875" display="http://dx.doi.org/10.1016/j.scitotenv.2022.155875"/>
    <hyperlink ref="BT313" r:id="rId_hyperlink_611" tooltip="View Full Record in Web of Science" display="View Full Record in Web of Science"/>
    <hyperlink ref="BF314" r:id="rId_hyperlink_612" tooltip="http://dx.doi.org/10.1016/j.ecolmodel.2017.02.015" display="http://dx.doi.org/10.1016/j.ecolmodel.2017.02.015"/>
    <hyperlink ref="BT314" r:id="rId_hyperlink_613" tooltip="View Full Record in Web of Science" display="View Full Record in Web of Science"/>
    <hyperlink ref="BF315" r:id="rId_hyperlink_614" tooltip="http://dx.doi.org/10.1016/j.envdev.2016.11.006" display="http://dx.doi.org/10.1016/j.envdev.2016.11.006"/>
    <hyperlink ref="BT315" r:id="rId_hyperlink_615" tooltip="View Full Record in Web of Science" display="View Full Record in Web of Science"/>
    <hyperlink ref="BF316" r:id="rId_hyperlink_616" tooltip="http://dx.doi.org/10.1016/j.ecolmodel.2010.05.006" display="http://dx.doi.org/10.1016/j.ecolmodel.2010.05.006"/>
    <hyperlink ref="BT316" r:id="rId_hyperlink_617" tooltip="View Full Record in Web of Science" display="View Full Record in Web of Science"/>
    <hyperlink ref="BF317" r:id="rId_hyperlink_618" tooltip="http://dx.doi.org/10.3389/frsc.2019.00006" display="http://dx.doi.org/10.3389/frsc.2019.00006"/>
    <hyperlink ref="BT317" r:id="rId_hyperlink_619" tooltip="View Full Record in Web of Science" display="View Full Record in Web of Science"/>
    <hyperlink ref="BF318" r:id="rId_hyperlink_620" tooltip="http://dx.doi.org/10.3389/frsc.2019.00009" display="http://dx.doi.org/10.3389/frsc.2019.00009"/>
    <hyperlink ref="BT318" r:id="rId_hyperlink_621" tooltip="View Full Record in Web of Science" display="View Full Record in Web of Science"/>
    <hyperlink ref="BF319" r:id="rId_hyperlink_622" tooltip="http://dx.doi.org/10.1016/j.jclepro.2014.07.075" display="http://dx.doi.org/10.1016/j.jclepro.2014.07.075"/>
    <hyperlink ref="BT319" r:id="rId_hyperlink_623" tooltip="View Full Record in Web of Science" display="View Full Record in Web of Science"/>
    <hyperlink ref="BF320" r:id="rId_hyperlink_624" tooltip="http://dx.doi.org/10.1111/jiec.12299" display="http://dx.doi.org/10.1111/jiec.12299"/>
    <hyperlink ref="BT320" r:id="rId_hyperlink_625" tooltip="View Full Record in Web of Science" display="View Full Record in Web of Science"/>
    <hyperlink ref="BF321" r:id="rId_hyperlink_626" tooltip="http://dx.doi.org/10.1016/j.erss.2019.101313" display="http://dx.doi.org/10.1016/j.erss.2019.101313"/>
    <hyperlink ref="BT321" r:id="rId_hyperlink_627" tooltip="View Full Record in Web of Science" display="View Full Record in Web of Science"/>
    <hyperlink ref="BF322" r:id="rId_hyperlink_628" tooltip="http://dx.doi.org/10.1016/j.ecolind.2018.06.039" display="http://dx.doi.org/10.1016/j.ecolind.2018.06.039"/>
    <hyperlink ref="BT322" r:id="rId_hyperlink_629" tooltip="View Full Record in Web of Science" display="View Full Record in Web of Science"/>
    <hyperlink ref="BF323" r:id="rId_hyperlink_630" tooltip="http://dx.doi.org/10.1016/j.geoforum.2014.10.011" display="http://dx.doi.org/10.1016/j.geoforum.2014.10.011"/>
    <hyperlink ref="BT323" r:id="rId_hyperlink_631" tooltip="View Full Record in Web of Science" display="View Full Record in Web of Science"/>
    <hyperlink ref="BF324" r:id="rId_hyperlink_632" tooltip="http://dx.doi.org/10.1111/jiec.13254" display="http://dx.doi.org/10.1111/jiec.13254"/>
    <hyperlink ref="BT324" r:id="rId_hyperlink_633" tooltip="View Full Record in Web of Science" display="View Full Record in Web of Science"/>
    <hyperlink ref="BF325" r:id="rId_hyperlink_634" tooltip="http://dx.doi.org/10.1016/j.jenvman.2007.05.008" display="http://dx.doi.org/10.1016/j.jenvman.2007.05.008"/>
    <hyperlink ref="BT325" r:id="rId_hyperlink_635" tooltip="View Full Record in Web of Science" display="View Full Record in Web of Science"/>
    <hyperlink ref="BF326" r:id="rId_hyperlink_636" tooltip="http://dx.doi.org/10.1111/j.1530-9290.2012.00566.x" display="http://dx.doi.org/10.1111/j.1530-9290.2012.00566.x"/>
    <hyperlink ref="BT326" r:id="rId_hyperlink_637" tooltip="View Full Record in Web of Science" display="View Full Record in Web of Science"/>
    <hyperlink ref="BF327" r:id="rId_hyperlink_638" tooltip="http://dx.doi.org/10.1016/j.ecolmodel.2010.09.017" display="http://dx.doi.org/10.1016/j.ecolmodel.2010.09.017"/>
    <hyperlink ref="BT327" r:id="rId_hyperlink_639" tooltip="View Full Record in Web of Science" display="View Full Record in Web of Science"/>
    <hyperlink ref="BF328" r:id="rId_hyperlink_640" tooltip="http://dx.doi.org/10.1111/jiec.12700" display="http://dx.doi.org/10.1111/jiec.12700"/>
    <hyperlink ref="BT328" r:id="rId_hyperlink_641" tooltip="View Full Record in Web of Science" display="View Full Record in Web of Science"/>
    <hyperlink ref="BF329" r:id="rId_hyperlink_642" tooltip="http://dx.doi.org/10.1007/s10113-014-0653-5" display="http://dx.doi.org/10.1007/s10113-014-0653-5"/>
    <hyperlink ref="BT329" r:id="rId_hyperlink_643" tooltip="View Full Record in Web of Science" display="View Full Record in Web of Science"/>
    <hyperlink ref="BF330" r:id="rId_hyperlink_644" tooltip="http://dx.doi.org/10.1007/s11252-013-0342-z" display="http://dx.doi.org/10.1007/s11252-013-0342-z"/>
    <hyperlink ref="BT330" r:id="rId_hyperlink_645" tooltip="View Full Record in Web of Science" display="View Full Record in Web of Science"/>
    <hyperlink ref="BF331" r:id="rId_hyperlink_646" tooltip="http://dx.doi.org/10.1016/j.scitotenv.2015.11.110" display="http://dx.doi.org/10.1016/j.scitotenv.2015.11.110"/>
    <hyperlink ref="BT331" r:id="rId_hyperlink_647" tooltip="View Full Record in Web of Science" display="View Full Record in Web of Science"/>
    <hyperlink ref="BF332" r:id="rId_hyperlink_648" tooltip="http://dx.doi.org/10.1016/j.jclepro.2018.07.306" display="http://dx.doi.org/10.1016/j.jclepro.2018.07.306"/>
    <hyperlink ref="BT332" r:id="rId_hyperlink_649" tooltip="View Full Record in Web of Science" display="View Full Record in Web of Science"/>
    <hyperlink ref="BF333" r:id="rId_hyperlink_650" tooltip="http://dx.doi.org/10.1111/j.1530-9290.2009.00169.x" display="http://dx.doi.org/10.1111/j.1530-9290.2009.00169.x"/>
    <hyperlink ref="BT333" r:id="rId_hyperlink_651" tooltip="View Full Record in Web of Science" display="View Full Record in Web of Science"/>
    <hyperlink ref="BF334" r:id="rId_hyperlink_652" tooltip="http://dx.doi.org/10.1016/j.jclepro.2017.03.048" display="http://dx.doi.org/10.1016/j.jclepro.2017.03.048"/>
    <hyperlink ref="BT334" r:id="rId_hyperlink_653" tooltip="View Full Record in Web of Science" display="View Full Record in Web of Science"/>
    <hyperlink ref="BF335" r:id="rId_hyperlink_654" tooltip="http://dx.doi.org/10.1016/j.resconrec.2020.105095" display="http://dx.doi.org/10.1016/j.resconrec.2020.105095"/>
    <hyperlink ref="BT335" r:id="rId_hyperlink_655" tooltip="View Full Record in Web of Science" display="View Full Record in Web of Science"/>
    <hyperlink ref="BF336" r:id="rId_hyperlink_656" tooltip="http://dx.doi.org/10.1016/j.jclepro.2019.119338" display="http://dx.doi.org/10.1016/j.jclepro.2019.119338"/>
    <hyperlink ref="BT336" r:id="rId_hyperlink_657" tooltip="View Full Record in Web of Science" display="View Full Record in Web of Science"/>
    <hyperlink ref="BF337" r:id="rId_hyperlink_658" tooltip="http://dx.doi.org/10.1016/j.jclepro.2022.130402" display="http://dx.doi.org/10.1016/j.jclepro.2022.130402"/>
    <hyperlink ref="BT337" r:id="rId_hyperlink_659" tooltip="View Full Record in Web of Science" display="View Full Record in Web of Science"/>
    <hyperlink ref="BF338" r:id="rId_hyperlink_660" tooltip="http://dx.doi.org/10.1016/j.apenergy.2019.113618" display="http://dx.doi.org/10.1016/j.apenergy.2019.113618"/>
    <hyperlink ref="BT338" r:id="rId_hyperlink_661" tooltip="View Full Record in Web of Science" display="View Full Record in Web of Science"/>
    <hyperlink ref="BF339" r:id="rId_hyperlink_662" tooltip="http://dx.doi.org/10.1111/j.1530-9290.2012.00561.x" display="http://dx.doi.org/10.1111/j.1530-9290.2012.00561.x"/>
    <hyperlink ref="BT339" r:id="rId_hyperlink_663" tooltip="View Full Record in Web of Science" display="View Full Record in Web of Science"/>
    <hyperlink ref="BF340" r:id="rId_hyperlink_664" tooltip="http://dx.doi.org/10.1016/j.geoforum.2016.09.020" display="http://dx.doi.org/10.1016/j.geoforum.2016.09.020"/>
    <hyperlink ref="BT340" r:id="rId_hyperlink_665" tooltip="View Full Record in Web of Science" display="View Full Record in Web of Science"/>
    <hyperlink ref="BF341" r:id="rId_hyperlink_666" tooltip="http://dx.doi.org/10.1111/jiec.12963" display="http://dx.doi.org/10.1111/jiec.12963"/>
    <hyperlink ref="BT341" r:id="rId_hyperlink_667" tooltip="View Full Record in Web of Science" display="View Full Record in Web of Science"/>
    <hyperlink ref="BF342" r:id="rId_hyperlink_668" tooltip="http://dx.doi.org/10.1016/j.scs.2020.102486" display="http://dx.doi.org/10.1016/j.scs.2020.102486"/>
    <hyperlink ref="BT342" r:id="rId_hyperlink_669" tooltip="View Full Record in Web of Science" display="View Full Record in Web of Science"/>
    <hyperlink ref="BF343" r:id="rId_hyperlink_670" tooltip="http://dx.doi.org/10.1111/jiec.12705" display="http://dx.doi.org/10.1111/jiec.12705"/>
    <hyperlink ref="BT343" r:id="rId_hyperlink_671" tooltip="View Full Record in Web of Science" display="View Full Record in Web of Science"/>
    <hyperlink ref="BF344" r:id="rId_hyperlink_672" tooltip="http://dx.doi.org/10.15446/bitacora.v29n1.67254" display="http://dx.doi.org/10.15446/bitacora.v29n1.67254"/>
    <hyperlink ref="BT344" r:id="rId_hyperlink_673" tooltip="View Full Record in Web of Science" display="View Full Record in Web of Science"/>
    <hyperlink ref="BF345" r:id="rId_hyperlink_674" tooltip="http://dx.doi.org/10.1080/09640568.2012.657953" display="http://dx.doi.org/10.1080/09640568.2012.657953"/>
    <hyperlink ref="BT345" r:id="rId_hyperlink_675" tooltip="View Full Record in Web of Science" display="View Full Record in Web of Science"/>
    <hyperlink ref="BF346" r:id="rId_hyperlink_676" tooltip="http://dx.doi.org/10.1038/s42949-023-00132-x" display="http://dx.doi.org/10.1038/s42949-023-00132-x"/>
    <hyperlink ref="BT346" r:id="rId_hyperlink_677" tooltip="View Full Record in Web of Science" display="View Full Record in Web of Science"/>
    <hyperlink ref="BF347" r:id="rId_hyperlink_678" tooltip="http://dx.doi.org/10.18778/1231-1952.27.2.07" display="http://dx.doi.org/10.18778/1231-1952.27.2.07"/>
    <hyperlink ref="BT347" r:id="rId_hyperlink_679" tooltip="View Full Record in Web of Science" display="View Full Record in Web of Science"/>
    <hyperlink ref="BF348" r:id="rId_hyperlink_680" tooltip="http://dx.doi.org/10.1016/j.eti.2015.04.004" display="http://dx.doi.org/10.1016/j.eti.2015.04.004"/>
    <hyperlink ref="BT348" r:id="rId_hyperlink_681" tooltip="View Full Record in Web of Science" display="View Full Record in Web of Science"/>
    <hyperlink ref="BT349" r:id="rId_hyperlink_682" tooltip="View Full Record in Web of Science" display="View Full Record in Web of Science"/>
    <hyperlink ref="BF350" r:id="rId_hyperlink_683" tooltip="http://dx.doi.org/10.1016/j.wasman.2009.05.008" display="http://dx.doi.org/10.1016/j.wasman.2009.05.008"/>
    <hyperlink ref="BT350" r:id="rId_hyperlink_684" tooltip="View Full Record in Web of Science" display="View Full Record in Web of Science"/>
    <hyperlink ref="BF351" r:id="rId_hyperlink_685" tooltip="http://dx.doi.org/10.18778/1231-1952.27.2.05" display="http://dx.doi.org/10.18778/1231-1952.27.2.05"/>
    <hyperlink ref="BT351" r:id="rId_hyperlink_686" tooltip="View Full Record in Web of Science" display="View Full Record in Web of Science"/>
    <hyperlink ref="BF352" r:id="rId_hyperlink_687" tooltip="http://dx.doi.org/10.1016/j.ecolind.2014.04.022" display="http://dx.doi.org/10.1016/j.ecolind.2014.04.022"/>
    <hyperlink ref="BT352" r:id="rId_hyperlink_688" tooltip="View Full Record in Web of Science" display="View Full Record in Web of Science"/>
    <hyperlink ref="BF353" r:id="rId_hyperlink_689" tooltip="http://dx.doi.org/10.1016/j.ecolind.2018.12.019" display="http://dx.doi.org/10.1016/j.ecolind.2018.12.019"/>
    <hyperlink ref="BT353" r:id="rId_hyperlink_690" tooltip="View Full Record in Web of Science" display="View Full Record in Web of Science"/>
    <hyperlink ref="BF354" r:id="rId_hyperlink_691" tooltip="http://dx.doi.org/10.1111/jiec.13114" display="http://dx.doi.org/10.1111/jiec.13114"/>
    <hyperlink ref="BT354" r:id="rId_hyperlink_692" tooltip="View Full Record in Web of Science" display="View Full Record in Web of Science"/>
    <hyperlink ref="BF355" r:id="rId_hyperlink_693" tooltip="http://dx.doi.org/10.1016/j.watres.2023.120140" display="http://dx.doi.org/10.1016/j.watres.2023.120140"/>
    <hyperlink ref="BT355" r:id="rId_hyperlink_694" tooltip="View Full Record in Web of Science" display="View Full Record in Web of Science"/>
    <hyperlink ref="BF356" r:id="rId_hyperlink_695" tooltip="http://dx.doi.org/10.1016/j.ecolmodel.2021.109532" display="http://dx.doi.org/10.1016/j.ecolmodel.2021.109532"/>
    <hyperlink ref="BT356" r:id="rId_hyperlink_696" tooltip="View Full Record in Web of Science" display="View Full Record in Web of Science"/>
    <hyperlink ref="BF357" r:id="rId_hyperlink_697" tooltip="http://dx.doi.org/10.1111/jiec.12384" display="http://dx.doi.org/10.1111/jiec.12384"/>
    <hyperlink ref="BT357" r:id="rId_hyperlink_698" tooltip="View Full Record in Web of Science" display="View Full Record in Web of Science"/>
    <hyperlink ref="BF358" r:id="rId_hyperlink_699" tooltip="http://dx.doi.org/10.1016/j.jclepro.2012.09.014" display="http://dx.doi.org/10.1016/j.jclepro.2012.09.014"/>
    <hyperlink ref="BT358" r:id="rId_hyperlink_700" tooltip="View Full Record in Web of Science" display="View Full Record in Web of Science"/>
    <hyperlink ref="BF359" r:id="rId_hyperlink_701" tooltip="http://dx.doi.org/10.1007/s11269-012-0009-1" display="http://dx.doi.org/10.1007/s11269-012-0009-1"/>
    <hyperlink ref="BT359" r:id="rId_hyperlink_702" tooltip="View Full Record in Web of Science" display="View Full Record in Web of Science"/>
    <hyperlink ref="BF360" r:id="rId_hyperlink_703" tooltip="http://dx.doi.org/10.1016/j.envpol.2023.123089" display="http://dx.doi.org/10.1016/j.envpol.2023.123089"/>
    <hyperlink ref="BT360" r:id="rId_hyperlink_704" tooltip="View Full Record in Web of Science" display="View Full Record in Web of Science"/>
    <hyperlink ref="BF361" r:id="rId_hyperlink_705" tooltip="http://dx.doi.org/10.3389/frsc.2021.807735" display="http://dx.doi.org/10.3389/frsc.2021.807735"/>
    <hyperlink ref="BT361" r:id="rId_hyperlink_706" tooltip="View Full Record in Web of Science" display="View Full Record in Web of Science"/>
    <hyperlink ref="BF362" r:id="rId_hyperlink_707" tooltip="http://dx.doi.org/10.1016/j.jclepro.2019.118115" display="http://dx.doi.org/10.1016/j.jclepro.2019.118115"/>
    <hyperlink ref="BT362" r:id="rId_hyperlink_708" tooltip="View Full Record in Web of Science" display="View Full Record in Web of Science"/>
    <hyperlink ref="BF363" r:id="rId_hyperlink_709" tooltip="http://dx.doi.org/10.1016/j.landurbplan.2021.104055" display="http://dx.doi.org/10.1016/j.landurbplan.2021.104055"/>
    <hyperlink ref="BT363" r:id="rId_hyperlink_710" tooltip="View Full Record in Web of Science" display="View Full Record in Web of Science"/>
    <hyperlink ref="BF364" r:id="rId_hyperlink_711" tooltip="http://dx.doi.org/10.1016/j.enpol.2010.07.053" display="http://dx.doi.org/10.1016/j.enpol.2010.07.053"/>
    <hyperlink ref="BT364" r:id="rId_hyperlink_712" tooltip="View Full Record in Web of Science" display="View Full Record in Web of Science"/>
    <hyperlink ref="BF365" r:id="rId_hyperlink_713" tooltip="http://dx.doi.org/10.1016/j.jclepro.2023.138469" display="http://dx.doi.org/10.1016/j.jclepro.2023.138469"/>
    <hyperlink ref="BT365" r:id="rId_hyperlink_714" tooltip="View Full Record in Web of Science" display="View Full Record in Web of Science"/>
    <hyperlink ref="BF366" r:id="rId_hyperlink_715" tooltip="http://dx.doi.org/10.1177/0096144207301416" display="http://dx.doi.org/10.1177/0096144207301416"/>
    <hyperlink ref="BT366" r:id="rId_hyperlink_716" tooltip="View Full Record in Web of Science" display="View Full Record in Web of Science"/>
    <hyperlink ref="BF367" r:id="rId_hyperlink_717" tooltip="http://dx.doi.org/10.1016/j.cosust.2013.03.005" display="http://dx.doi.org/10.1016/j.cosust.2013.03.005"/>
    <hyperlink ref="BT367" r:id="rId_hyperlink_718" tooltip="View Full Record in Web of Science" display="View Full Record in Web of Science"/>
    <hyperlink ref="BF368" r:id="rId_hyperlink_719" tooltip="http://dx.doi.org/10.13128/techne-10686" display="http://dx.doi.org/10.13128/techne-10686"/>
    <hyperlink ref="BT368" r:id="rId_hyperlink_720" tooltip="View Full Record in Web of Science" display="View Full Record in Web of Science"/>
    <hyperlink ref="BF369" r:id="rId_hyperlink_721" tooltip="http://dx.doi.org/10.37230/CyTET.2022.213.3" display="http://dx.doi.org/10.37230/CyTET.2022.213.3"/>
    <hyperlink ref="BT369" r:id="rId_hyperlink_722" tooltip="View Full Record in Web of Science" display="View Full Record in Web of Science"/>
    <hyperlink ref="BF370" r:id="rId_hyperlink_723" tooltip="http://dx.doi.org/10.1080/02723638.2020.1748296" display="http://dx.doi.org/10.1080/02723638.2020.1748296"/>
    <hyperlink ref="BT370" r:id="rId_hyperlink_724" tooltip="View Full Record in Web of Science" display="View Full Record in Web of Science"/>
    <hyperlink ref="BF371" r:id="rId_hyperlink_725" tooltip="http://dx.doi.org/10.1177/0739456X211027638" display="http://dx.doi.org/10.1177/0739456X211027638"/>
    <hyperlink ref="BT371" r:id="rId_hyperlink_726" tooltip="View Full Record in Web of Science" display="View Full Record in Web of Science"/>
    <hyperlink ref="BF372" r:id="rId_hyperlink_727" tooltip="http://dx.doi.org/10.1007/s11115-018-0421-y" display="http://dx.doi.org/10.1007/s11115-018-0421-y"/>
    <hyperlink ref="BT372" r:id="rId_hyperlink_728" tooltip="View Full Record in Web of Science" display="View Full Record in Web of Science"/>
    <hyperlink ref="BF373" r:id="rId_hyperlink_729" tooltip="http://dx.doi.org/10.18778/1231-1952.27.2.03" display="http://dx.doi.org/10.18778/1231-1952.27.2.03"/>
    <hyperlink ref="BT373" r:id="rId_hyperlink_730" tooltip="View Full Record in Web of Science" display="View Full Record in Web of Science"/>
    <hyperlink ref="BT374" r:id="rId_hyperlink_731" tooltip="View Full Record in Web of Science" display="View Full Record in Web of Science"/>
    <hyperlink ref="BF375" r:id="rId_hyperlink_732" tooltip="http://dx.doi.org/10.3390/w11051082" display="http://dx.doi.org/10.3390/w11051082"/>
    <hyperlink ref="BT375" r:id="rId_hyperlink_733" tooltip="View Full Record in Web of Science" display="View Full Record in Web of Science"/>
    <hyperlink ref="BF376" r:id="rId_hyperlink_734" tooltip="http://dx.doi.org/10.1016/j.ecolind.2013.03.014" display="http://dx.doi.org/10.1016/j.ecolind.2013.03.014"/>
    <hyperlink ref="BT376" r:id="rId_hyperlink_735" tooltip="View Full Record in Web of Science" display="View Full Record in Web of Science"/>
    <hyperlink ref="BF377" r:id="rId_hyperlink_736" tooltip="http://dx.doi.org/10.1007/s11442-014-1111-5" display="http://dx.doi.org/10.1007/s11442-014-1111-5"/>
    <hyperlink ref="BT377" r:id="rId_hyperlink_737" tooltip="View Full Record in Web of Science" display="View Full Record in Web of Science"/>
    <hyperlink ref="BF378" r:id="rId_hyperlink_738" tooltip="http://dx.doi.org/10.1016/j.scitotenv.2020.143133" display="http://dx.doi.org/10.1016/j.scitotenv.2020.143133"/>
    <hyperlink ref="BT378" r:id="rId_hyperlink_739" tooltip="View Full Record in Web of Science" display="View Full Record in Web of Science"/>
    <hyperlink ref="BF379" r:id="rId_hyperlink_740" tooltip="http://dx.doi.org/10.1016/j.jclepro.2019.06.252" display="http://dx.doi.org/10.1016/j.jclepro.2019.06.252"/>
    <hyperlink ref="BT379" r:id="rId_hyperlink_741" tooltip="View Full Record in Web of Science" display="View Full Record in Web of Science"/>
    <hyperlink ref="BF380" r:id="rId_hyperlink_742" tooltip="http://dx.doi.org/10.1088/1748-9326/ab0767" display="http://dx.doi.org/10.1088/1748-9326/ab0767"/>
    <hyperlink ref="BT380" r:id="rId_hyperlink_743" tooltip="View Full Record in Web of Science" display="View Full Record in Web of Science"/>
    <hyperlink ref="BF381" r:id="rId_hyperlink_744" tooltip="http://dx.doi.org/10.1016/j.jclepro.2017.08.030" display="http://dx.doi.org/10.1016/j.jclepro.2017.08.030"/>
    <hyperlink ref="BT381" r:id="rId_hyperlink_745" tooltip="View Full Record in Web of Science" display="View Full Record in Web of Science"/>
    <hyperlink ref="BF382" r:id="rId_hyperlink_746" tooltip="http://dx.doi.org/10.1108/DPRG-06-2020-0085" display="http://dx.doi.org/10.1108/DPRG-06-2020-0085"/>
    <hyperlink ref="BT382" r:id="rId_hyperlink_747" tooltip="View Full Record in Web of Science" display="View Full Record in Web of Science"/>
    <hyperlink ref="BF383" r:id="rId_hyperlink_748" tooltip="http://dx.doi.org/10.1016/j.scitotenv.2016.08.159" display="http://dx.doi.org/10.1016/j.scitotenv.2016.08.159"/>
    <hyperlink ref="BT383" r:id="rId_hyperlink_749" tooltip="View Full Record in Web of Science" display="View Full Record in Web of Science"/>
    <hyperlink ref="BF384" r:id="rId_hyperlink_750" tooltip="http://dx.doi.org/10.5890/JEAM.2019.06.005" display="http://dx.doi.org/10.5890/JEAM.2019.06.005"/>
    <hyperlink ref="BT384" r:id="rId_hyperlink_751" tooltip="View Full Record in Web of Science" display="View Full Record in Web of Science"/>
    <hyperlink ref="BF385" r:id="rId_hyperlink_752" tooltip="http://dx.doi.org/10.1016/j.jclepro.2015.10.137" display="http://dx.doi.org/10.1016/j.jclepro.2015.10.137"/>
    <hyperlink ref="BT385" r:id="rId_hyperlink_753" tooltip="View Full Record in Web of Science" display="View Full Record in Web of Science"/>
    <hyperlink ref="BF386" r:id="rId_hyperlink_754" tooltip="http://dx.doi.org/10.3390/su13169292" display="http://dx.doi.org/10.3390/su13169292"/>
    <hyperlink ref="BT386" r:id="rId_hyperlink_755" tooltip="View Full Record in Web of Science" display="View Full Record in Web of Science"/>
    <hyperlink ref="BT387" r:id="rId_hyperlink_756" tooltip="View Full Record in Web of Science" display="View Full Record in Web of Science"/>
    <hyperlink ref="BF388" r:id="rId_hyperlink_757" tooltip="http://dx.doi.org/10.1680/jener.17.00010" display="http://dx.doi.org/10.1680/jener.17.00010"/>
    <hyperlink ref="BT388" r:id="rId_hyperlink_758" tooltip="View Full Record in Web of Science" display="View Full Record in Web of Science"/>
    <hyperlink ref="BF389" r:id="rId_hyperlink_759" tooltip="http://dx.doi.org/10.1177/0309132513500443" display="http://dx.doi.org/10.1177/0309132513500443"/>
    <hyperlink ref="BT389" r:id="rId_hyperlink_760" tooltip="View Full Record in Web of Science" display="View Full Record in Web of Science"/>
    <hyperlink ref="BF390" r:id="rId_hyperlink_761" tooltip="http://dx.doi.org/10.13044/j.sdewes.d8.0323" display="http://dx.doi.org/10.13044/j.sdewes.d8.0323"/>
    <hyperlink ref="BT390" r:id="rId_hyperlink_762" tooltip="View Full Record in Web of Science" display="View Full Record in Web of Science"/>
    <hyperlink ref="BF391" r:id="rId_hyperlink_763" tooltip="http://dx.doi.org/10.14718/RevArq.2019.21.2.2048" display="http://dx.doi.org/10.14718/RevArq.2019.21.2.2048"/>
    <hyperlink ref="BT391" r:id="rId_hyperlink_764" tooltip="View Full Record in Web of Science" display="View Full Record in Web of Science"/>
    <hyperlink ref="BF392" r:id="rId_hyperlink_765" tooltip="http://dx.doi.org/10.1016/j.jclepro.2019.04.039" display="http://dx.doi.org/10.1016/j.jclepro.2019.04.039"/>
    <hyperlink ref="BT392" r:id="rId_hyperlink_766" tooltip="View Full Record in Web of Science" display="View Full Record in Web of Science"/>
    <hyperlink ref="BF393" r:id="rId_hyperlink_767" tooltip="http://dx.doi.org/10.1016/j.esr.2022.101041" display="http://dx.doi.org/10.1016/j.esr.2022.101041"/>
    <hyperlink ref="BT393" r:id="rId_hyperlink_768" tooltip="View Full Record in Web of Science" display="View Full Record in Web of Science"/>
    <hyperlink ref="BF394" r:id="rId_hyperlink_769" tooltip="http://dx.doi.org/10.1016/j.biortech.2021.124712" display="http://dx.doi.org/10.1016/j.biortech.2021.124712"/>
    <hyperlink ref="BT394" r:id="rId_hyperlink_770" tooltip="View Full Record in Web of Science" display="View Full Record in Web of Science"/>
    <hyperlink ref="BT395" r:id="rId_hyperlink_771" tooltip="View Full Record in Web of Science" display="View Full Record in Web of Science"/>
    <hyperlink ref="BF396" r:id="rId_hyperlink_772" tooltip="http://dx.doi.org/10.1068/b31113" display="http://dx.doi.org/10.1068/b31113"/>
    <hyperlink ref="BT396" r:id="rId_hyperlink_773" tooltip="View Full Record in Web of Science" display="View Full Record in Web of Science"/>
    <hyperlink ref="BF397" r:id="rId_hyperlink_774" tooltip="http://dx.doi.org/10.1016/j.envpol.2012.07.010" display="http://dx.doi.org/10.1016/j.envpol.2012.07.010"/>
    <hyperlink ref="BT397" r:id="rId_hyperlink_775" tooltip="View Full Record in Web of Science" display="View Full Record in Web of Science"/>
    <hyperlink ref="BF398" r:id="rId_hyperlink_776" tooltip="http://dx.doi.org/10.1007/s13280-012-0350-x" display="http://dx.doi.org/10.1007/s13280-012-0350-x"/>
    <hyperlink ref="BT398" r:id="rId_hyperlink_777" tooltip="View Full Record in Web of Science" display="View Full Record in Web of Science"/>
    <hyperlink ref="BF399" r:id="rId_hyperlink_778" tooltip="http://dx.doi.org/10.1016/j.jobe.2021.103008" display="http://dx.doi.org/10.1016/j.jobe.2021.103008"/>
    <hyperlink ref="BT399" r:id="rId_hyperlink_779" tooltip="View Full Record in Web of Science" display="View Full Record in Web of Science"/>
    <hyperlink ref="BF400" r:id="rId_hyperlink_780" tooltip="http://dx.doi.org/10.2166/ws.2023.015" display="http://dx.doi.org/10.2166/ws.2023.015"/>
    <hyperlink ref="BT400" r:id="rId_hyperlink_781" tooltip="View Full Record in Web of Science" display="View Full Record in Web of Science"/>
    <hyperlink ref="BF401" r:id="rId_hyperlink_782" tooltip="http://dx.doi.org/10.1177/0096144215601054" display="http://dx.doi.org/10.1177/0096144215601054"/>
    <hyperlink ref="BT401" r:id="rId_hyperlink_783" tooltip="View Full Record in Web of Science" display="View Full Record in Web of Science"/>
    <hyperlink ref="BF402" r:id="rId_hyperlink_784" tooltip="http://dx.doi.org/10.1016/j.envpol.2014.03.038" display="http://dx.doi.org/10.1016/j.envpol.2014.03.038"/>
    <hyperlink ref="BT402" r:id="rId_hyperlink_785" tooltip="View Full Record in Web of Science" display="View Full Record in Web of Science"/>
    <hyperlink ref="BF403" r:id="rId_hyperlink_786" tooltip="http://dx.doi.org/10.1080/09640568.2020.1763931" display="http://dx.doi.org/10.1080/09640568.2020.1763931"/>
    <hyperlink ref="BT403" r:id="rId_hyperlink_787" tooltip="View Full Record in Web of Science" display="View Full Record in Web of Science"/>
    <hyperlink ref="BF404" r:id="rId_hyperlink_788" tooltip="http://dx.doi.org/10.1080/13504509.2011.570800" display="http://dx.doi.org/10.1080/13504509.2011.570800"/>
    <hyperlink ref="BT404" r:id="rId_hyperlink_789" tooltip="View Full Record in Web of Science" display="View Full Record in Web of Science"/>
    <hyperlink ref="BF405" r:id="rId_hyperlink_790" tooltip="http://dx.doi.org/10.1016/j.ufug.2021.127108" display="http://dx.doi.org/10.1016/j.ufug.2021.127108"/>
    <hyperlink ref="BT405" r:id="rId_hyperlink_791" tooltip="View Full Record in Web of Science" display="View Full Record in Web of Science"/>
    <hyperlink ref="BF406" r:id="rId_hyperlink_792" tooltip="http://dx.doi.org/10.1111/anti.12111" display="http://dx.doi.org/10.1111/anti.12111"/>
    <hyperlink ref="BT406" r:id="rId_hyperlink_793" tooltip="View Full Record in Web of Science" display="View Full Record in Web of Science"/>
    <hyperlink ref="BF407" r:id="rId_hyperlink_794" tooltip="http://dx.doi.org/10.1080/1573062X.2015.1076858" display="http://dx.doi.org/10.1080/1573062X.2015.1076858"/>
    <hyperlink ref="BT407" r:id="rId_hyperlink_795" tooltip="View Full Record in Web of Science" display="View Full Record in Web of Science"/>
    <hyperlink ref="BF408" r:id="rId_hyperlink_796" tooltip="http://dx.doi.org/10.1068/d13188p" display="http://dx.doi.org/10.1068/d13188p"/>
    <hyperlink ref="BT408" r:id="rId_hyperlink_797" tooltip="View Full Record in Web of Science" display="View Full Record in Web of Science"/>
    <hyperlink ref="BF409" r:id="rId_hyperlink_798" tooltip="http://dx.doi.org/10.1080/13264826.2021.1973049" display="http://dx.doi.org/10.1080/13264826.2021.1973049"/>
    <hyperlink ref="BT409" r:id="rId_hyperlink_799" tooltip="View Full Record in Web of Science" display="View Full Record in Web of Science"/>
    <hyperlink ref="BF410" r:id="rId_hyperlink_800" tooltip="http://dx.doi.org/10.2747/0272-3638.28.8.705" display="http://dx.doi.org/10.2747/0272-3638.28.8.705"/>
    <hyperlink ref="BT410" r:id="rId_hyperlink_801" tooltip="View Full Record in Web of Science" display="View Full Record in Web of Science"/>
    <hyperlink ref="BF411" r:id="rId_hyperlink_802" tooltip="http://dx.doi.org/10.3390/buildings14010202" display="http://dx.doi.org/10.3390/buildings14010202"/>
    <hyperlink ref="BT411" r:id="rId_hyperlink_803" tooltip="View Full Record in Web of Science" display="View Full Record in Web of Science"/>
    <hyperlink ref="BF412" r:id="rId_hyperlink_804" tooltip="http://dx.doi.org/10.1007/s11430-016-9038-6" display="http://dx.doi.org/10.1007/s11430-016-9038-6"/>
    <hyperlink ref="BT412" r:id="rId_hyperlink_805" tooltip="View Full Record in Web of Science" display="View Full Record in Web of Science"/>
    <hyperlink ref="BF413" r:id="rId_hyperlink_806" tooltip="http://dx.doi.org/10.3390/su13041786" display="http://dx.doi.org/10.3390/su13041786"/>
    <hyperlink ref="BT413" r:id="rId_hyperlink_807" tooltip="View Full Record in Web of Science" display="View Full Record in Web of Science"/>
    <hyperlink ref="BF414" r:id="rId_hyperlink_808" tooltip="http://dx.doi.org/10.1007/s11367-018-1445-9" display="http://dx.doi.org/10.1007/s11367-018-1445-9"/>
    <hyperlink ref="BT414" r:id="rId_hyperlink_809" tooltip="View Full Record in Web of Science" display="View Full Record in Web of Science"/>
    <hyperlink ref="BF415" r:id="rId_hyperlink_810" tooltip="http://dx.doi.org/10.1007/s11356-022-24307-8" display="http://dx.doi.org/10.1007/s11356-022-24307-8"/>
    <hyperlink ref="BT415" r:id="rId_hyperlink_811" tooltip="View Full Record in Web of Science" display="View Full Record in Web of Science"/>
    <hyperlink ref="BF416" r:id="rId_hyperlink_812" tooltip="http://dx.doi.org/10.1016/j.rcradv.2022.200066" display="http://dx.doi.org/10.1016/j.rcradv.2022.200066"/>
    <hyperlink ref="BT416" r:id="rId_hyperlink_813" tooltip="View Full Record in Web of Science" display="View Full Record in Web of Science"/>
    <hyperlink ref="BF417" r:id="rId_hyperlink_814" tooltip="http://dx.doi.org/10.1016/j.jclepro.2016.03.034" display="http://dx.doi.org/10.1016/j.jclepro.2016.03.034"/>
    <hyperlink ref="BT417" r:id="rId_hyperlink_815" tooltip="View Full Record in Web of Science" display="View Full Record in Web of Science"/>
    <hyperlink ref="BF418" r:id="rId_hyperlink_816" tooltip="http://dx.doi.org/10.17141/letrasverdes.34.2023.5960" display="http://dx.doi.org/10.17141/letrasverdes.34.2023.5960"/>
    <hyperlink ref="BT418" r:id="rId_hyperlink_817" tooltip="View Full Record in Web of Science" display="View Full Record in Web of Science"/>
    <hyperlink ref="BF419" r:id="rId_hyperlink_818" tooltip="http://dx.doi.org/10.1016/j.wasman.2015.03.036" display="http://dx.doi.org/10.1016/j.wasman.2015.03.036"/>
    <hyperlink ref="BT419" r:id="rId_hyperlink_819" tooltip="View Full Record in Web of Science" display="View Full Record in Web of Science"/>
    <hyperlink ref="BF420" r:id="rId_hyperlink_820" tooltip="http://dx.doi.org/10.14506/ca35.1.08" display="http://dx.doi.org/10.14506/ca35.1.08"/>
    <hyperlink ref="BT420" r:id="rId_hyperlink_821" tooltip="View Full Record in Web of Science" display="View Full Record in Web of Science"/>
    <hyperlink ref="BF421" r:id="rId_hyperlink_822" tooltip="http://dx.doi.org/10.1111/jiec.12474" display="http://dx.doi.org/10.1111/jiec.12474"/>
    <hyperlink ref="BT421" r:id="rId_hyperlink_823" tooltip="View Full Record in Web of Science" display="View Full Record in Web of Science"/>
    <hyperlink ref="BF422" r:id="rId_hyperlink_824" tooltip="http://dx.doi.org/10.1111/jiec.12240" display="http://dx.doi.org/10.1111/jiec.12240"/>
    <hyperlink ref="BT422" r:id="rId_hyperlink_825" tooltip="View Full Record in Web of Science" display="View Full Record in Web of Science"/>
    <hyperlink ref="BF423" r:id="rId_hyperlink_826" tooltip="http://dx.doi.org/10.1080/08941920.2018.1475586" display="http://dx.doi.org/10.1080/08941920.2018.1475586"/>
    <hyperlink ref="BT423" r:id="rId_hyperlink_827" tooltip="View Full Record in Web of Science" display="View Full Record in Web of Science"/>
    <hyperlink ref="BF424" r:id="rId_hyperlink_828" tooltip="http://dx.doi.org/10.3989/arbor.2022.803-804003" display="http://dx.doi.org/10.3989/arbor.2022.803-804003"/>
    <hyperlink ref="BT424" r:id="rId_hyperlink_829" tooltip="View Full Record in Web of Science" display="View Full Record in Web of Science"/>
    <hyperlink ref="BT425" r:id="rId_hyperlink_830" tooltip="View Full Record in Web of Science" display="View Full Record in Web of Science"/>
    <hyperlink ref="BF426" r:id="rId_hyperlink_831" tooltip="http://dx.doi.org/10.14506/ca36.4.11" display="http://dx.doi.org/10.14506/ca36.4.11"/>
    <hyperlink ref="BT426" r:id="rId_hyperlink_832" tooltip="View Full Record in Web of Science" display="View Full Record in Web of Science"/>
    <hyperlink ref="BF427" r:id="rId_hyperlink_833" tooltip="http://dx.doi.org/10.1016/j.apenergy.2018.01.028" display="http://dx.doi.org/10.1016/j.apenergy.2018.01.028"/>
    <hyperlink ref="BT427" r:id="rId_hyperlink_834" tooltip="View Full Record in Web of Science" display="View Full Record in Web of Science"/>
    <hyperlink ref="BF428" r:id="rId_hyperlink_835" tooltip="http://dx.doi.org/10.1007/s12665-013-2866-1" display="http://dx.doi.org/10.1007/s12665-013-2866-1"/>
    <hyperlink ref="BT428" r:id="rId_hyperlink_836" tooltip="View Full Record in Web of Science" display="View Full Record in Web of Science"/>
    <hyperlink ref="BF429" r:id="rId_hyperlink_837" tooltip="http://dx.doi.org/10.3390/machines12010016" display="http://dx.doi.org/10.3390/machines12010016"/>
    <hyperlink ref="BT429" r:id="rId_hyperlink_838" tooltip="View Full Record in Web of Science" display="View Full Record in Web of Science"/>
    <hyperlink ref="BF430" r:id="rId_hyperlink_839" tooltip="http://dx.doi.org/10.1016/S0959-3780(97)00009-5" display="http://dx.doi.org/10.1016/S0959-3780(97)00009-5"/>
    <hyperlink ref="BT430" r:id="rId_hyperlink_840" tooltip="View Full Record in Web of Science" display="View Full Record in Web of Science"/>
    <hyperlink ref="BF431" r:id="rId_hyperlink_841" tooltip="http://dx.doi.org/10.1016/j.biortech.2020.123098" display="http://dx.doi.org/10.1016/j.biortech.2020.123098"/>
    <hyperlink ref="BT431" r:id="rId_hyperlink_842" tooltip="View Full Record in Web of Science" display="View Full Record in Web of Science"/>
    <hyperlink ref="BF432" r:id="rId_hyperlink_843" tooltip="http://dx.doi.org/10.1016/j.ecolmodel.2012.08.017" display="http://dx.doi.org/10.1016/j.ecolmodel.2012.08.017"/>
    <hyperlink ref="BT432" r:id="rId_hyperlink_844" tooltip="View Full Record in Web of Science" display="View Full Record in Web of Science"/>
    <hyperlink ref="BF433" r:id="rId_hyperlink_845" tooltip="http://dx.doi.org/10.3390/su16020603" display="http://dx.doi.org/10.3390/su16020603"/>
    <hyperlink ref="BT433" r:id="rId_hyperlink_846" tooltip="View Full Record in Web of Science" display="View Full Record in Web of Science"/>
    <hyperlink ref="BF434" r:id="rId_hyperlink_847" tooltip="http://dx.doi.org/10.1177/0734242X211000430" display="http://dx.doi.org/10.1177/0734242X211000430"/>
    <hyperlink ref="BT434" r:id="rId_hyperlink_848" tooltip="View Full Record in Web of Science" display="View Full Record in Web of Science"/>
    <hyperlink ref="BF435" r:id="rId_hyperlink_849" tooltip="http://dx.doi.org/10.1080/14786451.2022.2039140" display="http://dx.doi.org/10.1080/14786451.2022.2039140"/>
    <hyperlink ref="BT435" r:id="rId_hyperlink_850" tooltip="View Full Record in Web of Science" display="View Full Record in Web of Science"/>
    <hyperlink ref="BF436" r:id="rId_hyperlink_851" tooltip="http://dx.doi.org/10.1111/j.1530-9290.2012.00530.x" display="http://dx.doi.org/10.1111/j.1530-9290.2012.00530.x"/>
    <hyperlink ref="BT436" r:id="rId_hyperlink_852" tooltip="View Full Record in Web of Science" display="View Full Record in Web of Science"/>
    <hyperlink ref="BF437" r:id="rId_hyperlink_853" tooltip="http://dx.doi.org/10.1016/j.jclepro.2016.10.068" display="http://dx.doi.org/10.1016/j.jclepro.2016.10.068"/>
    <hyperlink ref="BT437" r:id="rId_hyperlink_854" tooltip="View Full Record in Web of Science" display="View Full Record in Web of Science"/>
    <hyperlink ref="BF438" r:id="rId_hyperlink_855" tooltip="http://dx.doi.org/10.2166/wst.2011.070" display="http://dx.doi.org/10.2166/wst.2011.070"/>
    <hyperlink ref="BT438" r:id="rId_hyperlink_856" tooltip="View Full Record in Web of Science" display="View Full Record in Web of Science"/>
    <hyperlink ref="BF439" r:id="rId_hyperlink_857" tooltip="http://dx.doi.org/10.1007/s11367-018-1453-9" display="http://dx.doi.org/10.1007/s11367-018-1453-9"/>
    <hyperlink ref="BT439" r:id="rId_hyperlink_858" tooltip="View Full Record in Web of Science" display="View Full Record in Web of Science"/>
    <hyperlink ref="BF440" r:id="rId_hyperlink_859" tooltip="http://dx.doi.org/10.1016/j.resconrec.2017.10.016" display="http://dx.doi.org/10.1016/j.resconrec.2017.10.016"/>
    <hyperlink ref="BT440" r:id="rId_hyperlink_860" tooltip="View Full Record in Web of Science" display="View Full Record in Web of Science"/>
    <hyperlink ref="BF441" r:id="rId_hyperlink_861" tooltip="http://dx.doi.org/10.1016/j.energy.2018.05.073" display="http://dx.doi.org/10.1016/j.energy.2018.05.073"/>
    <hyperlink ref="BT441" r:id="rId_hyperlink_862" tooltip="View Full Record in Web of Science" display="View Full Record in Web of Science"/>
    <hyperlink ref="BF442" r:id="rId_hyperlink_863" tooltip="http://dx.doi.org/10.3390/su132111657" display="http://dx.doi.org/10.3390/su132111657"/>
    <hyperlink ref="BT442" r:id="rId_hyperlink_864" tooltip="View Full Record in Web of Science" display="View Full Record in Web of Science"/>
    <hyperlink ref="BF443" r:id="rId_hyperlink_865" tooltip="http://dx.doi.org/10.3390/su12208336" display="http://dx.doi.org/10.3390/su12208336"/>
    <hyperlink ref="BT443" r:id="rId_hyperlink_866" tooltip="View Full Record in Web of Science" display="View Full Record in Web of Science"/>
    <hyperlink ref="BF444" r:id="rId_hyperlink_867" tooltip="http://dx.doi.org/10.3389/frsc.2020.00012" display="http://dx.doi.org/10.3389/frsc.2020.00012"/>
    <hyperlink ref="BT444" r:id="rId_hyperlink_868" tooltip="View Full Record in Web of Science" display="View Full Record in Web of Science"/>
    <hyperlink ref="BF445" r:id="rId_hyperlink_869" tooltip="http://dx.doi.org/10.2166/wst.2012.071" display="http://dx.doi.org/10.2166/wst.2012.071"/>
    <hyperlink ref="BT445" r:id="rId_hyperlink_870" tooltip="View Full Record in Web of Science" display="View Full Record in Web of Science"/>
    <hyperlink ref="BF446" r:id="rId_hyperlink_871" tooltip="http://dx.doi.org/10.2458/v26i1.23257" display="http://dx.doi.org/10.2458/v26i1.23257"/>
    <hyperlink ref="BT446" r:id="rId_hyperlink_872" tooltip="View Full Record in Web of Science" display="View Full Record in Web of Science"/>
    <hyperlink ref="BF447" r:id="rId_hyperlink_873" tooltip="http://dx.doi.org/10.1016/j.cities.2019.102494" display="http://dx.doi.org/10.1016/j.cities.2019.102494"/>
    <hyperlink ref="BT447" r:id="rId_hyperlink_874" tooltip="View Full Record in Web of Science" display="View Full Record in Web of Science"/>
    <hyperlink ref="BF448" r:id="rId_hyperlink_875" tooltip="http://dx.doi.org/10.1016/j.enpol.2009.08.050" display="http://dx.doi.org/10.1016/j.enpol.2009.08.050"/>
    <hyperlink ref="BT448" r:id="rId_hyperlink_876" tooltip="View Full Record in Web of Science" display="View Full Record in Web of Science"/>
    <hyperlink ref="BF449" r:id="rId_hyperlink_877" tooltip="http://dx.doi.org/10.2166/wcc.2011.005" display="http://dx.doi.org/10.2166/wcc.2011.005"/>
    <hyperlink ref="BT449" r:id="rId_hyperlink_878" tooltip="View Full Record in Web of Science" display="View Full Record in Web of Science"/>
    <hyperlink ref="BF450" r:id="rId_hyperlink_879" tooltip="http://dx.doi.org/10.1038/s41893-019-0225-2" display="http://dx.doi.org/10.1038/s41893-019-0225-2"/>
    <hyperlink ref="BT450" r:id="rId_hyperlink_880" tooltip="View Full Record in Web of Science" display="View Full Record in Web of Science"/>
    <hyperlink ref="BF451" r:id="rId_hyperlink_881" tooltip="http://dx.doi.org/10.1016/j.ecolmodel.2013.10.003" display="http://dx.doi.org/10.1016/j.ecolmodel.2013.10.003"/>
    <hyperlink ref="BT451" r:id="rId_hyperlink_882" tooltip="View Full Record in Web of Science" display="View Full Record in Web of Science"/>
    <hyperlink ref="BF452" r:id="rId_hyperlink_883" tooltip="http://dx.doi.org/10.1111/1468-2427.12549" display="http://dx.doi.org/10.1111/1468-2427.12549"/>
    <hyperlink ref="BT452" r:id="rId_hyperlink_884" tooltip="View Full Record in Web of Science" display="View Full Record in Web of Science"/>
    <hyperlink ref="BF453" r:id="rId_hyperlink_885" tooltip="http://dx.doi.org/10.1007/s00048-017-0159-6" display="http://dx.doi.org/10.1007/s00048-017-0159-6"/>
    <hyperlink ref="BT453" r:id="rId_hyperlink_886" tooltip="View Full Record in Web of Science" display="View Full Record in Web of Science"/>
    <hyperlink ref="BF454" r:id="rId_hyperlink_887" tooltip="http://dx.doi.org/10.1016/j.ancene.2017.08.001" display="http://dx.doi.org/10.1016/j.ancene.2017.08.001"/>
    <hyperlink ref="BT454" r:id="rId_hyperlink_888" tooltip="View Full Record in Web of Science" display="View Full Record in Web of Science"/>
    <hyperlink ref="BF455" r:id="rId_hyperlink_889" tooltip="http://dx.doi.org/10.1080/09640568.2019.1690435" display="http://dx.doi.org/10.1080/09640568.2019.1690435"/>
    <hyperlink ref="BT455" r:id="rId_hyperlink_890" tooltip="View Full Record in Web of Science" display="View Full Record in Web of Science"/>
    <hyperlink ref="BF456" r:id="rId_hyperlink_891" tooltip="http://dx.doi.org/10.1016/j.jclepro.2017.08.244" display="http://dx.doi.org/10.1016/j.jclepro.2017.08.244"/>
    <hyperlink ref="BT456" r:id="rId_hyperlink_892" tooltip="View Full Record in Web of Science" display="View Full Record in Web of Science"/>
    <hyperlink ref="BF457" r:id="rId_hyperlink_893" tooltip="http://dx.doi.org/10.1111/1468-2427.12710" display="http://dx.doi.org/10.1111/1468-2427.12710"/>
    <hyperlink ref="BT457" r:id="rId_hyperlink_894" tooltip="View Full Record in Web of Science" display="View Full Record in Web of Science"/>
    <hyperlink ref="BF458" r:id="rId_hyperlink_895" tooltip="http://dx.doi.org/10.1177/0956247814550780" display="http://dx.doi.org/10.1177/0956247814550780"/>
    <hyperlink ref="BT458" r:id="rId_hyperlink_896" tooltip="View Full Record in Web of Science" display="View Full Record in Web of Science"/>
    <hyperlink ref="BF459" r:id="rId_hyperlink_897" tooltip="http://dx.doi.org/10.1016/j.jclepro.2020.120789" display="http://dx.doi.org/10.1016/j.jclepro.2020.120789"/>
    <hyperlink ref="BT459" r:id="rId_hyperlink_898" tooltip="View Full Record in Web of Science" display="View Full Record in Web of Science"/>
    <hyperlink ref="BF460" r:id="rId_hyperlink_899" tooltip="http://dx.doi.org/10.3390/su14074230" display="http://dx.doi.org/10.3390/su14074230"/>
    <hyperlink ref="BT460" r:id="rId_hyperlink_900" tooltip="View Full Record in Web of Science" display="View Full Record in Web of Science"/>
    <hyperlink ref="BF461" r:id="rId_hyperlink_901" tooltip="http://dx.doi.org/10.3390/su11051434" display="http://dx.doi.org/10.3390/su11051434"/>
    <hyperlink ref="BT461" r:id="rId_hyperlink_902" tooltip="View Full Record in Web of Science" display="View Full Record in Web of Science"/>
    <hyperlink ref="BF462" r:id="rId_hyperlink_903" tooltip="http://dx.doi.org/10.1016/j.scs.2020.102143" display="http://dx.doi.org/10.1016/j.scs.2020.102143"/>
    <hyperlink ref="BT462" r:id="rId_hyperlink_904" tooltip="View Full Record in Web of Science" display="View Full Record in Web of Science"/>
    <hyperlink ref="BF463" r:id="rId_hyperlink_905" tooltip="http://dx.doi.org/10.3390/su11133540" display="http://dx.doi.org/10.3390/su11133540"/>
    <hyperlink ref="BT463" r:id="rId_hyperlink_906" tooltip="View Full Record in Web of Science" display="View Full Record in Web of Science"/>
    <hyperlink ref="BF464" r:id="rId_hyperlink_907" tooltip="http://dx.doi.org/10.3390/land10010002" display="http://dx.doi.org/10.3390/land10010002"/>
    <hyperlink ref="BT464" r:id="rId_hyperlink_908" tooltip="View Full Record in Web of Science" display="View Full Record in Web of Science"/>
    <hyperlink ref="BF465" r:id="rId_hyperlink_909" tooltip="http://dx.doi.org/10.1016/j.ecolind.2023.110947" display="http://dx.doi.org/10.1016/j.ecolind.2023.110947"/>
    <hyperlink ref="BT465" r:id="rId_hyperlink_910" tooltip="View Full Record in Web of Science" display="View Full Record in Web of Science"/>
    <hyperlink ref="BF466" r:id="rId_hyperlink_911" tooltip="http://dx.doi.org/10.1016/j.cosust.2017.01.014" display="http://dx.doi.org/10.1016/j.cosust.2017.01.014"/>
    <hyperlink ref="BT466" r:id="rId_hyperlink_912" tooltip="View Full Record in Web of Science" display="View Full Record in Web of Science"/>
    <hyperlink ref="BF467" r:id="rId_hyperlink_913" tooltip="http://dx.doi.org/10.34133/ehs.0002" display="http://dx.doi.org/10.34133/ehs.0002"/>
    <hyperlink ref="BT467" r:id="rId_hyperlink_914" tooltip="View Full Record in Web of Science" display="View Full Record in Web of Science"/>
    <hyperlink ref="BF468" r:id="rId_hyperlink_915" tooltip="http://dx.doi.org/10.1080/23251042.2024.2307671" display="http://dx.doi.org/10.1080/23251042.2024.2307671"/>
    <hyperlink ref="BT468" r:id="rId_hyperlink_916" tooltip="View Full Record in Web of Science" display="View Full Record in Web of Science"/>
    <hyperlink ref="BF469" r:id="rId_hyperlink_917" tooltip="http://dx.doi.org/10.1016/j.habitatint.2016.06.002" display="http://dx.doi.org/10.1016/j.habitatint.2016.06.002"/>
    <hyperlink ref="BT469" r:id="rId_hyperlink_918" tooltip="View Full Record in Web of Science" display="View Full Record in Web of Science"/>
    <hyperlink ref="BF470" r:id="rId_hyperlink_919" tooltip="http://dx.doi.org/10.1016/j.ecolmodel.2013.09.014" display="http://dx.doi.org/10.1016/j.ecolmodel.2013.09.014"/>
    <hyperlink ref="BT470" r:id="rId_hyperlink_920" tooltip="View Full Record in Web of Science" display="View Full Record in Web of Science"/>
    <hyperlink ref="BF471" r:id="rId_hyperlink_921" tooltip="http://dx.doi.org/10.1016/j.ecolind.2019.105487" display="http://dx.doi.org/10.1016/j.ecolind.2019.105487"/>
    <hyperlink ref="BT471" r:id="rId_hyperlink_922" tooltip="View Full Record in Web of Science" display="View Full Record in Web of Science"/>
    <hyperlink ref="BF472" r:id="rId_hyperlink_923" tooltip="http://dx.doi.org/10.1016/j.resconrec.2022.106494" display="http://dx.doi.org/10.1016/j.resconrec.2022.106494"/>
    <hyperlink ref="BT472" r:id="rId_hyperlink_924" tooltip="View Full Record in Web of Science" display="View Full Record in Web of Science"/>
    <hyperlink ref="BF473" r:id="rId_hyperlink_925" tooltip="http://dx.doi.org/10.1016/j.eiar.2020.106406" display="http://dx.doi.org/10.1016/j.eiar.2020.106406"/>
    <hyperlink ref="BT473" r:id="rId_hyperlink_926" tooltip="View Full Record in Web of Science" display="View Full Record in Web of Science"/>
    <hyperlink ref="BF474" r:id="rId_hyperlink_927" tooltip="http://dx.doi.org/10.1068/a37272" display="http://dx.doi.org/10.1068/a37272"/>
    <hyperlink ref="BT474" r:id="rId_hyperlink_928" tooltip="View Full Record in Web of Science" display="View Full Record in Web of Science"/>
    <hyperlink ref="BF475" r:id="rId_hyperlink_929" tooltip="http://dx.doi.org/10.1016/j.energy.2012.03.038" display="http://dx.doi.org/10.1016/j.energy.2012.03.038"/>
    <hyperlink ref="BT475" r:id="rId_hyperlink_930" tooltip="View Full Record in Web of Science" display="View Full Record in Web of Science"/>
    <hyperlink ref="BF476" r:id="rId_hyperlink_931" tooltip="http://dx.doi.org/10.1111/jiec.13107" display="http://dx.doi.org/10.1111/jiec.13107"/>
    <hyperlink ref="BT476" r:id="rId_hyperlink_932" tooltip="View Full Record in Web of Science" display="View Full Record in Web of Science"/>
    <hyperlink ref="BF477" r:id="rId_hyperlink_933" tooltip="http://dx.doi.org/10.1016/j.cities.2020.103029" display="http://dx.doi.org/10.1016/j.cities.2020.103029"/>
    <hyperlink ref="BT477" r:id="rId_hyperlink_934" tooltip="View Full Record in Web of Science" display="View Full Record in Web of Science"/>
    <hyperlink ref="BF478" r:id="rId_hyperlink_935" tooltip="http://dx.doi.org/10.1016/j.enpol.2018.09.028" display="http://dx.doi.org/10.1016/j.enpol.2018.09.028"/>
    <hyperlink ref="BT478" r:id="rId_hyperlink_936" tooltip="View Full Record in Web of Science" display="View Full Record in Web of Science"/>
    <hyperlink ref="BF479" r:id="rId_hyperlink_937" tooltip="http://dx.doi.org/10.1016/j.jclepro.2022.132616" display="http://dx.doi.org/10.1016/j.jclepro.2022.132616"/>
    <hyperlink ref="BT479" r:id="rId_hyperlink_938" tooltip="View Full Record in Web of Science" display="View Full Record in Web of Science"/>
    <hyperlink ref="BF480" r:id="rId_hyperlink_939" tooltip="http://dx.doi.org/10.3390/su12114549" display="http://dx.doi.org/10.3390/su12114549"/>
    <hyperlink ref="BT480" r:id="rId_hyperlink_940" tooltip="View Full Record in Web of Science" display="View Full Record in Web of Science"/>
    <hyperlink ref="BF481" r:id="rId_hyperlink_941" tooltip="http://dx.doi.org/10.1080/13504509.2021.1936270" display="http://dx.doi.org/10.1080/13504509.2021.1936270"/>
    <hyperlink ref="BT481" r:id="rId_hyperlink_942" tooltip="View Full Record in Web of Science" display="View Full Record in Web of Science"/>
    <hyperlink ref="BF482" r:id="rId_hyperlink_943" tooltip="http://dx.doi.org/10.1111/tran.12161" display="http://dx.doi.org/10.1111/tran.12161"/>
    <hyperlink ref="BT482" r:id="rId_hyperlink_944" tooltip="View Full Record in Web of Science" display="View Full Record in Web of Science"/>
    <hyperlink ref="BF483" r:id="rId_hyperlink_945" tooltip="http://dx.doi.org/10.1111/j.1530-9290.2012.00531.x" display="http://dx.doi.org/10.1111/j.1530-9290.2012.00531.x"/>
    <hyperlink ref="BT483" r:id="rId_hyperlink_946" tooltip="View Full Record in Web of Science" display="View Full Record in Web of Science"/>
    <hyperlink ref="BF484" r:id="rId_hyperlink_947" tooltip="http://dx.doi.org/10.1111/1468-2427.13014" display="http://dx.doi.org/10.1111/1468-2427.13014"/>
    <hyperlink ref="BT484" r:id="rId_hyperlink_948" tooltip="View Full Record in Web of Science" display="View Full Record in Web of Science"/>
    <hyperlink ref="BF485" r:id="rId_hyperlink_949" tooltip="http://dx.doi.org/10.2166/ws.2020.028" display="http://dx.doi.org/10.2166/ws.2020.028"/>
    <hyperlink ref="BT485" r:id="rId_hyperlink_950" tooltip="View Full Record in Web of Science" display="View Full Record in Web of Science"/>
    <hyperlink ref="BF486" r:id="rId_hyperlink_951" tooltip="http://dx.doi.org/10.1016/j.jclepro.2018.11.205" display="http://dx.doi.org/10.1016/j.jclepro.2018.11.205"/>
    <hyperlink ref="BT486" r:id="rId_hyperlink_952" tooltip="View Full Record in Web of Science" display="View Full Record in Web of Science"/>
    <hyperlink ref="BF487" r:id="rId_hyperlink_953" tooltip="http://dx.doi.org/10.1016/j.cities.2021.103553" display="http://dx.doi.org/10.1016/j.cities.2021.103553"/>
    <hyperlink ref="BT487" r:id="rId_hyperlink_954" tooltip="View Full Record in Web of Science" display="View Full Record in Web of Science"/>
    <hyperlink ref="BF488" r:id="rId_hyperlink_955" tooltip="http://dx.doi.org/10.1016/j.resconrec.2017.02.020" display="http://dx.doi.org/10.1016/j.resconrec.2017.02.020"/>
    <hyperlink ref="BT488" r:id="rId_hyperlink_956" tooltip="View Full Record in Web of Science" display="View Full Record in Web of Science"/>
    <hyperlink ref="BF489" r:id="rId_hyperlink_957" tooltip="http://dx.doi.org/10.1111/area.12663" display="http://dx.doi.org/10.1111/area.12663"/>
    <hyperlink ref="BT489" r:id="rId_hyperlink_958" tooltip="View Full Record in Web of Science" display="View Full Record in Web of Science"/>
    <hyperlink ref="BF490" r:id="rId_hyperlink_959" tooltip="http://dx.doi.org/10.2166/wcc.2013.063" display="http://dx.doi.org/10.2166/wcc.2013.063"/>
    <hyperlink ref="BT490" r:id="rId_hyperlink_960" tooltip="View Full Record in Web of Science" display="View Full Record in Web of Science"/>
    <hyperlink ref="BF491" r:id="rId_hyperlink_961" tooltip="http://dx.doi.org/10.1016/j.cacint.2023.100121" display="http://dx.doi.org/10.1016/j.cacint.2023.100121"/>
    <hyperlink ref="BT491" r:id="rId_hyperlink_962" tooltip="View Full Record in Web of Science" display="View Full Record in Web of Science"/>
    <hyperlink ref="BF492" r:id="rId_hyperlink_963" tooltip="http://dx.doi.org/10.3390/h10030103" display="http://dx.doi.org/10.3390/h10030103"/>
    <hyperlink ref="BT492" r:id="rId_hyperlink_964" tooltip="View Full Record in Web of Science" display="View Full Record in Web of Science"/>
    <hyperlink ref="BF493" r:id="rId_hyperlink_965" tooltip="http://dx.doi.org/10.1016/j.enbuild.2010.09.002" display="http://dx.doi.org/10.1016/j.enbuild.2010.09.002"/>
    <hyperlink ref="BT493" r:id="rId_hyperlink_966" tooltip="View Full Record in Web of Science" display="View Full Record in Web of Science"/>
    <hyperlink ref="BF494" r:id="rId_hyperlink_967" tooltip="http://dx.doi.org/10.3390/su132011307" display="http://dx.doi.org/10.3390/su132011307"/>
    <hyperlink ref="BT494" r:id="rId_hyperlink_968" tooltip="View Full Record in Web of Science" display="View Full Record in Web of Science"/>
    <hyperlink ref="BF495" r:id="rId_hyperlink_969" tooltip="http://dx.doi.org/10.1021/acs.est.8b04063" display="http://dx.doi.org/10.1021/acs.est.8b04063"/>
    <hyperlink ref="BT495" r:id="rId_hyperlink_970" tooltip="View Full Record in Web of Science" display="View Full Record in Web of Science"/>
    <hyperlink ref="BF496" r:id="rId_hyperlink_971" tooltip="http://dx.doi.org/10.1016/j.jhazmat.2018.07.073" display="http://dx.doi.org/10.1016/j.jhazmat.2018.07.073"/>
    <hyperlink ref="BT496" r:id="rId_hyperlink_972" tooltip="View Full Record in Web of Science" display="View Full Record in Web of Science"/>
    <hyperlink ref="BF497" r:id="rId_hyperlink_973" tooltip="http://dx.doi.org/10.1007/s10113-011-0260-7" display="http://dx.doi.org/10.1007/s10113-011-0260-7"/>
    <hyperlink ref="BT497" r:id="rId_hyperlink_974" tooltip="View Full Record in Web of Science" display="View Full Record in Web of Science"/>
    <hyperlink ref="BF498" r:id="rId_hyperlink_975" tooltip="http://dx.doi.org/10.1080/02513625.2012.759354" display="http://dx.doi.org/10.1080/02513625.2012.759354"/>
    <hyperlink ref="BT498" r:id="rId_hyperlink_976" tooltip="View Full Record in Web of Science" display="View Full Record in Web of Science"/>
    <hyperlink ref="BF499" r:id="rId_hyperlink_977" tooltip="http://dx.doi.org/10.1177/0734242X221136467" display="http://dx.doi.org/10.1177/0734242X221136467"/>
    <hyperlink ref="BT499" r:id="rId_hyperlink_978" tooltip="View Full Record in Web of Science" display="View Full Record in Web of Science"/>
    <hyperlink ref="BF500" r:id="rId_hyperlink_979" tooltip="http://dx.doi.org/10.3390/su13158390" display="http://dx.doi.org/10.3390/su13158390"/>
    <hyperlink ref="BT500" r:id="rId_hyperlink_980" tooltip="View Full Record in Web of Science" display="View Full Record in Web of Science"/>
    <hyperlink ref="BF501" r:id="rId_hyperlink_981" tooltip="http://dx.doi.org/10.1016/j.scs.2020.102546" display="http://dx.doi.org/10.1016/j.scs.2020.102546"/>
    <hyperlink ref="BT501" r:id="rId_hyperlink_982" tooltip="View Full Record in Web of Science" display="View Full Record in Web of Science"/>
    <hyperlink ref="BF502" r:id="rId_hyperlink_983" tooltip="http://dx.doi.org/10.1016/j.eiar.2020.106469" display="http://dx.doi.org/10.1016/j.eiar.2020.106469"/>
    <hyperlink ref="BT502" r:id="rId_hyperlink_984" tooltip="View Full Record in Web of Science" display="View Full Record in Web of Science"/>
    <hyperlink ref="BF503" r:id="rId_hyperlink_985" tooltip="http://dx.doi.org/10.3390/su15107956" display="http://dx.doi.org/10.3390/su15107956"/>
    <hyperlink ref="BT503" r:id="rId_hyperlink_986" tooltip="View Full Record in Web of Science" display="View Full Record in Web of Science"/>
    <hyperlink ref="BF504" r:id="rId_hyperlink_987" tooltip="http://dx.doi.org/10.1016/j.scs.2021.103236" display="http://dx.doi.org/10.1016/j.scs.2021.103236"/>
    <hyperlink ref="BT504" r:id="rId_hyperlink_988" tooltip="View Full Record in Web of Science" display="View Full Record in Web of Science"/>
    <hyperlink ref="BF505" r:id="rId_hyperlink_989" tooltip="http://dx.doi.org/10.3390/su8050459" display="http://dx.doi.org/10.3390/su8050459"/>
    <hyperlink ref="BT505" r:id="rId_hyperlink_990" tooltip="View Full Record in Web of Science" display="View Full Record in Web of Science"/>
    <hyperlink ref="BF506" r:id="rId_hyperlink_991" tooltip="http://dx.doi.org/10.1016/j.enpol.2010.12.008" display="http://dx.doi.org/10.1016/j.enpol.2010.12.008"/>
    <hyperlink ref="BT506" r:id="rId_hyperlink_992" tooltip="View Full Record in Web of Science" display="View Full Record in Web of Science"/>
    <hyperlink ref="BF507" r:id="rId_hyperlink_993" tooltip="http://dx.doi.org/10.3390/w15061005" display="http://dx.doi.org/10.3390/w15061005"/>
    <hyperlink ref="BT507" r:id="rId_hyperlink_994" tooltip="View Full Record in Web of Science" display="View Full Record in Web of Science"/>
    <hyperlink ref="BF508" r:id="rId_hyperlink_995" tooltip="http://dx.doi.org/10.1016/j.jclepro.2021.128031" display="http://dx.doi.org/10.1016/j.jclepro.2021.128031"/>
    <hyperlink ref="BT508" r:id="rId_hyperlink_996" tooltip="View Full Record in Web of Science" display="View Full Record in Web of Science"/>
    <hyperlink ref="BF509" r:id="rId_hyperlink_997" tooltip="http://dx.doi.org/10.1016/j.scs.2018.11.030" display="http://dx.doi.org/10.1016/j.scs.2018.11.030"/>
    <hyperlink ref="BT509" r:id="rId_hyperlink_998" tooltip="View Full Record in Web of Science" display="View Full Record in Web of Science"/>
    <hyperlink ref="BF510" r:id="rId_hyperlink_999" tooltip="http://dx.doi.org/10.1007/s11442-016-1317-9" display="http://dx.doi.org/10.1007/s11442-016-1317-9"/>
    <hyperlink ref="BT510" r:id="rId_hyperlink_1000" tooltip="View Full Record in Web of Science" display="View Full Record in Web of Science"/>
    <hyperlink ref="BF511" r:id="rId_hyperlink_1001" tooltip="http://dx.doi.org/10.1016/j.ecolind.2023.110337" display="http://dx.doi.org/10.1016/j.ecolind.2023.110337"/>
    <hyperlink ref="BT511" r:id="rId_hyperlink_1002" tooltip="View Full Record in Web of Science" display="View Full Record in Web of Science"/>
    <hyperlink ref="BF512" r:id="rId_hyperlink_1003" tooltip="http://dx.doi.org/10.1111/j.1530-9290.2008.00085.x" display="http://dx.doi.org/10.1111/j.1530-9290.2008.00085.x"/>
    <hyperlink ref="BT512" r:id="rId_hyperlink_1004" tooltip="View Full Record in Web of Science" display="View Full Record in Web of Science"/>
    <hyperlink ref="BF513" r:id="rId_hyperlink_1005" tooltip="http://dx.doi.org/10.1007/s10113-023-02070-x" display="http://dx.doi.org/10.1007/s10113-023-02070-x"/>
    <hyperlink ref="BT513" r:id="rId_hyperlink_1006" tooltip="View Full Record in Web of Science" display="View Full Record in Web of Science"/>
    <hyperlink ref="BF514" r:id="rId_hyperlink_1007" tooltip="http://dx.doi.org/10.1016/j.cities.2021.103162" display="http://dx.doi.org/10.1016/j.cities.2021.103162"/>
    <hyperlink ref="BT514" r:id="rId_hyperlink_1008" tooltip="View Full Record in Web of Science" display="View Full Record in Web of Science"/>
    <hyperlink ref="BF515" r:id="rId_hyperlink_1009" tooltip="http://dx.doi.org/10.1016/j.scs.2018.04.027" display="http://dx.doi.org/10.1016/j.scs.2018.04.027"/>
    <hyperlink ref="BT515" r:id="rId_hyperlink_1010" tooltip="View Full Record in Web of Science" display="View Full Record in Web of Science"/>
    <hyperlink ref="BF516" r:id="rId_hyperlink_1011" tooltip="http://dx.doi.org/10.1016/j.cacint.2020.100044" display="http://dx.doi.org/10.1016/j.cacint.2020.100044"/>
    <hyperlink ref="BT516" r:id="rId_hyperlink_1012" tooltip="View Full Record in Web of Science" display="View Full Record in Web of Science"/>
    <hyperlink ref="BF517" r:id="rId_hyperlink_1013" tooltip="http://dx.doi.org/10.1016/j.jclepro.2022.134197" display="http://dx.doi.org/10.1016/j.jclepro.2022.134197"/>
    <hyperlink ref="BT517" r:id="rId_hyperlink_1014" tooltip="View Full Record in Web of Science" display="View Full Record in Web of Science"/>
    <hyperlink ref="BF518" r:id="rId_hyperlink_1015" tooltip="http://dx.doi.org/10.3390/su13147742" display="http://dx.doi.org/10.3390/su13147742"/>
    <hyperlink ref="BT518" r:id="rId_hyperlink_1016" tooltip="View Full Record in Web of Science" display="View Full Record in Web of Science"/>
    <hyperlink ref="BF519" r:id="rId_hyperlink_1017" tooltip="http://dx.doi.org/10.17645/up.v8i1.6178" display="http://dx.doi.org/10.17645/up.v8i1.6178"/>
    <hyperlink ref="BT519" r:id="rId_hyperlink_1018" tooltip="View Full Record in Web of Science" display="View Full Record in Web of Science"/>
    <hyperlink ref="BF520" r:id="rId_hyperlink_1019" tooltip="http://dx.doi.org/10.1007/s10113-021-01845-4" display="http://dx.doi.org/10.1007/s10113-021-01845-4"/>
    <hyperlink ref="BT520" r:id="rId_hyperlink_1020" tooltip="View Full Record in Web of Science" display="View Full Record in Web of Science"/>
    <hyperlink ref="BF521" r:id="rId_hyperlink_1021" tooltip="http://dx.doi.org/10.1016/j.eiar.2007.06.003" display="http://dx.doi.org/10.1016/j.eiar.2007.06.003"/>
    <hyperlink ref="BT521" r:id="rId_hyperlink_1022" tooltip="View Full Record in Web of Science" display="View Full Record in Web of Science"/>
    <hyperlink ref="BF522" r:id="rId_hyperlink_1023" tooltip="http://dx.doi.org/10.1016/j.resconrec.2021.106042" display="http://dx.doi.org/10.1016/j.resconrec.2021.106042"/>
    <hyperlink ref="BT522" r:id="rId_hyperlink_1024" tooltip="View Full Record in Web of Science" display="View Full Record in Web of Science"/>
    <hyperlink ref="BF523" r:id="rId_hyperlink_1025" tooltip="http://dx.doi.org/10.1007/s11367-019-01586-x" display="http://dx.doi.org/10.1007/s11367-019-01586-x"/>
    <hyperlink ref="BT523" r:id="rId_hyperlink_1026" tooltip="View Full Record in Web of Science" display="View Full Record in Web of Science"/>
    <hyperlink ref="BF524" r:id="rId_hyperlink_1027" tooltip="http://dx.doi.org/10.1016/j.enpol.2016.06.002" display="http://dx.doi.org/10.1016/j.enpol.2016.06.002"/>
    <hyperlink ref="BT524" r:id="rId_hyperlink_1028" tooltip="View Full Record in Web of Science" display="View Full Record in Web of Science"/>
    <hyperlink ref="BF525" r:id="rId_hyperlink_1029" tooltip="http://dx.doi.org/10.3390/su6128618" display="http://dx.doi.org/10.3390/su6128618"/>
    <hyperlink ref="BT525" r:id="rId_hyperlink_1030" tooltip="View Full Record in Web of Science" display="View Full Record in Web of Science"/>
    <hyperlink ref="BF526" r:id="rId_hyperlink_1031" tooltip="http://dx.doi.org/10.1111/jiec.12349" display="http://dx.doi.org/10.1111/jiec.12349"/>
    <hyperlink ref="BT526" r:id="rId_hyperlink_1032" tooltip="View Full Record in Web of Science" display="View Full Record in Web of Science"/>
    <hyperlink ref="BF527" r:id="rId_hyperlink_1033" tooltip="http://dx.doi.org/10.1016/S0169-2046(00)00109-2" display="http://dx.doi.org/10.1016/S0169-2046(00)00109-2"/>
    <hyperlink ref="BT527" r:id="rId_hyperlink_1034" tooltip="View Full Record in Web of Science" display="View Full Record in Web of Science"/>
    <hyperlink ref="BF528" r:id="rId_hyperlink_1035" tooltip="http://dx.doi.org/10.1080/19463138.2021.1898967" display="http://dx.doi.org/10.1080/19463138.2021.1898967"/>
    <hyperlink ref="BT528" r:id="rId_hyperlink_1036" tooltip="View Full Record in Web of Science" display="View Full Record in Web of Science"/>
    <hyperlink ref="BT529" r:id="rId_hyperlink_1037" tooltip="View Full Record in Web of Science" display="View Full Record in Web of Science"/>
    <hyperlink ref="BF530" r:id="rId_hyperlink_1038" tooltip="http://dx.doi.org/10.1016/j.scs.2023.104605" display="http://dx.doi.org/10.1016/j.scs.2023.104605"/>
    <hyperlink ref="BT530" r:id="rId_hyperlink_1039" tooltip="View Full Record in Web of Science" display="View Full Record in Web of Science"/>
    <hyperlink ref="BF531" r:id="rId_hyperlink_1040" tooltip="http://dx.doi.org/10.3390/su12051889" display="http://dx.doi.org/10.3390/su12051889"/>
    <hyperlink ref="BT531" r:id="rId_hyperlink_1041" tooltip="View Full Record in Web of Science" display="View Full Record in Web of Science"/>
    <hyperlink ref="BF532" r:id="rId_hyperlink_1042" tooltip="http://dx.doi.org/10.1080/24694452.2022.2062290" display="http://dx.doi.org/10.1080/24694452.2022.2062290"/>
    <hyperlink ref="BT532" r:id="rId_hyperlink_1043" tooltip="View Full Record in Web of Science" display="View Full Record in Web of Science"/>
    <hyperlink ref="BF533" r:id="rId_hyperlink_1044" tooltip="http://dx.doi.org/10.1002/aisy.202000043" display="http://dx.doi.org/10.1002/aisy.202000043"/>
    <hyperlink ref="BT533" r:id="rId_hyperlink_1045" tooltip="View Full Record in Web of Science" display="View Full Record in Web of Science"/>
    <hyperlink ref="BF534" r:id="rId_hyperlink_1046" tooltip="http://dx.doi.org/10.1016/j.energy.2019.01.048" display="http://dx.doi.org/10.1016/j.energy.2019.01.048"/>
    <hyperlink ref="BT534" r:id="rId_hyperlink_1047" tooltip="View Full Record in Web of Science" display="View Full Record in Web of Science"/>
    <hyperlink ref="BF535" r:id="rId_hyperlink_1048" tooltip="http://dx.doi.org/10.1016/j.enpol.2017.02.047" display="http://dx.doi.org/10.1016/j.enpol.2017.02.047"/>
    <hyperlink ref="BT535" r:id="rId_hyperlink_1049" tooltip="View Full Record in Web of Science" display="View Full Record in Web of Science"/>
    <hyperlink ref="BF536" r:id="rId_hyperlink_1050" tooltip="http://dx.doi.org/10.1016/j.geoforum.2019.10.008" display="http://dx.doi.org/10.1016/j.geoforum.2019.10.008"/>
    <hyperlink ref="BT536" r:id="rId_hyperlink_1051" tooltip="View Full Record in Web of Science" display="View Full Record in Web of Science"/>
    <hyperlink ref="BF537" r:id="rId_hyperlink_1052" tooltip="http://dx.doi.org/10.1016/j.worlddev.2019.06.026" display="http://dx.doi.org/10.1016/j.worlddev.2019.06.026"/>
    <hyperlink ref="BT537" r:id="rId_hyperlink_1053" tooltip="View Full Record in Web of Science" display="View Full Record in Web of Science"/>
    <hyperlink ref="BF538" r:id="rId_hyperlink_1054" tooltip="http://dx.doi.org/10.1016/j.jclepro.2023.137082" display="http://dx.doi.org/10.1016/j.jclepro.2023.137082"/>
    <hyperlink ref="BT538" r:id="rId_hyperlink_1055" tooltip="View Full Record in Web of Science" display="View Full Record in Web of Science"/>
    <hyperlink ref="BF539" r:id="rId_hyperlink_1056" tooltip="http://dx.doi.org/10.3390/su8030220" display="http://dx.doi.org/10.3390/su8030220"/>
    <hyperlink ref="BT539" r:id="rId_hyperlink_1057" tooltip="View Full Record in Web of Science" display="View Full Record in Web of Science"/>
    <hyperlink ref="BF540" r:id="rId_hyperlink_1058" tooltip="http://dx.doi.org/10.1080/20964129.2020.1839358" display="http://dx.doi.org/10.1080/20964129.2020.1839358"/>
    <hyperlink ref="BT540" r:id="rId_hyperlink_1059" tooltip="View Full Record in Web of Science" display="View Full Record in Web of Science"/>
    <hyperlink ref="BF541" r:id="rId_hyperlink_1060" tooltip="http://dx.doi.org/10.5004/dwt.2017.20814" display="http://dx.doi.org/10.5004/dwt.2017.20814"/>
    <hyperlink ref="BT541" r:id="rId_hyperlink_1061" tooltip="View Full Record in Web of Science" display="View Full Record in Web of Science"/>
    <hyperlink ref="BF542" r:id="rId_hyperlink_1062" tooltip="http://dx.doi.org/10.1007/s13593-015-0348-4" display="http://dx.doi.org/10.1007/s13593-015-0348-4"/>
    <hyperlink ref="BT542" r:id="rId_hyperlink_1063" tooltip="View Full Record in Web of Science" display="View Full Record in Web of Science"/>
    <hyperlink ref="BF543" r:id="rId_hyperlink_1064" tooltip="http://dx.doi.org/10.1016/j.scitotenv.2006.12.003" display="http://dx.doi.org/10.1016/j.scitotenv.2006.12.003"/>
    <hyperlink ref="BT543" r:id="rId_hyperlink_1065" tooltip="View Full Record in Web of Science" display="View Full Record in Web of Science"/>
    <hyperlink ref="BF544" r:id="rId_hyperlink_1066" tooltip="http://dx.doi.org/10.3390/rs13081503" display="http://dx.doi.org/10.3390/rs13081503"/>
    <hyperlink ref="BT544" r:id="rId_hyperlink_1067" tooltip="View Full Record in Web of Science" display="View Full Record in Web of Science"/>
    <hyperlink ref="BF545" r:id="rId_hyperlink_1068" tooltip="http://dx.doi.org/10.1177/25148486211051082" display="http://dx.doi.org/10.1177/25148486211051082"/>
    <hyperlink ref="BT545" r:id="rId_hyperlink_1069" tooltip="View Full Record in Web of Science" display="View Full Record in Web of Science"/>
    <hyperlink ref="BF546" r:id="rId_hyperlink_1070" tooltip="http://dx.doi.org/10.3992/1943-4618.14.3.63" display="http://dx.doi.org/10.3992/1943-4618.14.3.63"/>
    <hyperlink ref="BT546" r:id="rId_hyperlink_1071" tooltip="View Full Record in Web of Science" display="View Full Record in Web of Science"/>
    <hyperlink ref="BF547" r:id="rId_hyperlink_1072" tooltip="http://dx.doi.org/10.1111/jiec.12239" display="http://dx.doi.org/10.1111/jiec.12239"/>
    <hyperlink ref="BT547" r:id="rId_hyperlink_1073" tooltip="View Full Record in Web of Science" display="View Full Record in Web of Science"/>
    <hyperlink ref="BF548" r:id="rId_hyperlink_1074" tooltip="http://dx.doi.org/10.1016/j.jclepro.2014.04.012" display="http://dx.doi.org/10.1016/j.jclepro.2014.04.012"/>
    <hyperlink ref="BT548" r:id="rId_hyperlink_1075" tooltip="View Full Record in Web of Science" display="View Full Record in Web of Science"/>
    <hyperlink ref="BF549" r:id="rId_hyperlink_1076" tooltip="http://dx.doi.org/10.1111/jiec.13097" display="http://dx.doi.org/10.1111/jiec.13097"/>
    <hyperlink ref="BT549" r:id="rId_hyperlink_1077" tooltip="View Full Record in Web of Science" display="View Full Record in Web of Science"/>
    <hyperlink ref="BF550" r:id="rId_hyperlink_1078" tooltip="http://dx.doi.org/10.3390/su12135417" display="http://dx.doi.org/10.3390/su12135417"/>
    <hyperlink ref="BT550" r:id="rId_hyperlink_1079" tooltip="View Full Record in Web of Science" display="View Full Record in Web of Science"/>
    <hyperlink ref="BF551" r:id="rId_hyperlink_1080" tooltip="http://dx.doi.org/10.1016/j.jclepro.2019.118975" display="http://dx.doi.org/10.1016/j.jclepro.2019.118975"/>
    <hyperlink ref="BT551" r:id="rId_hyperlink_1081" tooltip="View Full Record in Web of Science" display="View Full Record in Web of Science"/>
    <hyperlink ref="BF552" r:id="rId_hyperlink_1082" tooltip="http://dx.doi.org/10.1016/j.scs.2022.104052" display="http://dx.doi.org/10.1016/j.scs.2022.104052"/>
    <hyperlink ref="BT552" r:id="rId_hyperlink_1083" tooltip="View Full Record in Web of Science" display="View Full Record in Web of Science"/>
    <hyperlink ref="BF553" r:id="rId_hyperlink_1084" tooltip="http://dx.doi.org/10.1088/2634-4505/ace738" display="http://dx.doi.org/10.1088/2634-4505/ace738"/>
    <hyperlink ref="BT553" r:id="rId_hyperlink_1085" tooltip="View Full Record in Web of Science" display="View Full Record in Web of Science"/>
    <hyperlink ref="BF554" r:id="rId_hyperlink_1086" tooltip="http://dx.doi.org/10.1007/s10460-021-10253-7" display="http://dx.doi.org/10.1007/s10460-021-10253-7"/>
    <hyperlink ref="BT554" r:id="rId_hyperlink_1087" tooltip="View Full Record in Web of Science" display="View Full Record in Web of Science"/>
    <hyperlink ref="BF555" r:id="rId_hyperlink_1088" tooltip="http://dx.doi.org/10.1111/jiec.12651" display="http://dx.doi.org/10.1111/jiec.12651"/>
    <hyperlink ref="BT555" r:id="rId_hyperlink_1089" tooltip="View Full Record in Web of Science" display="View Full Record in Web of Science"/>
    <hyperlink ref="BF556" r:id="rId_hyperlink_1090" tooltip="http://dx.doi.org/10.1016/j.ecolecon.2019.106567" display="http://dx.doi.org/10.1016/j.ecolecon.2019.106567"/>
    <hyperlink ref="BT556" r:id="rId_hyperlink_1091" tooltip="View Full Record in Web of Science" display="View Full Record in Web of Science"/>
    <hyperlink ref="BF557" r:id="rId_hyperlink_1092" tooltip="http://dx.doi.org/10.1002/sd.2766" display="http://dx.doi.org/10.1002/sd.2766"/>
    <hyperlink ref="BT557" r:id="rId_hyperlink_1093" tooltip="View Full Record in Web of Science" display="View Full Record in Web of Science"/>
    <hyperlink ref="BF558" r:id="rId_hyperlink_1094" tooltip="http://dx.doi.org/10.1016/j.ecolecon.2015.07.019" display="http://dx.doi.org/10.1016/j.ecolecon.2015.07.019"/>
    <hyperlink ref="BT558" r:id="rId_hyperlink_1095" tooltip="View Full Record in Web of Science" display="View Full Record in Web of Science"/>
    <hyperlink ref="BF559" r:id="rId_hyperlink_1096" tooltip="http://dx.doi.org/10.1016/j.jclepro.2023.137379" display="http://dx.doi.org/10.1016/j.jclepro.2023.137379"/>
    <hyperlink ref="BT559" r:id="rId_hyperlink_1097" tooltip="View Full Record in Web of Science" display="View Full Record in Web of Science"/>
    <hyperlink ref="BF560" r:id="rId_hyperlink_1098" tooltip="http://dx.doi.org/10.1016/j.scs.2018.03.001" display="http://dx.doi.org/10.1016/j.scs.2018.03.001"/>
    <hyperlink ref="BT560" r:id="rId_hyperlink_1099" tooltip="View Full Record in Web of Science" display="View Full Record in Web of Science"/>
    <hyperlink ref="BF561" r:id="rId_hyperlink_1100" tooltip="http://dx.doi.org/10.34133/ehs.0084" display="http://dx.doi.org/10.34133/ehs.0084"/>
    <hyperlink ref="BT561" r:id="rId_hyperlink_1101" tooltip="View Full Record in Web of Science" display="View Full Record in Web of Science"/>
    <hyperlink ref="BF562" r:id="rId_hyperlink_1102" tooltip="http://dx.doi.org/10.1016/j.landurbplan.2017.04.015" display="http://dx.doi.org/10.1016/j.landurbplan.2017.04.015"/>
    <hyperlink ref="BT562" r:id="rId_hyperlink_1103" tooltip="View Full Record in Web of Science" display="View Full Record in Web of Science"/>
    <hyperlink ref="BF563" r:id="rId_hyperlink_1104" tooltip="http://dx.doi.org/10.1007/s41060-020-00207-3" display="http://dx.doi.org/10.1007/s41060-020-00207-3"/>
    <hyperlink ref="BT563" r:id="rId_hyperlink_1105" tooltip="View Full Record in Web of Science" display="View Full Record in Web of Science"/>
    <hyperlink ref="BF564" r:id="rId_hyperlink_1106" tooltip="http://dx.doi.org/10.1177/0734242X20965676" display="http://dx.doi.org/10.1177/0734242X20965676"/>
    <hyperlink ref="BT564" r:id="rId_hyperlink_1107" tooltip="View Full Record in Web of Science" display="View Full Record in Web of Science"/>
    <hyperlink ref="BF565" r:id="rId_hyperlink_1108" tooltip="http://dx.doi.org/10.1016/j.jclepro.2016.11.018" display="http://dx.doi.org/10.1016/j.jclepro.2016.11.018"/>
    <hyperlink ref="BT565" r:id="rId_hyperlink_1109" tooltip="View Full Record in Web of Science" display="View Full Record in Web of Science"/>
    <hyperlink ref="BF566" r:id="rId_hyperlink_1110" tooltip="http://dx.doi.org/10.1007/s11707-014-0407-1" display="http://dx.doi.org/10.1007/s11707-014-0407-1"/>
    <hyperlink ref="BT566" r:id="rId_hyperlink_1111" tooltip="View Full Record in Web of Science" display="View Full Record in Web of Science"/>
    <hyperlink ref="BF567" r:id="rId_hyperlink_1112" tooltip="http://dx.doi.org/10.3390/su14095386" display="http://dx.doi.org/10.3390/su14095386"/>
    <hyperlink ref="BT567" r:id="rId_hyperlink_1113" tooltip="View Full Record in Web of Science" display="View Full Record in Web of Science"/>
    <hyperlink ref="BF568" r:id="rId_hyperlink_1114" tooltip="http://dx.doi.org/10.1016/j.jclepro.2018.07.298" display="http://dx.doi.org/10.1016/j.jclepro.2018.07.298"/>
    <hyperlink ref="BT568" r:id="rId_hyperlink_1115" tooltip="View Full Record in Web of Science" display="View Full Record in Web of Science"/>
    <hyperlink ref="BF569" r:id="rId_hyperlink_1116" tooltip="http://dx.doi.org/10.1016/j.scs.2014.07.002" display="http://dx.doi.org/10.1016/j.scs.2014.07.002"/>
    <hyperlink ref="BT569" r:id="rId_hyperlink_1117" tooltip="View Full Record in Web of Science" display="View Full Record in Web of Science"/>
    <hyperlink ref="BF570" r:id="rId_hyperlink_1118" tooltip="http://dx.doi.org/10.1016/j.scitotenv.2022.160576" display="http://dx.doi.org/10.1016/j.scitotenv.2022.160576"/>
    <hyperlink ref="BT570" r:id="rId_hyperlink_1119" tooltip="View Full Record in Web of Science" display="View Full Record in Web of Science"/>
    <hyperlink ref="BF571" r:id="rId_hyperlink_1120" tooltip="http://dx.doi.org/10.1111/jiec.12995" display="http://dx.doi.org/10.1111/jiec.12995"/>
    <hyperlink ref="BT571" r:id="rId_hyperlink_1121" tooltip="View Full Record in Web of Science" display="View Full Record in Web of Science"/>
    <hyperlink ref="BF572" r:id="rId_hyperlink_1122" tooltip="http://dx.doi.org/10.1016/j.jclepro.2019.118063" display="http://dx.doi.org/10.1016/j.jclepro.2019.118063"/>
    <hyperlink ref="BT572" r:id="rId_hyperlink_1123" tooltip="View Full Record in Web of Science" display="View Full Record in Web of Science"/>
    <hyperlink ref="BF573" r:id="rId_hyperlink_1124" tooltip="http://dx.doi.org/10.1016/j.scitotenv.2013.08.047" display="http://dx.doi.org/10.1016/j.scitotenv.2013.08.047"/>
    <hyperlink ref="BT573" r:id="rId_hyperlink_1125" tooltip="View Full Record in Web of Science" display="View Full Record in Web of Science"/>
    <hyperlink ref="BF574" r:id="rId_hyperlink_1126" tooltip="http://dx.doi.org/10.1111/jiec.13392" display="http://dx.doi.org/10.1111/jiec.13392"/>
    <hyperlink ref="BT574" r:id="rId_hyperlink_1127" tooltip="View Full Record in Web of Science" display="View Full Record in Web of Science"/>
    <hyperlink ref="BF575" r:id="rId_hyperlink_1128" tooltip="http://dx.doi.org/10.3390/su12062191" display="http://dx.doi.org/10.3390/su12062191"/>
    <hyperlink ref="BT575" r:id="rId_hyperlink_1129" tooltip="View Full Record in Web of Science" display="View Full Record in Web of Science"/>
    <hyperlink ref="BF576" r:id="rId_hyperlink_1130" tooltip="http://dx.doi.org/10.3390/su9010122" display="http://dx.doi.org/10.3390/su9010122"/>
    <hyperlink ref="BT576" r:id="rId_hyperlink_1131" tooltip="View Full Record in Web of Science" display="View Full Record in Web of Science"/>
    <hyperlink ref="BF577" r:id="rId_hyperlink_1132" tooltip="http://dx.doi.org/10.3390/atmos14061025" display="http://dx.doi.org/10.3390/atmos14061025"/>
    <hyperlink ref="BT577" r:id="rId_hyperlink_1133" tooltip="View Full Record in Web of Science" display="View Full Record in Web of Science"/>
    <hyperlink ref="BF578" r:id="rId_hyperlink_1134" tooltip="http://dx.doi.org/10.1016/j.geoforum.2017.03.002" display="http://dx.doi.org/10.1016/j.geoforum.2017.03.002"/>
    <hyperlink ref="BT578" r:id="rId_hyperlink_1135" tooltip="View Full Record in Web of Science" display="View Full Record in Web of Science"/>
    <hyperlink ref="BF579" r:id="rId_hyperlink_1136" tooltip="http://dx.doi.org/10.3390/world2010003" display="http://dx.doi.org/10.3390/world2010003"/>
    <hyperlink ref="BT579" r:id="rId_hyperlink_1137" tooltip="View Full Record in Web of Science" display="View Full Record in Web of Science"/>
    <hyperlink ref="BF580" r:id="rId_hyperlink_1138" tooltip="http://dx.doi.org/10.1071/EN08078" display="http://dx.doi.org/10.1071/EN08078"/>
    <hyperlink ref="BT580" r:id="rId_hyperlink_1139" tooltip="View Full Record in Web of Science" display="View Full Record in Web of Science"/>
    <hyperlink ref="BF581" r:id="rId_hyperlink_1140" tooltip="http://dx.doi.org/10.1177/0042098016686535" display="http://dx.doi.org/10.1177/0042098016686535"/>
    <hyperlink ref="BT581" r:id="rId_hyperlink_1141" tooltip="View Full Record in Web of Science" display="View Full Record in Web of Science"/>
    <hyperlink ref="BF582" r:id="rId_hyperlink_1142" tooltip="http://dx.doi.org/10.1016/j.scs.2021.103553" display="http://dx.doi.org/10.1016/j.scs.2021.103553"/>
    <hyperlink ref="BT582" r:id="rId_hyperlink_1143" tooltip="View Full Record in Web of Science" display="View Full Record in Web of Science"/>
    <hyperlink ref="BF583" r:id="rId_hyperlink_1144" tooltip="http://dx.doi.org/10.1080/1943815X.2020.1841241" display="http://dx.doi.org/10.1080/1943815X.2020.1841241"/>
    <hyperlink ref="BT583" r:id="rId_hyperlink_1145" tooltip="View Full Record in Web of Science" display="View Full Record in Web of Science"/>
    <hyperlink ref="BF584" r:id="rId_hyperlink_1146" tooltip="http://dx.doi.org/10.3390/en16217325" display="http://dx.doi.org/10.3390/en16217325"/>
    <hyperlink ref="BT584" r:id="rId_hyperlink_1147" tooltip="View Full Record in Web of Science" display="View Full Record in Web of Science"/>
    <hyperlink ref="BF585" r:id="rId_hyperlink_1148" tooltip="http://dx.doi.org/10.1007/s11252-014-0413-9" display="http://dx.doi.org/10.1007/s11252-014-0413-9"/>
    <hyperlink ref="BT585" r:id="rId_hyperlink_1149" tooltip="View Full Record in Web of Science" display="View Full Record in Web of Science"/>
    <hyperlink ref="BF586" r:id="rId_hyperlink_1150" tooltip="http://dx.doi.org/10.1111/jiec.13110" display="http://dx.doi.org/10.1111/jiec.13110"/>
    <hyperlink ref="BT586" r:id="rId_hyperlink_1151" tooltip="View Full Record in Web of Science" display="View Full Record in Web of Science"/>
    <hyperlink ref="BF587" r:id="rId_hyperlink_1152" tooltip="http://dx.doi.org/10.3390/su12176975" display="http://dx.doi.org/10.3390/su12176975"/>
    <hyperlink ref="BT587" r:id="rId_hyperlink_1153" tooltip="View Full Record in Web of Science" display="View Full Record in Web of Science"/>
    <hyperlink ref="BF588" r:id="rId_hyperlink_1154" tooltip="http://dx.doi.org/10.3390/su11123246" display="http://dx.doi.org/10.3390/su11123246"/>
    <hyperlink ref="BT588" r:id="rId_hyperlink_1155" tooltip="View Full Record in Web of Science" display="View Full Record in Web of Science"/>
    <hyperlink ref="BF589" r:id="rId_hyperlink_1156" tooltip="http://dx.doi.org/10.1016/j.compenvurbsys.2021.101647" display="http://dx.doi.org/10.1016/j.compenvurbsys.2021.101647"/>
    <hyperlink ref="BT589" r:id="rId_hyperlink_1157" tooltip="View Full Record in Web of Science" display="View Full Record in Web of Science"/>
    <hyperlink ref="BF590" r:id="rId_hyperlink_1158" tooltip="http://dx.doi.org/10.1111/jiec.12446" display="http://dx.doi.org/10.1111/jiec.12446"/>
    <hyperlink ref="BT590" r:id="rId_hyperlink_1159" tooltip="View Full Record in Web of Science" display="View Full Record in Web of Science"/>
    <hyperlink ref="BF591" r:id="rId_hyperlink_1160" tooltip="http://dx.doi.org/10.7717/peerj.6869" display="http://dx.doi.org/10.7717/peerj.6869"/>
    <hyperlink ref="BT591" r:id="rId_hyperlink_1161" tooltip="View Full Record in Web of Science" display="View Full Record in Web of Science"/>
    <hyperlink ref="BF592" r:id="rId_hyperlink_1162" tooltip="http://dx.doi.org/10.1016/j.jenvman.2022.115095" display="http://dx.doi.org/10.1016/j.jenvman.2022.115095"/>
    <hyperlink ref="BT592" r:id="rId_hyperlink_1163" tooltip="View Full Record in Web of Science" display="View Full Record in Web of Science"/>
    <hyperlink ref="BF593" r:id="rId_hyperlink_1164" tooltip="http://dx.doi.org/10.1177/0969776412474665" display="http://dx.doi.org/10.1177/0969776412474665"/>
    <hyperlink ref="BT593" r:id="rId_hyperlink_1165" tooltip="View Full Record in Web of Science" display="View Full Record in Web of Science"/>
    <hyperlink ref="BF594" r:id="rId_hyperlink_1166" tooltip="http://dx.doi.org/10.1016/j.envres.2023.116737" display="http://dx.doi.org/10.1016/j.envres.2023.116737"/>
    <hyperlink ref="BT594" r:id="rId_hyperlink_1167" tooltip="View Full Record in Web of Science" display="View Full Record in Web of Science"/>
    <hyperlink ref="BF595" r:id="rId_hyperlink_1168" tooltip="http://dx.doi.org/10.1016/j.scitotenv.2018.09.293" display="http://dx.doi.org/10.1016/j.scitotenv.2018.09.293"/>
    <hyperlink ref="BT595" r:id="rId_hyperlink_1169" tooltip="View Full Record in Web of Science" display="View Full Record in Web of Science"/>
    <hyperlink ref="BF596" r:id="rId_hyperlink_1170" tooltip="http://dx.doi.org/10.5194/amt-8-3481-2015" display="http://dx.doi.org/10.5194/amt-8-3481-2015"/>
    <hyperlink ref="BT596" r:id="rId_hyperlink_1171" tooltip="View Full Record in Web of Science" display="View Full Record in Web of Science"/>
    <hyperlink ref="BF597" r:id="rId_hyperlink_1172" tooltip="http://dx.doi.org/10.1007/s11356-022-18916-6" display="http://dx.doi.org/10.1007/s11356-022-18916-6"/>
    <hyperlink ref="BT597" r:id="rId_hyperlink_1173" tooltip="View Full Record in Web of Science" display="View Full Record in Web of Science"/>
    <hyperlink ref="BF598" r:id="rId_hyperlink_1174" tooltip="http://dx.doi.org/10.1016/j.resconrec.2020.104725" display="http://dx.doi.org/10.1016/j.resconrec.2020.104725"/>
    <hyperlink ref="BT598" r:id="rId_hyperlink_1175" tooltip="View Full Record in Web of Science" display="View Full Record in Web of Science"/>
    <hyperlink ref="BF599" r:id="rId_hyperlink_1176" tooltip="http://dx.doi.org/10.2166/bgs.2020.929" display="http://dx.doi.org/10.2166/bgs.2020.929"/>
    <hyperlink ref="BT599" r:id="rId_hyperlink_1177" tooltip="View Full Record in Web of Science" display="View Full Record in Web of Science"/>
    <hyperlink ref="BF600" r:id="rId_hyperlink_1178" tooltip="http://dx.doi.org/10.1016/j.apr.2018.10.009" display="http://dx.doi.org/10.1016/j.apr.2018.10.009"/>
    <hyperlink ref="BT600" r:id="rId_hyperlink_1179" tooltip="View Full Record in Web of Science" display="View Full Record in Web of Science"/>
    <hyperlink ref="BF601" r:id="rId_hyperlink_1180" tooltip="http://dx.doi.org/10.1016/j.resconrec.2017.09.022" display="http://dx.doi.org/10.1016/j.resconrec.2017.09.022"/>
    <hyperlink ref="BT601" r:id="rId_hyperlink_1181" tooltip="View Full Record in Web of Science" display="View Full Record in Web of Science"/>
    <hyperlink ref="BF602" r:id="rId_hyperlink_1182" tooltip="http://dx.doi.org/10.3390/land12040841" display="http://dx.doi.org/10.3390/land12040841"/>
    <hyperlink ref="BT602" r:id="rId_hyperlink_1183" tooltip="View Full Record in Web of Science" display="View Full Record in Web of Science"/>
    <hyperlink ref="BF603" r:id="rId_hyperlink_1184" tooltip="http://dx.doi.org/10.1016/j.jclepro.2020.124694" display="http://dx.doi.org/10.1016/j.jclepro.2020.124694"/>
    <hyperlink ref="BT603" r:id="rId_hyperlink_1185" tooltip="View Full Record in Web of Science" display="View Full Record in Web of Science"/>
    <hyperlink ref="BF604" r:id="rId_hyperlink_1186" tooltip="http://dx.doi.org/10.1016/j.resconrec.2020.104909" display="http://dx.doi.org/10.1016/j.resconrec.2020.104909"/>
    <hyperlink ref="BT604" r:id="rId_hyperlink_1187" tooltip="View Full Record in Web of Science" display="View Full Record in Web of Science"/>
    <hyperlink ref="BF605" r:id="rId_hyperlink_1188" tooltip="http://dx.doi.org/10.1016/j.ecolmodel.2019.03.025" display="http://dx.doi.org/10.1016/j.ecolmodel.2019.03.025"/>
    <hyperlink ref="BT605" r:id="rId_hyperlink_1189" tooltip="View Full Record in Web of Science" display="View Full Record in Web of Science"/>
    <hyperlink ref="BF606" r:id="rId_hyperlink_1190" tooltip="http://dx.doi.org/10.1016/j.jclepro.2015.08.080" display="http://dx.doi.org/10.1016/j.jclepro.2015.08.080"/>
    <hyperlink ref="BT606" r:id="rId_hyperlink_1191" tooltip="View Full Record in Web of Science" display="View Full Record in Web of Science"/>
    <hyperlink ref="BF607" r:id="rId_hyperlink_1192" tooltip="http://dx.doi.org/10.1016/j.scitotenv.2017.08.213" display="http://dx.doi.org/10.1016/j.scitotenv.2017.08.213"/>
    <hyperlink ref="BT607" r:id="rId_hyperlink_1193" tooltip="View Full Record in Web of Science" display="View Full Record in Web of Science"/>
    <hyperlink ref="BF608" r:id="rId_hyperlink_1194" tooltip="http://dx.doi.org/10.1016/j.jclepro.2022.133918" display="http://dx.doi.org/10.1016/j.jclepro.2022.133918"/>
    <hyperlink ref="BT608" r:id="rId_hyperlink_1195" tooltip="View Full Record in Web of Science" display="View Full Record in Web of Science"/>
    <hyperlink ref="BF609" r:id="rId_hyperlink_1196" tooltip="http://dx.doi.org/10.1111/jiec.12088" display="http://dx.doi.org/10.1111/jiec.12088"/>
    <hyperlink ref="BT609" r:id="rId_hyperlink_1197" tooltip="View Full Record in Web of Science" display="View Full Record in Web of Science"/>
    <hyperlink ref="BF610" r:id="rId_hyperlink_1198" tooltip="http://dx.doi.org/10.1007/s11783-013-0549-5" display="http://dx.doi.org/10.1007/s11783-013-0549-5"/>
    <hyperlink ref="BT610" r:id="rId_hyperlink_1199" tooltip="View Full Record in Web of Science" display="View Full Record in Web of Science"/>
    <hyperlink ref="BF611" r:id="rId_hyperlink_1200" tooltip="http://dx.doi.org/10.1016/j.ecolmodel.2013.01.002" display="http://dx.doi.org/10.1016/j.ecolmodel.2013.01.002"/>
    <hyperlink ref="BT611" r:id="rId_hyperlink_1201" tooltip="View Full Record in Web of Science" display="View Full Record in Web of Science"/>
    <hyperlink ref="BF612" r:id="rId_hyperlink_1202" tooltip="http://dx.doi.org/10.1016/j.ufug.2020.126934" display="http://dx.doi.org/10.1016/j.ufug.2020.126934"/>
    <hyperlink ref="BT612" r:id="rId_hyperlink_1203" tooltip="View Full Record in Web of Science" display="View Full Record in Web of Science"/>
    <hyperlink ref="BF613" r:id="rId_hyperlink_1204" tooltip="http://dx.doi.org/10.1061/(ASCE)EE.1943-7870.0000661" display="http://dx.doi.org/10.1061/(ASCE)EE.1943-7870.0000661"/>
    <hyperlink ref="BT613" r:id="rId_hyperlink_1205" tooltip="View Full Record in Web of Science" display="View Full Record in Web of Science"/>
    <hyperlink ref="BF614" r:id="rId_hyperlink_1206" tooltip="http://dx.doi.org/10.1016/j.jclepro.2021.125856" display="http://dx.doi.org/10.1016/j.jclepro.2021.125856"/>
    <hyperlink ref="BT614" r:id="rId_hyperlink_1207" tooltip="View Full Record in Web of Science" display="View Full Record in Web of Science"/>
    <hyperlink ref="BF615" r:id="rId_hyperlink_1208" tooltip="http://dx.doi.org/10.1016/j.indic.2020.100023" display="http://dx.doi.org/10.1016/j.indic.2020.100023"/>
    <hyperlink ref="BT615" r:id="rId_hyperlink_1209" tooltip="View Full Record in Web of Science" display="View Full Record in Web of Science"/>
    <hyperlink ref="BF616" r:id="rId_hyperlink_1210" tooltip="http://dx.doi.org/10.1016/j.ejrh.2023.101631" display="http://dx.doi.org/10.1016/j.ejrh.2023.101631"/>
    <hyperlink ref="BT616" r:id="rId_hyperlink_1211" tooltip="View Full Record in Web of Science" display="View Full Record in Web of Science"/>
    <hyperlink ref="BF617" r:id="rId_hyperlink_1212" tooltip="http://dx.doi.org/10.1016/j.rser.2022.112418" display="http://dx.doi.org/10.1016/j.rser.2022.112418"/>
    <hyperlink ref="BT617" r:id="rId_hyperlink_1213" tooltip="View Full Record in Web of Science" display="View Full Record in Web of Science"/>
    <hyperlink ref="BF618" r:id="rId_hyperlink_1214" tooltip="http://dx.doi.org/10.1080/02723638.2017.1388733" display="http://dx.doi.org/10.1080/02723638.2017.1388733"/>
    <hyperlink ref="BT618" r:id="rId_hyperlink_1215" tooltip="View Full Record in Web of Science" display="View Full Record in Web of Science"/>
    <hyperlink ref="BF619" r:id="rId_hyperlink_1216" tooltip="http://dx.doi.org/10.3390/su8040329" display="http://dx.doi.org/10.3390/su8040329"/>
    <hyperlink ref="BT619" r:id="rId_hyperlink_1217" tooltip="View Full Record in Web of Science" display="View Full Record in Web of Science"/>
    <hyperlink ref="BF620" r:id="rId_hyperlink_1218" tooltip="http://dx.doi.org/10.1016/j.jclepro.2017.05.024" display="http://dx.doi.org/10.1016/j.jclepro.2017.05.024"/>
    <hyperlink ref="BT620" r:id="rId_hyperlink_1219" tooltip="View Full Record in Web of Science" display="View Full Record in Web of Science"/>
    <hyperlink ref="BF621" r:id="rId_hyperlink_1220" tooltip="http://dx.doi.org/10.1016/S0921-8009(02)00029-0" display="http://dx.doi.org/10.1016/S0921-8009(02)00029-0"/>
    <hyperlink ref="BT621" r:id="rId_hyperlink_1221" tooltip="View Full Record in Web of Science" display="View Full Record in Web of Science"/>
    <hyperlink ref="BF622" r:id="rId_hyperlink_1222" tooltip="http://dx.doi.org/10.1016/j.jclepro.2017.06.030" display="http://dx.doi.org/10.1016/j.jclepro.2017.06.030"/>
    <hyperlink ref="BT622" r:id="rId_hyperlink_1223" tooltip="View Full Record in Web of Science" display="View Full Record in Web of Science"/>
    <hyperlink ref="BF623" r:id="rId_hyperlink_1224" tooltip="http://dx.doi.org/10.1016/j.ecolind.2020.106687" display="http://dx.doi.org/10.1016/j.ecolind.2020.106687"/>
    <hyperlink ref="BT623" r:id="rId_hyperlink_1225" tooltip="View Full Record in Web of Science" display="View Full Record in Web of Science"/>
    <hyperlink ref="BF624" r:id="rId_hyperlink_1226" tooltip="http://dx.doi.org/10.1016/j.scitotenv.2023.163077" display="http://dx.doi.org/10.1016/j.scitotenv.2023.163077"/>
    <hyperlink ref="BT624" r:id="rId_hyperlink_1227" tooltip="View Full Record in Web of Science" display="View Full Record in Web of Science"/>
    <hyperlink ref="BF625" r:id="rId_hyperlink_1228" tooltip="http://dx.doi.org/10.1016/j.jenvman.2015.02.042" display="http://dx.doi.org/10.1016/j.jenvman.2015.02.042"/>
    <hyperlink ref="BT625" r:id="rId_hyperlink_1229" tooltip="View Full Record in Web of Science" display="View Full Record in Web of Science"/>
    <hyperlink ref="BF626" r:id="rId_hyperlink_1230" tooltip="http://dx.doi.org/10.1016/j.scs.2023.104396" display="http://dx.doi.org/10.1016/j.scs.2023.104396"/>
    <hyperlink ref="BT626" r:id="rId_hyperlink_1231" tooltip="View Full Record in Web of Science" display="View Full Record in Web of Science"/>
    <hyperlink ref="BF627" r:id="rId_hyperlink_1232" tooltip="http://dx.doi.org/10.1371/journal.pone.0262782" display="http://dx.doi.org/10.1371/journal.pone.0262782"/>
    <hyperlink ref="BT627" r:id="rId_hyperlink_1233" tooltip="View Full Record in Web of Science" display="View Full Record in Web of Science"/>
    <hyperlink ref="BF628" r:id="rId_hyperlink_1234" tooltip="http://dx.doi.org/10.1016/j.jclepro.2020.122551" display="http://dx.doi.org/10.1016/j.jclepro.2020.122551"/>
    <hyperlink ref="BT628" r:id="rId_hyperlink_1235" tooltip="View Full Record in Web of Science" display="View Full Record in Web of Science"/>
    <hyperlink ref="BF629" r:id="rId_hyperlink_1236" tooltip="http://dx.doi.org/10.1007/s10113-010-0201-x" display="http://dx.doi.org/10.1007/s10113-010-0201-x"/>
    <hyperlink ref="BT629" r:id="rId_hyperlink_1237" tooltip="View Full Record in Web of Science" display="View Full Record in Web of Science"/>
    <hyperlink ref="BF630" r:id="rId_hyperlink_1238" tooltip="http://dx.doi.org/10.1016/j.ecolmodel.2017.09.007" display="http://dx.doi.org/10.1016/j.ecolmodel.2017.09.007"/>
    <hyperlink ref="BT630" r:id="rId_hyperlink_1239" tooltip="View Full Record in Web of Science" display="View Full Record in Web of Science"/>
    <hyperlink ref="BF631" r:id="rId_hyperlink_1240" tooltip="http://dx.doi.org/10.1016/j.apenergy.2016.05.102" display="http://dx.doi.org/10.1016/j.apenergy.2016.05.102"/>
    <hyperlink ref="BT631" r:id="rId_hyperlink_1241" tooltip="View Full Record in Web of Science" display="View Full Record in Web of Science"/>
    <hyperlink ref="BF632" r:id="rId_hyperlink_1242" tooltip="http://dx.doi.org/10.1016/j.ecolmodel.2021.109456" display="http://dx.doi.org/10.1016/j.ecolmodel.2021.109456"/>
    <hyperlink ref="BT632" r:id="rId_hyperlink_1243" tooltip="View Full Record in Web of Science" display="View Full Record in Web of Science"/>
    <hyperlink ref="BF633" r:id="rId_hyperlink_1244" tooltip="http://dx.doi.org/10.1111/jiec.13070" display="http://dx.doi.org/10.1111/jiec.13070"/>
    <hyperlink ref="BT633" r:id="rId_hyperlink_1245" tooltip="View Full Record in Web of Science" display="View Full Record in Web of Science"/>
    <hyperlink ref="BF634" r:id="rId_hyperlink_1246" tooltip="http://dx.doi.org/10.1016/j.jhydrol.2018.02.043" display="http://dx.doi.org/10.1016/j.jhydrol.2018.02.043"/>
    <hyperlink ref="BT634" r:id="rId_hyperlink_1247" tooltip="View Full Record in Web of Science" display="View Full Record in Web of Science"/>
    <hyperlink ref="BF635" r:id="rId_hyperlink_1248" tooltip="http://dx.doi.org/10.1016/j.dib.2021.106891" display="http://dx.doi.org/10.1016/j.dib.2021.106891"/>
    <hyperlink ref="BT635" r:id="rId_hyperlink_1249" tooltip="View Full Record in Web of Science" display="View Full Record in Web of Science"/>
    <hyperlink ref="BF636" r:id="rId_hyperlink_1250" tooltip="http://dx.doi.org/10.1016/j.scitotenv.2015.11.032" display="http://dx.doi.org/10.1016/j.scitotenv.2015.11.032"/>
    <hyperlink ref="BT636" r:id="rId_hyperlink_1251" tooltip="View Full Record in Web of Science" display="View Full Record in Web of Science"/>
    <hyperlink ref="BF637" r:id="rId_hyperlink_1252" tooltip="http://dx.doi.org/10.3390/rs6064780" display="http://dx.doi.org/10.3390/rs6064780"/>
    <hyperlink ref="BT637" r:id="rId_hyperlink_1253" tooltip="View Full Record in Web of Science" display="View Full Record in Web of Science"/>
    <hyperlink ref="BF638" r:id="rId_hyperlink_1254" tooltip="http://dx.doi.org/10.1177/08969205211020502" display="http://dx.doi.org/10.1177/08969205211020502"/>
    <hyperlink ref="BT638" r:id="rId_hyperlink_1255" tooltip="View Full Record in Web of Science" display="View Full Record in Web of Science"/>
    <hyperlink ref="BF639" r:id="rId_hyperlink_1256" tooltip="http://dx.doi.org/10.1016/j.scitotenv.2018.12.022" display="http://dx.doi.org/10.1016/j.scitotenv.2018.12.022"/>
    <hyperlink ref="BT639" r:id="rId_hyperlink_1257" tooltip="View Full Record in Web of Science" display="View Full Record in Web of Science"/>
    <hyperlink ref="BF640" r:id="rId_hyperlink_1258" tooltip="http://dx.doi.org/10.1016/j.ecolmodel.2015.08.008" display="http://dx.doi.org/10.1016/j.ecolmodel.2015.08.008"/>
    <hyperlink ref="BT640" r:id="rId_hyperlink_1259" tooltip="View Full Record in Web of Science" display="View Full Record in Web of Science"/>
    <hyperlink ref="BF641" r:id="rId_hyperlink_1260" tooltip="http://dx.doi.org/10.1111/jiec.12890" display="http://dx.doi.org/10.1111/jiec.12890"/>
    <hyperlink ref="BT641" r:id="rId_hyperlink_1261" tooltip="View Full Record in Web of Science" display="View Full Record in Web of Science"/>
    <hyperlink ref="BF642" r:id="rId_hyperlink_1262" tooltip="http://dx.doi.org/10.1016/j.resconrec.2017.10.034" display="http://dx.doi.org/10.1016/j.resconrec.2017.10.034"/>
    <hyperlink ref="BT642" r:id="rId_hyperlink_1263" tooltip="View Full Record in Web of Science" display="View Full Record in Web of Science"/>
    <hyperlink ref="BF643" r:id="rId_hyperlink_1264" tooltip="http://dx.doi.org/10.1016/j.resconrec.2019.104632" display="http://dx.doi.org/10.1016/j.resconrec.2019.104632"/>
    <hyperlink ref="BT643" r:id="rId_hyperlink_1265" tooltip="View Full Record in Web of Science" display="View Full Record in Web of Science"/>
    <hyperlink ref="BF644" r:id="rId_hyperlink_1266" tooltip="http://dx.doi.org/10.1016/j.apenergy.2017.02.011" display="http://dx.doi.org/10.1016/j.apenergy.2017.02.011"/>
    <hyperlink ref="BT644" r:id="rId_hyperlink_1267" tooltip="View Full Record in Web of Science" display="View Full Record in Web of Science"/>
    <hyperlink ref="BF645" r:id="rId_hyperlink_1268" tooltip="http://dx.doi.org/10.1016/j.rser.2020.109948" display="http://dx.doi.org/10.1016/j.rser.2020.109948"/>
    <hyperlink ref="BT645" r:id="rId_hyperlink_1269" tooltip="View Full Record in Web of Science" display="View Full Record in Web of Science"/>
    <hyperlink ref="BF646" r:id="rId_hyperlink_1270" tooltip="http://dx.doi.org/10.1016/j.scitotenv.2018.11.350" display="http://dx.doi.org/10.1016/j.scitotenv.2018.11.350"/>
    <hyperlink ref="BT646" r:id="rId_hyperlink_1271" tooltip="View Full Record in Web of Science" display="View Full Record in Web of Science"/>
    <hyperlink ref="BF647" r:id="rId_hyperlink_1272" tooltip="http://dx.doi.org/10.3390/ijerph17217847" display="http://dx.doi.org/10.3390/ijerph17217847"/>
    <hyperlink ref="BT647" r:id="rId_hyperlink_1273" tooltip="View Full Record in Web of Science" display="View Full Record in Web of Science"/>
    <hyperlink ref="BF648" r:id="rId_hyperlink_1274" tooltip="http://dx.doi.org/10.1016/j.resconrec.2019.104667" display="http://dx.doi.org/10.1016/j.resconrec.2019.104667"/>
    <hyperlink ref="BT648" r:id="rId_hyperlink_1275" tooltip="View Full Record in Web of Science" display="View Full Record in Web of Science"/>
    <hyperlink ref="BF649" r:id="rId_hyperlink_1276" tooltip="http://dx.doi.org/10.1016/j.scitotenv.2019.03.132" display="http://dx.doi.org/10.1016/j.scitotenv.2019.03.132"/>
    <hyperlink ref="BT649" r:id="rId_hyperlink_1277" tooltip="View Full Record in Web of Science" display="View Full Record in Web of Science"/>
    <hyperlink ref="BF650" r:id="rId_hyperlink_1278" tooltip="http://dx.doi.org/10.15666/aeer/1703_60516067" display="http://dx.doi.org/10.15666/aeer/1703_60516067"/>
    <hyperlink ref="BT650" r:id="rId_hyperlink_1279" tooltip="View Full Record in Web of Science" display="View Full Record in Web of Science"/>
    <hyperlink ref="BF651" r:id="rId_hyperlink_1280" tooltip="http://dx.doi.org/10.1016/j.resconrec.2018.06.007" display="http://dx.doi.org/10.1016/j.resconrec.2018.06.007"/>
    <hyperlink ref="BT651" r:id="rId_hyperlink_1281" tooltip="View Full Record in Web of Science" display="View Full Record in Web of Science"/>
    <hyperlink ref="BF652" r:id="rId_hyperlink_1282" tooltip="http://dx.doi.org/10.1111/jiec.13206" display="http://dx.doi.org/10.1111/jiec.13206"/>
    <hyperlink ref="BT652" r:id="rId_hyperlink_1283" tooltip="View Full Record in Web of Science" display="View Full Record in Web of Science"/>
    <hyperlink ref="BF653" r:id="rId_hyperlink_1284" tooltip="http://dx.doi.org/10.1016/j.resconrec.2016.09.002" display="http://dx.doi.org/10.1016/j.resconrec.2016.09.002"/>
    <hyperlink ref="BT653" r:id="rId_hyperlink_1285" tooltip="View Full Record in Web of Science" display="View Full Record in Web of Science"/>
    <hyperlink ref="BF654" r:id="rId_hyperlink_1286" tooltip="http://dx.doi.org/10.1080/09613210903169394" display="http://dx.doi.org/10.1080/09613210903169394"/>
    <hyperlink ref="BT654" r:id="rId_hyperlink_1287" tooltip="View Full Record in Web of Science" display="View Full Record in Web of Science"/>
    <hyperlink ref="BF655" r:id="rId_hyperlink_1288" tooltip="http://dx.doi.org/10.1016/j.resconrec.2018.12.011" display="http://dx.doi.org/10.1016/j.resconrec.2018.12.011"/>
    <hyperlink ref="BT655" r:id="rId_hyperlink_1289" tooltip="View Full Record in Web of Science" display="View Full Record in Web of Science"/>
    <hyperlink ref="BF656" r:id="rId_hyperlink_1290" tooltip="http://dx.doi.org/10.17645/up.v4i3.2484" display="http://dx.doi.org/10.17645/up.v4i3.2484"/>
    <hyperlink ref="BT656" r:id="rId_hyperlink_1291" tooltip="View Full Record in Web of Science" display="View Full Record in Web of Science"/>
    <hyperlink ref="BF657" r:id="rId_hyperlink_1292" tooltip="http://dx.doi.org/10.3390/su10124740" display="http://dx.doi.org/10.3390/su10124740"/>
    <hyperlink ref="BT657" r:id="rId_hyperlink_1293" tooltip="View Full Record in Web of Science" display="View Full Record in Web of Science"/>
    <hyperlink ref="BF658" r:id="rId_hyperlink_1294" tooltip="http://dx.doi.org/10.1016/j.scitotenv.2022.159502" display="http://dx.doi.org/10.1016/j.scitotenv.2022.159502"/>
    <hyperlink ref="BT658" r:id="rId_hyperlink_1295" tooltip="View Full Record in Web of Science" display="View Full Record in Web of Science"/>
    <hyperlink ref="BF659" r:id="rId_hyperlink_1296" tooltip="http://dx.doi.org/10.1016/j.resconrec.2019.104581" display="http://dx.doi.org/10.1016/j.resconrec.2019.104581"/>
    <hyperlink ref="BT659" r:id="rId_hyperlink_1297" tooltip="View Full Record in Web of Science" display="View Full Record in Web of Science"/>
    <hyperlink ref="BF660" r:id="rId_hyperlink_1298" tooltip="http://dx.doi.org/10.1016/j.scitotenv.2022.159514" display="http://dx.doi.org/10.1016/j.scitotenv.2022.159514"/>
    <hyperlink ref="BT660" r:id="rId_hyperlink_1299" tooltip="View Full Record in Web of Science" display="View Full Record in Web of Science"/>
    <hyperlink ref="BF661" r:id="rId_hyperlink_1300" tooltip="http://dx.doi.org/10.1016/j.cities.2017.11.0o9" display="http://dx.doi.org/10.1016/j.cities.2017.11.0o9"/>
    <hyperlink ref="BT661" r:id="rId_hyperlink_1301" tooltip="View Full Record in Web of Science" display="View Full Record in Web of Science"/>
    <hyperlink ref="BF662" r:id="rId_hyperlink_1302" tooltip="http://dx.doi.org/10.1016/j.resconrec.2016.09.015" display="http://dx.doi.org/10.1016/j.resconrec.2016.09.015"/>
    <hyperlink ref="BT662" r:id="rId_hyperlink_1303" tooltip="View Full Record in Web of Science" display="View Full Record in Web of Science"/>
    <hyperlink ref="BF663" r:id="rId_hyperlink_1304" tooltip="http://dx.doi.org/10.1016/j.jenvman.2014.01.054" display="http://dx.doi.org/10.1016/j.jenvman.2014.01.054"/>
    <hyperlink ref="BT663" r:id="rId_hyperlink_1305" tooltip="View Full Record in Web of Science" display="View Full Record in Web of Science"/>
    <hyperlink ref="BF664" r:id="rId_hyperlink_1306" tooltip="http://dx.doi.org/10.1111/jiec.13024" display="http://dx.doi.org/10.1111/jiec.13024"/>
    <hyperlink ref="BT664" r:id="rId_hyperlink_1307" tooltip="View Full Record in Web of Science" display="View Full Record in Web of Science"/>
    <hyperlink ref="BF665" r:id="rId_hyperlink_1308" tooltip="http://dx.doi.org/10.3390/su11020423" display="http://dx.doi.org/10.3390/su11020423"/>
    <hyperlink ref="BT665" r:id="rId_hyperlink_1309" tooltip="View Full Record in Web of Science" display="View Full Record in Web of Science"/>
    <hyperlink ref="BF666" r:id="rId_hyperlink_1310" tooltip="http://dx.doi.org/10.3390/su131910801" display="http://dx.doi.org/10.3390/su131910801"/>
    <hyperlink ref="BT666" r:id="rId_hyperlink_1311" tooltip="View Full Record in Web of Science" display="View Full Record in Web of Science"/>
    <hyperlink ref="BF667" r:id="rId_hyperlink_1312" tooltip="http://dx.doi.org/10.1016/j.uclim.2021.100947" display="http://dx.doi.org/10.1016/j.uclim.2021.100947"/>
    <hyperlink ref="BT667" r:id="rId_hyperlink_1313" tooltip="View Full Record in Web of Science" display="View Full Record in Web of Science"/>
    <hyperlink ref="BF668" r:id="rId_hyperlink_1314" tooltip="http://dx.doi.org/10.1016/j.resconrec.2021.105526" display="http://dx.doi.org/10.1016/j.resconrec.2021.105526"/>
    <hyperlink ref="BT668" r:id="rId_hyperlink_1315" tooltip="View Full Record in Web of Science" display="View Full Record in Web of Science"/>
    <hyperlink ref="BF669" r:id="rId_hyperlink_1316" tooltip="http://dx.doi.org/10.1016/j.rser.2020.110695" display="http://dx.doi.org/10.1016/j.rser.2020.110695"/>
    <hyperlink ref="BT669" r:id="rId_hyperlink_1317" tooltip="View Full Record in Web of Science" display="View Full Record in Web of Science"/>
    <hyperlink ref="BF670" r:id="rId_hyperlink_1318" tooltip="http://dx.doi.org/10.1111/jiec.12432" display="http://dx.doi.org/10.1111/jiec.12432"/>
    <hyperlink ref="BT670" r:id="rId_hyperlink_1319" tooltip="View Full Record in Web of Science" display="View Full Record in Web of Science"/>
    <hyperlink ref="BF671" r:id="rId_hyperlink_1320" tooltip="http://dx.doi.org/10.1016/j.jclepro.2020.120811" display="http://dx.doi.org/10.1016/j.jclepro.2020.120811"/>
    <hyperlink ref="BT671" r:id="rId_hyperlink_1321" tooltip="View Full Record in Web of Science" display="View Full Record in Web of Science"/>
    <hyperlink ref="BF672" r:id="rId_hyperlink_1322" tooltip="http://dx.doi.org/10.1016/j.jclepro.2022.134563" display="http://dx.doi.org/10.1016/j.jclepro.2022.134563"/>
    <hyperlink ref="BT672" r:id="rId_hyperlink_1323" tooltip="View Full Record in Web of Science" display="View Full Record in Web of Science"/>
    <hyperlink ref="BF673" r:id="rId_hyperlink_1324" tooltip="http://dx.doi.org/10.1155/2020/8855521" display="http://dx.doi.org/10.1155/2020/8855521"/>
    <hyperlink ref="BT673" r:id="rId_hyperlink_1325" tooltip="View Full Record in Web of Science" display="View Full Record in Web of Science"/>
    <hyperlink ref="BF674" r:id="rId_hyperlink_1326" tooltip="http://dx.doi.org/10.1007/s11625-019-00764-y" display="http://dx.doi.org/10.1007/s11625-019-00764-y"/>
    <hyperlink ref="BT674" r:id="rId_hyperlink_1327" tooltip="View Full Record in Web of Science" display="View Full Record in Web of Science"/>
    <hyperlink ref="BF675" r:id="rId_hyperlink_1328" tooltip="http://dx.doi.org/10.1111/1752-1688.12563" display="http://dx.doi.org/10.1111/1752-1688.12563"/>
    <hyperlink ref="BT675" r:id="rId_hyperlink_1329" tooltip="View Full Record in Web of Science" display="View Full Record in Web of Science"/>
    <hyperlink ref="BF676" r:id="rId_hyperlink_1330" tooltip="http://dx.doi.org/10.1016/j.jclepro.2015.06.093" display="http://dx.doi.org/10.1016/j.jclepro.2015.06.093"/>
    <hyperlink ref="BT676" r:id="rId_hyperlink_1331" tooltip="View Full Record in Web of Science" display="View Full Record in Web of Science"/>
    <hyperlink ref="BF677" r:id="rId_hyperlink_1332" tooltip="http://dx.doi.org/10.1016/j.apenergy.2015.09.021" display="http://dx.doi.org/10.1016/j.apenergy.2015.09.021"/>
    <hyperlink ref="BT677" r:id="rId_hyperlink_1333" tooltip="View Full Record in Web of Science" display="View Full Record in Web of Science"/>
    <hyperlink ref="BF678" r:id="rId_hyperlink_1334" tooltip="http://dx.doi.org/10.1111/jiec.13335" display="http://dx.doi.org/10.1111/jiec.13335"/>
    <hyperlink ref="BT678" r:id="rId_hyperlink_1335" tooltip="View Full Record in Web of Science" display="View Full Record in Web of Science"/>
    <hyperlink ref="BF679" r:id="rId_hyperlink_1336" tooltip="http://dx.doi.org/10.3389/frsc.2022.930061" display="http://dx.doi.org/10.3389/frsc.2022.930061"/>
    <hyperlink ref="BT679" r:id="rId_hyperlink_1337" tooltip="View Full Record in Web of Science" display="View Full Record in Web of Science"/>
    <hyperlink ref="BF680" r:id="rId_hyperlink_1338" tooltip="http://dx.doi.org/10.1016/j.wasman.2021.08.012" display="http://dx.doi.org/10.1016/j.wasman.2021.08.012"/>
    <hyperlink ref="BT680" r:id="rId_hyperlink_1339" tooltip="View Full Record in Web of Science" display="View Full Record in Web of Science"/>
    <hyperlink ref="BF681" r:id="rId_hyperlink_1340" tooltip="http://dx.doi.org/10.1016/j.resconrec.2020.105359" display="http://dx.doi.org/10.1016/j.resconrec.2020.105359"/>
    <hyperlink ref="BT681" r:id="rId_hyperlink_1341" tooltip="View Full Record in Web of Science" display="View Full Record in Web of Science"/>
    <hyperlink ref="BF682" r:id="rId_hyperlink_1342" tooltip="http://dx.doi.org/10.1177/0734242X20972773" display="http://dx.doi.org/10.1177/0734242X20972773"/>
    <hyperlink ref="BT682" r:id="rId_hyperlink_1343" tooltip="View Full Record in Web of Science" display="View Full Record in Web of Science"/>
    <hyperlink ref="BF683" r:id="rId_hyperlink_1344" tooltip="http://dx.doi.org/10.3390/ijerph17020479" display="http://dx.doi.org/10.3390/ijerph17020479"/>
    <hyperlink ref="BT683" r:id="rId_hyperlink_1345" tooltip="View Full Record in Web of Science" display="View Full Record in Web of Science"/>
    <hyperlink ref="BF684" r:id="rId_hyperlink_1346" tooltip="http://dx.doi.org/10.1016/j.scitotenv.2023.169768" display="http://dx.doi.org/10.1016/j.scitotenv.2023.169768"/>
    <hyperlink ref="BT684" r:id="rId_hyperlink_1347" tooltip="View Full Record in Web of Science" display="View Full Record in Web of Science"/>
    <hyperlink ref="BF685" r:id="rId_hyperlink_1348" tooltip="http://dx.doi.org/10.1016/j.jclepro.2019.04.036" display="http://dx.doi.org/10.1016/j.jclepro.2019.04.036"/>
    <hyperlink ref="BT685" r:id="rId_hyperlink_1349" tooltip="View Full Record in Web of Science" display="View Full Record in Web of Science"/>
    <hyperlink ref="BF686" r:id="rId_hyperlink_1350" tooltip="http://dx.doi.org/10.1016/j.ecolind.2017.03.060" display="http://dx.doi.org/10.1016/j.ecolind.2017.03.060"/>
    <hyperlink ref="BT686" r:id="rId_hyperlink_1351" tooltip="View Full Record in Web of Science" display="View Full Record in Web of Science"/>
    <hyperlink ref="BF687" r:id="rId_hyperlink_1352" tooltip="http://dx.doi.org/10.1016/j.scitotenv.2021.149963" display="http://dx.doi.org/10.1016/j.scitotenv.2021.149963"/>
    <hyperlink ref="BT687" r:id="rId_hyperlink_1353" tooltip="View Full Record in Web of Science" display="View Full Record in Web of Science"/>
    <hyperlink ref="BF688" r:id="rId_hyperlink_1354" tooltip="http://dx.doi.org/10.1111/jiec.12553" display="http://dx.doi.org/10.1111/jiec.12553"/>
    <hyperlink ref="BT688" r:id="rId_hyperlink_1355" tooltip="View Full Record in Web of Science" display="View Full Record in Web of Science"/>
    <hyperlink ref="BF689" r:id="rId_hyperlink_1356" tooltip="http://dx.doi.org/10.1016/j.rsma.2023.102886" display="http://dx.doi.org/10.1016/j.rsma.2023.102886"/>
    <hyperlink ref="BT689" r:id="rId_hyperlink_1357" tooltip="View Full Record in Web of Science" display="View Full Record in Web of Science"/>
    <hyperlink ref="BF690" r:id="rId_hyperlink_1358" tooltip="http://dx.doi.org/10.1186/s13021-022-00217-7" display="http://dx.doi.org/10.1186/s13021-022-00217-7"/>
    <hyperlink ref="BT690" r:id="rId_hyperlink_1359" tooltip="View Full Record in Web of Science" display="View Full Record in Web of Science"/>
    <hyperlink ref="BF691" r:id="rId_hyperlink_1360" tooltip="http://dx.doi.org/10.3390/land11091573" display="http://dx.doi.org/10.3390/land11091573"/>
    <hyperlink ref="BT691" r:id="rId_hyperlink_1361" tooltip="View Full Record in Web of Science" display="View Full Record in Web of Science"/>
    <hyperlink ref="BF692" r:id="rId_hyperlink_1362" tooltip="http://dx.doi.org/10.1016/j.jclepro.2022.132064" display="http://dx.doi.org/10.1016/j.jclepro.2022.132064"/>
    <hyperlink ref="BT692" r:id="rId_hyperlink_1363" tooltip="View Full Record in Web of Science" display="View Full Record in Web of Science"/>
    <hyperlink ref="BF693" r:id="rId_hyperlink_1364" tooltip="http://dx.doi.org/10.1016/j.jclepro.2021.125850" display="http://dx.doi.org/10.1016/j.jclepro.2021.125850"/>
    <hyperlink ref="BT693" r:id="rId_hyperlink_1365" tooltip="View Full Record in Web of Science" display="View Full Record in Web of Science"/>
    <hyperlink ref="BF694" r:id="rId_hyperlink_1366" tooltip="http://dx.doi.org/10.3390/su12072708" display="http://dx.doi.org/10.3390/su12072708"/>
    <hyperlink ref="BT694" r:id="rId_hyperlink_1367" tooltip="View Full Record in Web of Science" display="View Full Record in Web of Science"/>
    <hyperlink ref="BF695" r:id="rId_hyperlink_1368" tooltip="http://dx.doi.org/10.1177/00420980231202684" display="http://dx.doi.org/10.1177/00420980231202684"/>
    <hyperlink ref="BT695" r:id="rId_hyperlink_1369" tooltip="View Full Record in Web of Science" display="View Full Record in Web of Science"/>
    <hyperlink ref="BF696" r:id="rId_hyperlink_1370" tooltip="http://dx.doi.org/10.1007/s12649-023-02193-6" display="http://dx.doi.org/10.1007/s12649-023-02193-6"/>
    <hyperlink ref="BT696" r:id="rId_hyperlink_1371" tooltip="View Full Record in Web of Science" display="View Full Record in Web of Science"/>
    <hyperlink ref="BF697" r:id="rId_hyperlink_1372" tooltip="http://dx.doi.org/10.3390/infrastructures8070111" display="http://dx.doi.org/10.3390/infrastructures8070111"/>
    <hyperlink ref="BT697" r:id="rId_hyperlink_1373" tooltip="View Full Record in Web of Science" display="View Full Record in Web of Science"/>
    <hyperlink ref="BF698" r:id="rId_hyperlink_1374" tooltip="http://dx.doi.org/10.1016/j.landusepol.2023.106695" display="http://dx.doi.org/10.1016/j.landusepol.2023.106695"/>
    <hyperlink ref="BT698" r:id="rId_hyperlink_1375" tooltip="View Full Record in Web of Science" display="View Full Record in Web of Science"/>
    <hyperlink ref="BF699" r:id="rId_hyperlink_1376" tooltip="http://dx.doi.org/10.1111/jiec.12960" display="http://dx.doi.org/10.1111/jiec.12960"/>
    <hyperlink ref="BT699" r:id="rId_hyperlink_1377" tooltip="View Full Record in Web of Science" display="View Full Record in Web of Science"/>
    <hyperlink ref="BF700" r:id="rId_hyperlink_1378" tooltip="http://dx.doi.org/10.1016/j.ecolind.2017.12.069" display="http://dx.doi.org/10.1016/j.ecolind.2017.12.069"/>
    <hyperlink ref="BT700" r:id="rId_hyperlink_1379" tooltip="View Full Record in Web of Science" display="View Full Record in Web of Science"/>
    <hyperlink ref="BF701" r:id="rId_hyperlink_1380" tooltip="http://dx.doi.org/10.3389/fbuil.2021.748842" display="http://dx.doi.org/10.3389/fbuil.2021.748842"/>
    <hyperlink ref="BT701" r:id="rId_hyperlink_1381" tooltip="View Full Record in Web of Science" display="View Full Record in Web of Science"/>
    <hyperlink ref="BF702" r:id="rId_hyperlink_1382" tooltip="http://dx.doi.org/10.1016/j.jclepro.2017.03.194" display="http://dx.doi.org/10.1016/j.jclepro.2017.03.194"/>
    <hyperlink ref="BT702" r:id="rId_hyperlink_1383" tooltip="View Full Record in Web of Science" display="View Full Record in Web of Science"/>
    <hyperlink ref="BF703" r:id="rId_hyperlink_1384" tooltip="http://dx.doi.org/10.1016/j.jclepro.2016.09.199" display="http://dx.doi.org/10.1016/j.jclepro.2016.09.199"/>
    <hyperlink ref="BT703" r:id="rId_hyperlink_1385" tooltip="View Full Record in Web of Science" display="View Full Record in Web of Science"/>
    <hyperlink ref="BF704" r:id="rId_hyperlink_1386" tooltip="http://dx.doi.org/10.1016/j.scitotenv.2015.06.073" display="http://dx.doi.org/10.1016/j.scitotenv.2015.06.073"/>
    <hyperlink ref="BT704" r:id="rId_hyperlink_1387" tooltip="View Full Record in Web of Science" display="View Full Record in Web of Science"/>
    <hyperlink ref="BF705" r:id="rId_hyperlink_1388" tooltip="http://dx.doi.org/10.3390/su11133512" display="http://dx.doi.org/10.3390/su11133512"/>
    <hyperlink ref="BT705" r:id="rId_hyperlink_1389" tooltip="View Full Record in Web of Science" display="View Full Record in Web of Science"/>
    <hyperlink ref="BF706" r:id="rId_hyperlink_1390" tooltip="http://dx.doi.org/10.1111/jiec.12586" display="http://dx.doi.org/10.1111/jiec.12586"/>
    <hyperlink ref="BT706" r:id="rId_hyperlink_1391" tooltip="View Full Record in Web of Science" display="View Full Record in Web of Science"/>
    <hyperlink ref="BF707" r:id="rId_hyperlink_1392" tooltip="http://dx.doi.org/10.1016/j.resconrec.2007.02.003" display="http://dx.doi.org/10.1016/j.resconrec.2007.02.003"/>
    <hyperlink ref="BT707" r:id="rId_hyperlink_1393" tooltip="View Full Record in Web of Science" display="View Full Record in Web of Science"/>
    <hyperlink ref="BF708" r:id="rId_hyperlink_1394" tooltip="http://dx.doi.org/10.1016/j.scitotenv.2020.143931" display="http://dx.doi.org/10.1016/j.scitotenv.2020.143931"/>
    <hyperlink ref="BT708" r:id="rId_hyperlink_1395" tooltip="View Full Record in Web of Science" display="View Full Record in Web of Science"/>
    <hyperlink ref="BF709" r:id="rId_hyperlink_1396" tooltip="http://dx.doi.org/10.1016/j.watres.2018.01.070" display="http://dx.doi.org/10.1016/j.watres.2018.01.070"/>
    <hyperlink ref="BT709" r:id="rId_hyperlink_1397" tooltip="View Full Record in Web of Science" display="View Full Record in Web of Science"/>
    <hyperlink ref="BF710" r:id="rId_hyperlink_1398" tooltip="http://dx.doi.org/10.1016/j.ecolmodel.2017.12.012" display="http://dx.doi.org/10.1016/j.ecolmodel.2017.12.012"/>
    <hyperlink ref="BT710" r:id="rId_hyperlink_1399" tooltip="View Full Record in Web of Science" display="View Full Record in Web of Science"/>
    <hyperlink ref="BF711" r:id="rId_hyperlink_1400" tooltip="http://dx.doi.org/10.1016/j.compenvurbsys.2019.101427" display="http://dx.doi.org/10.1016/j.compenvurbsys.2019.101427"/>
    <hyperlink ref="BT711" r:id="rId_hyperlink_1401" tooltip="View Full Record in Web of Science" display="View Full Record in Web of Science"/>
    <hyperlink ref="BF712" r:id="rId_hyperlink_1402" tooltip="http://dx.doi.org/10.1016/j.jclepro.2015.02.027" display="http://dx.doi.org/10.1016/j.jclepro.2015.02.027"/>
    <hyperlink ref="BT712" r:id="rId_hyperlink_1403" tooltip="View Full Record in Web of Science" display="View Full Record in Web of Science"/>
    <hyperlink ref="BF713" r:id="rId_hyperlink_1404" tooltip="http://dx.doi.org/10.1016/j.wasman.2022.02.011" display="http://dx.doi.org/10.1016/j.wasman.2022.02.011"/>
    <hyperlink ref="BT713" r:id="rId_hyperlink_1405" tooltip="View Full Record in Web of Science" display="View Full Record in Web of Science"/>
    <hyperlink ref="BF714" r:id="rId_hyperlink_1406" tooltip="http://dx.doi.org/10.1016/j.cities.2016.07.003" display="http://dx.doi.org/10.1016/j.cities.2016.07.003"/>
    <hyperlink ref="BT714" r:id="rId_hyperlink_1407" tooltip="View Full Record in Web of Science" display="View Full Record in Web of Science"/>
    <hyperlink ref="BF715" r:id="rId_hyperlink_1408" tooltip="http://dx.doi.org/10.1016/j.ecolmodel.2009.02.001" display="http://dx.doi.org/10.1016/j.ecolmodel.2009.02.001"/>
    <hyperlink ref="BT715" r:id="rId_hyperlink_1409" tooltip="View Full Record in Web of Science" display="View Full Record in Web of Science"/>
    <hyperlink ref="BF716" r:id="rId_hyperlink_1410" tooltip="http://dx.doi.org/10.3390/ijerph19105793" display="http://dx.doi.org/10.3390/ijerph19105793"/>
    <hyperlink ref="BT716" r:id="rId_hyperlink_1411" tooltip="View Full Record in Web of Science" display="View Full Record in Web of Science"/>
    <hyperlink ref="BF717" r:id="rId_hyperlink_1412" tooltip="http://dx.doi.org/10.1016/j.ecolind.2018.07.053" display="http://dx.doi.org/10.1016/j.ecolind.2018.07.053"/>
    <hyperlink ref="BT717" r:id="rId_hyperlink_1413" tooltip="View Full Record in Web of Science" display="View Full Record in Web of Science"/>
    <hyperlink ref="BF718" r:id="rId_hyperlink_1414" tooltip="http://dx.doi.org/10.1111/tran.12187" display="http://dx.doi.org/10.1111/tran.12187"/>
    <hyperlink ref="BT718" r:id="rId_hyperlink_1415" tooltip="View Full Record in Web of Science" display="View Full Record in Web of Science"/>
    <hyperlink ref="BF719" r:id="rId_hyperlink_1416" tooltip="http://dx.doi.org/10.1016/j.jclepro.2019.118236" display="http://dx.doi.org/10.1016/j.jclepro.2019.118236"/>
    <hyperlink ref="BT719" r:id="rId_hyperlink_1417" tooltip="View Full Record in Web of Science" display="View Full Record in Web of Science"/>
    <hyperlink ref="BF720" r:id="rId_hyperlink_1418" tooltip="http://dx.doi.org/10.1016/j.resconrec.2017.05.010" display="http://dx.doi.org/10.1016/j.resconrec.2017.05.010"/>
    <hyperlink ref="BT720" r:id="rId_hyperlink_1419" tooltip="View Full Record in Web of Science" display="View Full Record in Web of Science"/>
    <hyperlink ref="BF721" r:id="rId_hyperlink_1420" tooltip="http://dx.doi.org/10.1016/j.geoforum.2021.03.005" display="http://dx.doi.org/10.1016/j.geoforum.2021.03.005"/>
    <hyperlink ref="BT721" r:id="rId_hyperlink_1421" tooltip="View Full Record in Web of Science" display="View Full Record in Web of Science"/>
    <hyperlink ref="BF722" r:id="rId_hyperlink_1422" tooltip="http://dx.doi.org/10.1016/j.atmosenv.2019.117204" display="http://dx.doi.org/10.1016/j.atmosenv.2019.117204"/>
    <hyperlink ref="BT722" r:id="rId_hyperlink_1423" tooltip="View Full Record in Web of Science" display="View Full Record in Web of Science"/>
    <hyperlink ref="BF723" r:id="rId_hyperlink_1424" tooltip="http://dx.doi.org/10.3390/s20164391" display="http://dx.doi.org/10.3390/s20164391"/>
    <hyperlink ref="BT723" r:id="rId_hyperlink_1425" tooltip="View Full Record in Web of Science" display="View Full Record in Web of Science"/>
    <hyperlink ref="BF724" r:id="rId_hyperlink_1426" tooltip="http://dx.doi.org/10.1016/j.jclepro.2018.06.084" display="http://dx.doi.org/10.1016/j.jclepro.2018.06.084"/>
    <hyperlink ref="BT724" r:id="rId_hyperlink_1427" tooltip="View Full Record in Web of Science" display="View Full Record in Web of Science"/>
    <hyperlink ref="BF725" r:id="rId_hyperlink_1428" tooltip="http://dx.doi.org/10.1016/j.rser.2016.07.019" display="http://dx.doi.org/10.1016/j.rser.2016.07.019"/>
    <hyperlink ref="BT725" r:id="rId_hyperlink_1429" tooltip="View Full Record in Web of Science" display="View Full Record in Web of Science"/>
    <hyperlink ref="BF726" r:id="rId_hyperlink_1430" tooltip="http://dx.doi.org/10.1016/j.watres.2014.05.004" display="http://dx.doi.org/10.1016/j.watres.2014.05.004"/>
    <hyperlink ref="BT726" r:id="rId_hyperlink_1431" tooltip="View Full Record in Web of Science" display="View Full Record in Web of Science"/>
    <hyperlink ref="BF727" r:id="rId_hyperlink_1432" tooltip="http://dx.doi.org/10.1080/01944360801993531" display="http://dx.doi.org/10.1080/01944360801993531"/>
    <hyperlink ref="BT727" r:id="rId_hyperlink_1433" tooltip="View Full Record in Web of Science" display="View Full Record in Web of Science"/>
    <hyperlink ref="BF728" r:id="rId_hyperlink_1434" tooltip="http://dx.doi.org/10.1007/s11252-012-0270-3" display="http://dx.doi.org/10.1007/s11252-012-0270-3"/>
    <hyperlink ref="BT728" r:id="rId_hyperlink_1435" tooltip="View Full Record in Web of Science" display="View Full Record in Web of Science"/>
    <hyperlink ref="BF729" r:id="rId_hyperlink_1436" tooltip="http://dx.doi.org/10.17159/sajs.2022/12552" display="http://dx.doi.org/10.17159/sajs.2022/12552"/>
    <hyperlink ref="BT729" r:id="rId_hyperlink_1437" tooltip="View Full Record in Web of Science" display="View Full Record in Web of Science"/>
    <hyperlink ref="BF730" r:id="rId_hyperlink_1438" tooltip="http://dx.doi.org/10.1016/j.ecoser.2022.101454" display="http://dx.doi.org/10.1016/j.ecoser.2022.101454"/>
    <hyperlink ref="BT730" r:id="rId_hyperlink_1439" tooltip="View Full Record in Web of Science" display="View Full Record in Web of Science"/>
    <hyperlink ref="BF731" r:id="rId_hyperlink_1440" tooltip="http://dx.doi.org/10.1007/s11356-023-27670-2" display="http://dx.doi.org/10.1007/s11356-023-27670-2"/>
    <hyperlink ref="BT731" r:id="rId_hyperlink_1441" tooltip="View Full Record in Web of Science" display="View Full Record in Web of Science"/>
    <hyperlink ref="BF732" r:id="rId_hyperlink_1442" tooltip="http://dx.doi.org/10.1016/j.jenvman.2022.117046" display="http://dx.doi.org/10.1016/j.jenvman.2022.117046"/>
    <hyperlink ref="BT732" r:id="rId_hyperlink_1443" tooltip="View Full Record in Web of Science" display="View Full Record in Web of Science"/>
    <hyperlink ref="BF733" r:id="rId_hyperlink_1444" tooltip="http://dx.doi.org/10.1017/sus.2018.16" display="http://dx.doi.org/10.1017/sus.2018.16"/>
    <hyperlink ref="BT733" r:id="rId_hyperlink_1445" tooltip="View Full Record in Web of Science" display="View Full Record in Web of Science"/>
    <hyperlink ref="BT734" r:id="rId_hyperlink_1446" tooltip="View Full Record in Web of Science" display="View Full Record in Web of Science"/>
    <hyperlink ref="BF735" r:id="rId_hyperlink_1447" tooltip="http://dx.doi.org/10.1016/j.jclepro.2011.01.007" display="http://dx.doi.org/10.1016/j.jclepro.2011.01.007"/>
    <hyperlink ref="BT735" r:id="rId_hyperlink_1448" tooltip="View Full Record in Web of Science" display="View Full Record in Web of Science"/>
    <hyperlink ref="BF736" r:id="rId_hyperlink_1449" tooltip="http://dx.doi.org/10.1016/j.jclepro.2019.118780" display="http://dx.doi.org/10.1016/j.jclepro.2019.118780"/>
    <hyperlink ref="BT736" r:id="rId_hyperlink_1450" tooltip="View Full Record in Web of Science" display="View Full Record in Web of Science"/>
    <hyperlink ref="BF737" r:id="rId_hyperlink_1451" tooltip="http://dx.doi.org/10.1088/1748-9326/aa98ca" display="http://dx.doi.org/10.1088/1748-9326/aa98ca"/>
    <hyperlink ref="BT737" r:id="rId_hyperlink_1452" tooltip="View Full Record in Web of Science" display="View Full Record in Web of Science"/>
    <hyperlink ref="BF738" r:id="rId_hyperlink_1453" tooltip="http://dx.doi.org/10.1016/j.uclim.2022.101195" display="http://dx.doi.org/10.1016/j.uclim.2022.101195"/>
    <hyperlink ref="BT738" r:id="rId_hyperlink_1454" tooltip="View Full Record in Web of Science" display="View Full Record in Web of Science"/>
    <hyperlink ref="BF739" r:id="rId_hyperlink_1455" tooltip="http://dx.doi.org/10.1016/j.jclepro.2020.123510" display="http://dx.doi.org/10.1016/j.jclepro.2020.123510"/>
    <hyperlink ref="BT739" r:id="rId_hyperlink_1456" tooltip="View Full Record in Web of Science" display="View Full Record in Web of Science"/>
    <hyperlink ref="BF740" r:id="rId_hyperlink_1457" tooltip="http://dx.doi.org/10.1016/j.watres.2021.116892" display="http://dx.doi.org/10.1016/j.watres.2021.116892"/>
    <hyperlink ref="BT740" r:id="rId_hyperlink_1458" tooltip="View Full Record in Web of Science" display="View Full Record in Web of Science"/>
    <hyperlink ref="BF741" r:id="rId_hyperlink_1459" tooltip="http://dx.doi.org/10.1016/j.ecolmodel.2016.06.001" display="http://dx.doi.org/10.1016/j.ecolmodel.2016.06.001"/>
    <hyperlink ref="BT741" r:id="rId_hyperlink_1460" tooltip="View Full Record in Web of Science" display="View Full Record in Web of Science"/>
    <hyperlink ref="BF742" r:id="rId_hyperlink_1461" tooltip="http://dx.doi.org/10.1016/j.jenvman.2021.113618" display="http://dx.doi.org/10.1016/j.jenvman.2021.113618"/>
    <hyperlink ref="BT742" r:id="rId_hyperlink_1462" tooltip="View Full Record in Web of Science" display="View Full Record in Web of Science"/>
    <hyperlink ref="BF743" r:id="rId_hyperlink_1463" tooltip="http://dx.doi.org/10.1007/s11356-023-29735-8" display="http://dx.doi.org/10.1007/s11356-023-29735-8"/>
    <hyperlink ref="BT743" r:id="rId_hyperlink_1464" tooltip="View Full Record in Web of Science" display="View Full Record in Web of Science"/>
    <hyperlink ref="BF744" r:id="rId_hyperlink_1465" tooltip="http://dx.doi.org/10.1016/j.scitotenv.2023.162991" display="http://dx.doi.org/10.1016/j.scitotenv.2023.162991"/>
    <hyperlink ref="BT744" r:id="rId_hyperlink_1466" tooltip="View Full Record in Web of Science" display="View Full Record in Web of Science"/>
    <hyperlink ref="BF745" r:id="rId_hyperlink_1467" tooltip="http://dx.doi.org/10.1111/jiec.12491" display="http://dx.doi.org/10.1111/jiec.12491"/>
    <hyperlink ref="BT745" r:id="rId_hyperlink_1468" tooltip="View Full Record in Web of Science" display="View Full Record in Web of Science"/>
    <hyperlink ref="BF746" r:id="rId_hyperlink_1469" tooltip="http://dx.doi.org/10.3389/fpls.2020.596550" display="http://dx.doi.org/10.3389/fpls.2020.596550"/>
    <hyperlink ref="BT746" r:id="rId_hyperlink_1470" tooltip="View Full Record in Web of Science" display="View Full Record in Web of Science"/>
    <hyperlink ref="BF747" r:id="rId_hyperlink_1471" tooltip="http://dx.doi.org/10.3390/su132313181" display="http://dx.doi.org/10.3390/su132313181"/>
    <hyperlink ref="BT747" r:id="rId_hyperlink_1472" tooltip="View Full Record in Web of Science" display="View Full Record in Web of Science"/>
    <hyperlink ref="BF748" r:id="rId_hyperlink_1473" tooltip="http://dx.doi.org/10.3390/resources8020062" display="http://dx.doi.org/10.3390/resources8020062"/>
    <hyperlink ref="BT748" r:id="rId_hyperlink_1474" tooltip="View Full Record in Web of Science" display="View Full Record in Web of Science"/>
    <hyperlink ref="BF749" r:id="rId_hyperlink_1475" tooltip="http://dx.doi.org/10.1016/j.jenvman.2022.115371" display="http://dx.doi.org/10.1016/j.jenvman.2022.115371"/>
    <hyperlink ref="BT749" r:id="rId_hyperlink_1476" tooltip="View Full Record in Web of Science" display="View Full Record in Web of Science"/>
    <hyperlink ref="BF750" r:id="rId_hyperlink_1477" tooltip="http://dx.doi.org/10.1016/j.envint.2016.02.032" display="http://dx.doi.org/10.1016/j.envint.2016.02.032"/>
    <hyperlink ref="BT750" r:id="rId_hyperlink_1478" tooltip="View Full Record in Web of Science" display="View Full Record in Web of Science"/>
    <hyperlink ref="BF751" r:id="rId_hyperlink_1479" tooltip="http://dx.doi.org/10.1111/anti.12191" display="http://dx.doi.org/10.1111/anti.12191"/>
    <hyperlink ref="BT751" r:id="rId_hyperlink_1480" tooltip="View Full Record in Web of Science" display="View Full Record in Web of Science"/>
    <hyperlink ref="BF752" r:id="rId_hyperlink_1481" tooltip="http://dx.doi.org/10.1016/j.jclepro.2019.118433" display="http://dx.doi.org/10.1016/j.jclepro.2019.118433"/>
    <hyperlink ref="BT752" r:id="rId_hyperlink_1482" tooltip="View Full Record in Web of Science" display="View Full Record in Web of Science"/>
    <hyperlink ref="BF753" r:id="rId_hyperlink_1483" tooltip="http://dx.doi.org/10.1023/A:1016302913909" display="http://dx.doi.org/10.1023/A:1016302913909"/>
    <hyperlink ref="BT753" r:id="rId_hyperlink_1484" tooltip="View Full Record in Web of Science" display="View Full Record in Web of Science"/>
    <hyperlink ref="BF754" r:id="rId_hyperlink_1485" tooltip="http://dx.doi.org/10.3390/su151712680" display="http://dx.doi.org/10.3390/su151712680"/>
    <hyperlink ref="BT754" r:id="rId_hyperlink_1486" tooltip="View Full Record in Web of Science" display="View Full Record in Web of Science"/>
    <hyperlink ref="BF755" r:id="rId_hyperlink_1487" tooltip="http://dx.doi.org/10.3390/su15065284" display="http://dx.doi.org/10.3390/su15065284"/>
    <hyperlink ref="BT755" r:id="rId_hyperlink_1488" tooltip="View Full Record in Web of Science" display="View Full Record in Web of Science"/>
    <hyperlink ref="BF756" r:id="rId_hyperlink_1489" tooltip="http://dx.doi.org/10.3390/rs14010198" display="http://dx.doi.org/10.3390/rs14010198"/>
    <hyperlink ref="BT756" r:id="rId_hyperlink_1490" tooltip="View Full Record in Web of Science" display="View Full Record in Web of Science"/>
    <hyperlink ref="BF757" r:id="rId_hyperlink_1491" tooltip="http://dx.doi.org/10.1016/j.ecolmodel.2005.03.004" display="http://dx.doi.org/10.1016/j.ecolmodel.2005.03.004"/>
    <hyperlink ref="BT757" r:id="rId_hyperlink_1492" tooltip="View Full Record in Web of Science" display="View Full Record in Web of Science"/>
    <hyperlink ref="BF758" r:id="rId_hyperlink_1493" tooltip="http://dx.doi.org/10.1890/08-0027.1" display="http://dx.doi.org/10.1890/08-0027.1"/>
    <hyperlink ref="BT758" r:id="rId_hyperlink_1494" tooltip="View Full Record in Web of Science" display="View Full Record in Web of Science"/>
    <hyperlink ref="BF759" r:id="rId_hyperlink_1495" tooltip="http://dx.doi.org/10.1016/j.jclepro.2019.05.333" display="http://dx.doi.org/10.1016/j.jclepro.2019.05.333"/>
    <hyperlink ref="BT759" r:id="rId_hyperlink_1496" tooltip="View Full Record in Web of Science" display="View Full Record in Web of Science"/>
    <hyperlink ref="BF760" r:id="rId_hyperlink_1497" tooltip="http://dx.doi.org/10.1016/j.compenvurbsys.2016.02.002" display="http://dx.doi.org/10.1016/j.compenvurbsys.2016.02.002"/>
    <hyperlink ref="BT760" r:id="rId_hyperlink_1498" tooltip="View Full Record in Web of Science" display="View Full Record in Web of Science"/>
    <hyperlink ref="BF761" r:id="rId_hyperlink_1499" tooltip="http://dx.doi.org/10.1007/s11356-023-31724-w" display="http://dx.doi.org/10.1007/s11356-023-31724-w"/>
    <hyperlink ref="BT761" r:id="rId_hyperlink_1500" tooltip="View Full Record in Web of Science" display="View Full Record in Web of Science"/>
    <hyperlink ref="BT762" r:id="rId_hyperlink_1501" tooltip="View Full Record in Web of Science" display="View Full Record in Web of Science"/>
    <hyperlink ref="BF763" r:id="rId_hyperlink_1502" tooltip="http://dx.doi.org/10.3390/su132313159" display="http://dx.doi.org/10.3390/su132313159"/>
    <hyperlink ref="BT763" r:id="rId_hyperlink_1503" tooltip="View Full Record in Web of Science" display="View Full Record in Web of Science"/>
    <hyperlink ref="BF764" r:id="rId_hyperlink_1504" tooltip="http://dx.doi.org/10.1016/j.landusepol.2017.12.029" display="http://dx.doi.org/10.1016/j.landusepol.2017.12.029"/>
    <hyperlink ref="BT764" r:id="rId_hyperlink_1505" tooltip="View Full Record in Web of Science" display="View Full Record in Web of Science"/>
    <hyperlink ref="BF765" r:id="rId_hyperlink_1506" tooltip="http://dx.doi.org/10.1016/j.jclepro.2021.129253" display="http://dx.doi.org/10.1016/j.jclepro.2021.129253"/>
    <hyperlink ref="BT765" r:id="rId_hyperlink_1507" tooltip="View Full Record in Web of Science" display="View Full Record in Web of Science"/>
    <hyperlink ref="BF766" r:id="rId_hyperlink_1508" tooltip="http://dx.doi.org/10.1016/j.cities.2016.04.004" display="http://dx.doi.org/10.1016/j.cities.2016.04.004"/>
    <hyperlink ref="BT766" r:id="rId_hyperlink_1509" tooltip="View Full Record in Web of Science" display="View Full Record in Web of Science"/>
    <hyperlink ref="BF767" r:id="rId_hyperlink_1510" tooltip="http://dx.doi.org/10.3390/su7078522" display="http://dx.doi.org/10.3390/su7078522"/>
    <hyperlink ref="BT767" r:id="rId_hyperlink_1511" tooltip="View Full Record in Web of Science" display="View Full Record in Web of Science"/>
    <hyperlink ref="BF768" r:id="rId_hyperlink_1512" tooltip="http://dx.doi.org/10.5194/hess-11-1757-2007" display="http://dx.doi.org/10.5194/hess-11-1757-2007"/>
    <hyperlink ref="BT768" r:id="rId_hyperlink_1513" tooltip="View Full Record in Web of Science" display="View Full Record in Web of Science"/>
    <hyperlink ref="BF769" r:id="rId_hyperlink_1514" tooltip="http://dx.doi.org/10.1016/j.spc.2021.04.008" display="http://dx.doi.org/10.1016/j.spc.2021.04.008"/>
    <hyperlink ref="BT769" r:id="rId_hyperlink_1515" tooltip="View Full Record in Web of Science" display="View Full Record in Web of Science"/>
    <hyperlink ref="BF770" r:id="rId_hyperlink_1516" tooltip="http://dx.doi.org/10.1016/j.jclepro.2018.07.238" display="http://dx.doi.org/10.1016/j.jclepro.2018.07.238"/>
    <hyperlink ref="BT770" r:id="rId_hyperlink_1517" tooltip="View Full Record in Web of Science" display="View Full Record in Web of Science"/>
    <hyperlink ref="BF771" r:id="rId_hyperlink_1518" tooltip="http://dx.doi.org/10.1016/j.eiar.2023.107320" display="http://dx.doi.org/10.1016/j.eiar.2023.107320"/>
    <hyperlink ref="BT771" r:id="rId_hyperlink_1519" tooltip="View Full Record in Web of Science" display="View Full Record in Web of Science"/>
    <hyperlink ref="BF772" r:id="rId_hyperlink_1520" tooltip="http://dx.doi.org/10.1016/j.landusepol.2023.106693" display="http://dx.doi.org/10.1016/j.landusepol.2023.106693"/>
    <hyperlink ref="BT772" r:id="rId_hyperlink_1521" tooltip="View Full Record in Web of Science" display="View Full Record in Web of Science"/>
    <hyperlink ref="BF773" r:id="rId_hyperlink_1522" tooltip="http://dx.doi.org/10.1016/j.jclepro.2019.01.199" display="http://dx.doi.org/10.1016/j.jclepro.2019.01.199"/>
    <hyperlink ref="BT773" r:id="rId_hyperlink_1523" tooltip="View Full Record in Web of Science" display="View Full Record in Web of Science"/>
    <hyperlink ref="BF774" r:id="rId_hyperlink_1524" tooltip="http://dx.doi.org/10.1016/j.resconrec.2016.12.002" display="http://dx.doi.org/10.1016/j.resconrec.2016.12.002"/>
    <hyperlink ref="BT774" r:id="rId_hyperlink_1525" tooltip="View Full Record in Web of Science" display="View Full Record in Web of Science"/>
    <hyperlink ref="BF775" r:id="rId_hyperlink_1526" tooltip="http://dx.doi.org/10.1111/anti.12175" display="http://dx.doi.org/10.1111/anti.12175"/>
    <hyperlink ref="BT775" r:id="rId_hyperlink_1527" tooltip="View Full Record in Web of Science" display="View Full Record in Web of Science"/>
    <hyperlink ref="BF776" r:id="rId_hyperlink_1528" tooltip="http://dx.doi.org/10.1016/j.apgeog.2010.11.011" display="http://dx.doi.org/10.1016/j.apgeog.2010.11.011"/>
    <hyperlink ref="BT776" r:id="rId_hyperlink_1529" tooltip="View Full Record in Web of Science" display="View Full Record in Web of Science"/>
    <hyperlink ref="BF777" r:id="rId_hyperlink_1530" tooltip="http://dx.doi.org/10.5751/ES-06118-190137" display="http://dx.doi.org/10.5751/ES-06118-190137"/>
    <hyperlink ref="BT777" r:id="rId_hyperlink_1531" tooltip="View Full Record in Web of Science" display="View Full Record in Web of Science"/>
    <hyperlink ref="BF778" r:id="rId_hyperlink_1532" tooltip="http://dx.doi.org/10.3389/feart.2022.944865" display="http://dx.doi.org/10.3389/feart.2022.944865"/>
    <hyperlink ref="BT778" r:id="rId_hyperlink_1533" tooltip="View Full Record in Web of Science" display="View Full Record in Web of Science"/>
    <hyperlink ref="BF779" r:id="rId_hyperlink_1534" tooltip="http://dx.doi.org/10.1016/j.spc.2020.12.039" display="http://dx.doi.org/10.1016/j.spc.2020.12.039"/>
    <hyperlink ref="BT779" r:id="rId_hyperlink_1535" tooltip="View Full Record in Web of Science" display="View Full Record in Web of Science"/>
    <hyperlink ref="BF780" r:id="rId_hyperlink_1536" tooltip="http://dx.doi.org/10.1016/j.scitotenv.2019.135857" display="http://dx.doi.org/10.1016/j.scitotenv.2019.135857"/>
    <hyperlink ref="BT780" r:id="rId_hyperlink_1537" tooltip="View Full Record in Web of Science" display="View Full Record in Web of Science"/>
    <hyperlink ref="BF781" r:id="rId_hyperlink_1538" tooltip="http://dx.doi.org/10.1016/j.jclepro.2022.130657" display="http://dx.doi.org/10.1016/j.jclepro.2022.130657"/>
    <hyperlink ref="BT781" r:id="rId_hyperlink_1539" tooltip="View Full Record in Web of Science" display="View Full Record in Web of Science"/>
    <hyperlink ref="BF782" r:id="rId_hyperlink_1540" tooltip="http://dx.doi.org/10.3390/su3010155" display="http://dx.doi.org/10.3390/su3010155"/>
    <hyperlink ref="BT782" r:id="rId_hyperlink_1541" tooltip="View Full Record in Web of Science" display="View Full Record in Web of Science"/>
    <hyperlink ref="BF783" r:id="rId_hyperlink_1542" tooltip="http://dx.doi.org/10.1007/s11367-020-01822-9" display="http://dx.doi.org/10.1007/s11367-020-01822-9"/>
    <hyperlink ref="BT783" r:id="rId_hyperlink_1543" tooltip="View Full Record in Web of Science" display="View Full Record in Web of Science"/>
    <hyperlink ref="BF784" r:id="rId_hyperlink_1544" tooltip="http://dx.doi.org/10.1016/j.jclepro.2015.06.113" display="http://dx.doi.org/10.1016/j.jclepro.2015.06.113"/>
    <hyperlink ref="BT784" r:id="rId_hyperlink_1545" tooltip="View Full Record in Web of Science" display="View Full Record in Web of Science"/>
    <hyperlink ref="BF785" r:id="rId_hyperlink_1546" tooltip="http://dx.doi.org/10.1007/s11367-019-01724-5" display="http://dx.doi.org/10.1007/s11367-019-01724-5"/>
    <hyperlink ref="BT785" r:id="rId_hyperlink_1547" tooltip="View Full Record in Web of Science" display="View Full Record in Web of Science"/>
    <hyperlink ref="BF786" r:id="rId_hyperlink_1548" tooltip="http://dx.doi.org/10.1007/s11367-022-02024-1" display="http://dx.doi.org/10.1007/s11367-022-02024-1"/>
    <hyperlink ref="BT786" r:id="rId_hyperlink_1549" tooltip="View Full Record in Web of Science" display="View Full Record in Web of Science"/>
    <hyperlink ref="BF787" r:id="rId_hyperlink_1550" tooltip="http://dx.doi.org/10.1016/j.landusepol.2021.105830" display="http://dx.doi.org/10.1016/j.landusepol.2021.105830"/>
    <hyperlink ref="BT787" r:id="rId_hyperlink_1551" tooltip="View Full Record in Web of Science" display="View Full Record in Web of Science"/>
    <hyperlink ref="BF788" r:id="rId_hyperlink_1552" tooltip="http://dx.doi.org/10.1016/j.jclepro.2016.03.062" display="http://dx.doi.org/10.1016/j.jclepro.2016.03.062"/>
    <hyperlink ref="BT788" r:id="rId_hyperlink_1553" tooltip="View Full Record in Web of Science" display="View Full Record in Web of Science"/>
    <hyperlink ref="BF789" r:id="rId_hyperlink_1554" tooltip="http://dx.doi.org/10.3390/su4071488" display="http://dx.doi.org/10.3390/su4071488"/>
    <hyperlink ref="BT789" r:id="rId_hyperlink_1555" tooltip="View Full Record in Web of Science" display="View Full Record in Web of Science"/>
    <hyperlink ref="BF790" r:id="rId_hyperlink_1556" tooltip="http://dx.doi.org/10.1080/24694452.2017.1293501" display="http://dx.doi.org/10.1080/24694452.2017.1293501"/>
    <hyperlink ref="BT790" r:id="rId_hyperlink_1557" tooltip="View Full Record in Web of Science" display="View Full Record in Web of Science"/>
    <hyperlink ref="BF791" r:id="rId_hyperlink_1558" tooltip="http://dx.doi.org/10.1007/s11367-018-1467-3" display="http://dx.doi.org/10.1007/s11367-018-1467-3"/>
    <hyperlink ref="BT791" r:id="rId_hyperlink_1559" tooltip="View Full Record in Web of Science" display="View Full Record in Web of Science"/>
    <hyperlink ref="BF792" r:id="rId_hyperlink_1560" tooltip="http://dx.doi.org/10.1080/14649365.2016.1266025" display="http://dx.doi.org/10.1080/14649365.2016.1266025"/>
    <hyperlink ref="BT792" r:id="rId_hyperlink_1561" tooltip="View Full Record in Web of Science" display="View Full Record in Web of Science"/>
  </hyperlinks>
  <printOptions gridLines="false" gridLinesSet="true"/>
  <pageMargins left="0.7" right="0.7" top="0.75" bottom="0.75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2024-05-21T06:22:07+03:00</dcterms:created>
  <dcterms:modified xsi:type="dcterms:W3CDTF">2024-05-21T06:22:07+03:00</dcterms:modified>
  <dc:title>Untitled Spreadsheet</dc:title>
  <dc:description/>
  <dc:subject/>
  <cp:keywords/>
  <cp:category/>
</cp:coreProperties>
</file>